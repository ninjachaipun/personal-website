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4" codeName="{52B413DB-416B-A148-0A32-6202AF4EA34E}"/>
  <workbookPr codeName="ThisWorkbook" defaultThemeVersion="202300"/>
  <mc:AlternateContent xmlns:mc="http://schemas.openxmlformats.org/markup-compatibility/2006">
    <mc:Choice Requires="x15">
      <x15ac:absPath xmlns:x15ac="http://schemas.microsoft.com/office/spreadsheetml/2010/11/ac" url="/Users/ninjac/Desktop/Real Estate Things/Project/2480 Dundas St W/"/>
    </mc:Choice>
  </mc:AlternateContent>
  <xr:revisionPtr revIDLastSave="0" documentId="13_ncr:1_{1B89A68C-E116-CB4B-9FA5-19F4CA842CDC}" xr6:coauthVersionLast="47" xr6:coauthVersionMax="47" xr10:uidLastSave="{00000000-0000-0000-0000-000000000000}"/>
  <bookViews>
    <workbookView xWindow="0" yWindow="660" windowWidth="29400" windowHeight="18460" activeTab="1" xr2:uid="{0F772E15-CB68-654E-9858-14B2D05F601E}"/>
  </bookViews>
  <sheets>
    <sheet name="Cover" sheetId="16" r:id="rId1"/>
    <sheet name="Deal_Summary" sheetId="14" r:id="rId2"/>
    <sheet name="Rent_Roll" sheetId="11" r:id="rId3"/>
    <sheet name="Brochure_Financials" sheetId="15" r:id="rId4"/>
    <sheet name="Monthly_P&amp;L" sheetId="5" r:id="rId5"/>
    <sheet name="Annual_P&amp;L" sheetId="6" r:id="rId6"/>
    <sheet name="Assumptions_&amp;_Inputs" sheetId="1" r:id="rId7"/>
    <sheet name="Equity_Waterfall" sheetId="2" r:id="rId8"/>
  </sheets>
  <definedNames>
    <definedName name="closing_costs">'Assumptions_&amp;_Inputs'!$E$32</definedName>
    <definedName name="cost_sale">'Assumptions_&amp;_Inputs'!$I$34</definedName>
    <definedName name="debt">'Assumptions_&amp;_Inputs'!$D$93</definedName>
    <definedName name="discount_rate">'Assumptions_&amp;_Inputs'!$I$56</definedName>
    <definedName name="equity_invested">'Assumptions_&amp;_Inputs'!$D$94</definedName>
    <definedName name="exit_cap_rate">'Assumptions_&amp;_Inputs'!$I$30</definedName>
    <definedName name="hold_length">'Assumptions_&amp;_Inputs'!$I$29</definedName>
    <definedName name="inflation">'Assumptions_&amp;_Inputs'!$I$55</definedName>
    <definedName name="management_fee">'Assumptions_&amp;_Inputs'!$E$59</definedName>
    <definedName name="_xlnm.Print_Area" localSheetId="0">Cover!$A$1:$H$29</definedName>
    <definedName name="_xlnm.Print_Area" localSheetId="1">Deal_Summary!$B$2:$V$29,Deal_Summary!$B$30:$M$78,Deal_Summary!$B$82:$J$100,Deal_Summary!$B$105:$T$129,Deal_Summary!$O$40:$W$86,Deal_Summary!$X$40:$AG$58,Deal_Summary!$X$5:$AJ$27</definedName>
    <definedName name="purchase_date">'Assumptions_&amp;_Inputs'!$E$27</definedName>
    <definedName name="purchase_price">'Assumptions_&amp;_Inputs'!$E$26</definedName>
    <definedName name="rentable_sf">'Assumptions_&amp;_Inputs'!$I$18</definedName>
    <definedName name="rental_growth_rate">'Assumptions_&amp;_Inputs'!$E$55</definedName>
    <definedName name="sale_price">'Assumptions_&amp;_Inputs'!$I$32</definedName>
    <definedName name="tax_growth_rate">'Assumptions_&amp;_Inputs'!$I$61</definedName>
    <definedName name="vacancy_allowance">'Assumptions_&amp;_Inputs'!$I$63</definedName>
    <definedName name="WA_Curr_Rent">Rent_Roll!$C$17</definedName>
    <definedName name="WA_Mar_Rent">Rent_Roll!$D$17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B26" i="16" l="1"/>
  <c r="B25" i="16"/>
  <c r="B24" i="16"/>
  <c r="B23" i="16"/>
  <c r="B22" i="16"/>
  <c r="B21" i="16"/>
  <c r="B20" i="16"/>
  <c r="E4" i="16"/>
  <c r="B2" i="16"/>
  <c r="J87" i="14"/>
  <c r="E85" i="14"/>
  <c r="D43" i="15"/>
  <c r="D41" i="15"/>
  <c r="D39" i="15"/>
  <c r="D40" i="15" s="1"/>
  <c r="D38" i="15"/>
  <c r="C34" i="15"/>
  <c r="C31" i="15"/>
  <c r="D31" i="15"/>
  <c r="C30" i="15"/>
  <c r="C29" i="15"/>
  <c r="C28" i="15"/>
  <c r="C27" i="15"/>
  <c r="C26" i="15"/>
  <c r="C25" i="15"/>
  <c r="C24" i="15"/>
  <c r="C23" i="15"/>
  <c r="C22" i="15"/>
  <c r="C21" i="15"/>
  <c r="C17" i="15"/>
  <c r="D15" i="15"/>
  <c r="C14" i="15"/>
  <c r="D121" i="14"/>
  <c r="N121" i="14"/>
  <c r="L123" i="14"/>
  <c r="N109" i="14"/>
  <c r="L111" i="14"/>
  <c r="D109" i="14"/>
  <c r="B123" i="14"/>
  <c r="B111" i="14"/>
  <c r="N129" i="14"/>
  <c r="O129" i="14"/>
  <c r="P129" i="14"/>
  <c r="Q129" i="14"/>
  <c r="R129" i="14"/>
  <c r="S129" i="14"/>
  <c r="T129" i="14"/>
  <c r="M129" i="14"/>
  <c r="N128" i="14"/>
  <c r="O128" i="14"/>
  <c r="P128" i="14"/>
  <c r="Q128" i="14"/>
  <c r="R128" i="14"/>
  <c r="S128" i="14"/>
  <c r="T128" i="14"/>
  <c r="M128" i="14"/>
  <c r="N127" i="14"/>
  <c r="O127" i="14"/>
  <c r="P127" i="14"/>
  <c r="Q127" i="14"/>
  <c r="R127" i="14"/>
  <c r="S127" i="14"/>
  <c r="T127" i="14"/>
  <c r="M127" i="14"/>
  <c r="N126" i="14"/>
  <c r="O126" i="14"/>
  <c r="P126" i="14"/>
  <c r="Q126" i="14"/>
  <c r="R126" i="14"/>
  <c r="S126" i="14"/>
  <c r="T126" i="14"/>
  <c r="M126" i="14"/>
  <c r="N125" i="14"/>
  <c r="O125" i="14"/>
  <c r="P125" i="14"/>
  <c r="Q125" i="14"/>
  <c r="R125" i="14"/>
  <c r="S125" i="14"/>
  <c r="T125" i="14"/>
  <c r="M125" i="14"/>
  <c r="N124" i="14"/>
  <c r="O124" i="14"/>
  <c r="P124" i="14"/>
  <c r="Q124" i="14"/>
  <c r="R124" i="14"/>
  <c r="S124" i="14"/>
  <c r="T124" i="14"/>
  <c r="M124" i="14"/>
  <c r="N123" i="14"/>
  <c r="O123" i="14"/>
  <c r="P123" i="14"/>
  <c r="Q123" i="14"/>
  <c r="R123" i="14"/>
  <c r="S123" i="14"/>
  <c r="T123" i="14"/>
  <c r="M123" i="14"/>
  <c r="N122" i="14"/>
  <c r="O122" i="14"/>
  <c r="P122" i="14"/>
  <c r="Q122" i="14"/>
  <c r="R122" i="14"/>
  <c r="S122" i="14"/>
  <c r="T122" i="14"/>
  <c r="L120" i="14"/>
  <c r="D129" i="14"/>
  <c r="E129" i="14"/>
  <c r="F129" i="14"/>
  <c r="G129" i="14"/>
  <c r="H129" i="14"/>
  <c r="I129" i="14"/>
  <c r="J129" i="14"/>
  <c r="C129" i="14"/>
  <c r="D128" i="14"/>
  <c r="E128" i="14"/>
  <c r="F128" i="14"/>
  <c r="G128" i="14"/>
  <c r="H128" i="14"/>
  <c r="I128" i="14"/>
  <c r="J128" i="14"/>
  <c r="C128" i="14"/>
  <c r="D127" i="14"/>
  <c r="E127" i="14"/>
  <c r="F127" i="14"/>
  <c r="G127" i="14"/>
  <c r="H127" i="14"/>
  <c r="I127" i="14"/>
  <c r="J127" i="14"/>
  <c r="C127" i="14"/>
  <c r="D126" i="14"/>
  <c r="E126" i="14"/>
  <c r="F126" i="14"/>
  <c r="G126" i="14"/>
  <c r="H126" i="14"/>
  <c r="I126" i="14"/>
  <c r="J126" i="14"/>
  <c r="C126" i="14"/>
  <c r="D125" i="14"/>
  <c r="E125" i="14"/>
  <c r="F125" i="14"/>
  <c r="G125" i="14"/>
  <c r="H125" i="14"/>
  <c r="I125" i="14"/>
  <c r="J125" i="14"/>
  <c r="C125" i="14"/>
  <c r="D124" i="14"/>
  <c r="E124" i="14"/>
  <c r="F124" i="14"/>
  <c r="G124" i="14"/>
  <c r="H124" i="14"/>
  <c r="I124" i="14"/>
  <c r="J124" i="14"/>
  <c r="C124" i="14"/>
  <c r="D123" i="14"/>
  <c r="E123" i="14"/>
  <c r="F123" i="14"/>
  <c r="G123" i="14"/>
  <c r="H123" i="14"/>
  <c r="I123" i="14"/>
  <c r="J123" i="14"/>
  <c r="C123" i="14"/>
  <c r="D122" i="14"/>
  <c r="E122" i="14"/>
  <c r="F122" i="14"/>
  <c r="G122" i="14"/>
  <c r="H122" i="14"/>
  <c r="I122" i="14"/>
  <c r="J122" i="14"/>
  <c r="B120" i="14"/>
  <c r="N117" i="14"/>
  <c r="O117" i="14"/>
  <c r="P117" i="14"/>
  <c r="Q117" i="14"/>
  <c r="R117" i="14"/>
  <c r="S117" i="14"/>
  <c r="T117" i="14"/>
  <c r="M117" i="14"/>
  <c r="N116" i="14"/>
  <c r="O116" i="14"/>
  <c r="P116" i="14"/>
  <c r="Q116" i="14"/>
  <c r="R116" i="14"/>
  <c r="S116" i="14"/>
  <c r="T116" i="14"/>
  <c r="M116" i="14"/>
  <c r="N115" i="14"/>
  <c r="O115" i="14"/>
  <c r="P115" i="14"/>
  <c r="Q115" i="14"/>
  <c r="R115" i="14"/>
  <c r="S115" i="14"/>
  <c r="T115" i="14"/>
  <c r="M115" i="14"/>
  <c r="N114" i="14"/>
  <c r="O114" i="14"/>
  <c r="P114" i="14"/>
  <c r="Q114" i="14"/>
  <c r="R114" i="14"/>
  <c r="S114" i="14"/>
  <c r="T114" i="14"/>
  <c r="M114" i="14"/>
  <c r="N113" i="14"/>
  <c r="O113" i="14"/>
  <c r="P113" i="14"/>
  <c r="Q113" i="14"/>
  <c r="R113" i="14"/>
  <c r="S113" i="14"/>
  <c r="T113" i="14"/>
  <c r="M113" i="14"/>
  <c r="N112" i="14"/>
  <c r="O112" i="14"/>
  <c r="P112" i="14"/>
  <c r="Q112" i="14"/>
  <c r="R112" i="14"/>
  <c r="S112" i="14"/>
  <c r="T112" i="14"/>
  <c r="M112" i="14"/>
  <c r="N111" i="14"/>
  <c r="O111" i="14"/>
  <c r="P111" i="14"/>
  <c r="Q111" i="14"/>
  <c r="R111" i="14"/>
  <c r="S111" i="14"/>
  <c r="T111" i="14"/>
  <c r="M111" i="14"/>
  <c r="Q110" i="14"/>
  <c r="L108" i="14"/>
  <c r="D117" i="14"/>
  <c r="E117" i="14"/>
  <c r="F117" i="14"/>
  <c r="G117" i="14"/>
  <c r="H117" i="14"/>
  <c r="I117" i="14"/>
  <c r="J117" i="14"/>
  <c r="D116" i="14"/>
  <c r="E116" i="14"/>
  <c r="F116" i="14"/>
  <c r="G116" i="14"/>
  <c r="H116" i="14"/>
  <c r="I116" i="14"/>
  <c r="J116" i="14"/>
  <c r="D115" i="14"/>
  <c r="E115" i="14"/>
  <c r="F115" i="14"/>
  <c r="G115" i="14"/>
  <c r="H115" i="14"/>
  <c r="I115" i="14"/>
  <c r="J115" i="14"/>
  <c r="D114" i="14"/>
  <c r="E114" i="14"/>
  <c r="F114" i="14"/>
  <c r="G114" i="14"/>
  <c r="H114" i="14"/>
  <c r="I114" i="14"/>
  <c r="J114" i="14"/>
  <c r="C114" i="14"/>
  <c r="D113" i="14"/>
  <c r="E113" i="14"/>
  <c r="F113" i="14"/>
  <c r="G113" i="14"/>
  <c r="H113" i="14"/>
  <c r="I113" i="14"/>
  <c r="J113" i="14"/>
  <c r="D112" i="14"/>
  <c r="E112" i="14"/>
  <c r="F112" i="14"/>
  <c r="G112" i="14"/>
  <c r="H112" i="14"/>
  <c r="I112" i="14"/>
  <c r="J112" i="14"/>
  <c r="D111" i="14"/>
  <c r="E111" i="14"/>
  <c r="F111" i="14"/>
  <c r="G111" i="14"/>
  <c r="H111" i="14"/>
  <c r="I111" i="14"/>
  <c r="J111" i="14"/>
  <c r="G110" i="14"/>
  <c r="B108" i="14"/>
  <c r="E146" i="1"/>
  <c r="D146" i="1"/>
  <c r="F146" i="1"/>
  <c r="I146" i="1"/>
  <c r="J146" i="1"/>
  <c r="H146" i="1"/>
  <c r="C152" i="1"/>
  <c r="C153" i="1"/>
  <c r="C151" i="1"/>
  <c r="C148" i="1"/>
  <c r="C147" i="1" s="1"/>
  <c r="C149" i="1"/>
  <c r="H143" i="1"/>
  <c r="C143" i="1"/>
  <c r="B147" i="1"/>
  <c r="G145" i="1"/>
  <c r="F133" i="1"/>
  <c r="E133" i="1" s="1"/>
  <c r="D133" i="1" s="1"/>
  <c r="H133" i="1"/>
  <c r="I133" i="1" s="1"/>
  <c r="J133" i="1" s="1"/>
  <c r="C139" i="1"/>
  <c r="C140" i="1"/>
  <c r="C138" i="1"/>
  <c r="C135" i="1"/>
  <c r="C134" i="1"/>
  <c r="C136" i="1"/>
  <c r="H130" i="1"/>
  <c r="C130" i="1"/>
  <c r="B134" i="1"/>
  <c r="G132" i="1"/>
  <c r="C123" i="1"/>
  <c r="C122" i="1" s="1"/>
  <c r="C121" i="1" s="1"/>
  <c r="C125" i="1"/>
  <c r="C126" i="1" s="1"/>
  <c r="C127" i="1" s="1"/>
  <c r="H120" i="1"/>
  <c r="F120" i="1"/>
  <c r="H117" i="1"/>
  <c r="C117" i="1"/>
  <c r="B121" i="1"/>
  <c r="G119" i="1"/>
  <c r="G106" i="1"/>
  <c r="B108" i="1"/>
  <c r="C112" i="1"/>
  <c r="C110" i="1"/>
  <c r="H107" i="1"/>
  <c r="F107" i="1"/>
  <c r="C104" i="1"/>
  <c r="H104" i="1"/>
  <c r="J65" i="14"/>
  <c r="E44" i="14"/>
  <c r="E43" i="14"/>
  <c r="B2" i="14" s="1"/>
  <c r="E42" i="14"/>
  <c r="J77" i="14"/>
  <c r="J76" i="14"/>
  <c r="J73" i="14"/>
  <c r="J72" i="14"/>
  <c r="J67" i="14"/>
  <c r="J66" i="14"/>
  <c r="J64" i="14"/>
  <c r="J62" i="14"/>
  <c r="E68" i="14"/>
  <c r="E67" i="14"/>
  <c r="E66" i="14"/>
  <c r="E65" i="14"/>
  <c r="E64" i="14"/>
  <c r="E63" i="14"/>
  <c r="E62" i="14"/>
  <c r="J58" i="14"/>
  <c r="J56" i="14"/>
  <c r="J54" i="14"/>
  <c r="J53" i="14"/>
  <c r="E58" i="14"/>
  <c r="E55" i="14"/>
  <c r="E53" i="14"/>
  <c r="J49" i="14"/>
  <c r="J44" i="14"/>
  <c r="J43" i="14"/>
  <c r="J42" i="14"/>
  <c r="E48" i="14"/>
  <c r="E45" i="14"/>
  <c r="J34" i="14"/>
  <c r="J35" i="14"/>
  <c r="J36" i="14"/>
  <c r="L36" i="14"/>
  <c r="J37" i="14"/>
  <c r="M32" i="14"/>
  <c r="J32" i="14"/>
  <c r="J33" i="14"/>
  <c r="F34" i="14"/>
  <c r="F35" i="14"/>
  <c r="I32" i="14"/>
  <c r="F32" i="14"/>
  <c r="F33" i="14"/>
  <c r="F24" i="14"/>
  <c r="F22" i="14"/>
  <c r="F18" i="14"/>
  <c r="F17" i="14"/>
  <c r="F15" i="14"/>
  <c r="F14" i="14"/>
  <c r="F13" i="14"/>
  <c r="F12" i="14"/>
  <c r="H6" i="14"/>
  <c r="B2" i="11"/>
  <c r="E61" i="2"/>
  <c r="L13" i="2"/>
  <c r="W95" i="2"/>
  <c r="V95" i="2"/>
  <c r="U95" i="2"/>
  <c r="T95" i="2"/>
  <c r="S95" i="2"/>
  <c r="R95" i="2"/>
  <c r="Q95" i="2"/>
  <c r="P95" i="2"/>
  <c r="O95" i="2"/>
  <c r="N95" i="2"/>
  <c r="M95" i="2"/>
  <c r="L95" i="2"/>
  <c r="K95" i="2"/>
  <c r="J95" i="2"/>
  <c r="I95" i="2"/>
  <c r="H95" i="2"/>
  <c r="G95" i="2"/>
  <c r="C95" i="2"/>
  <c r="C94" i="2"/>
  <c r="C93" i="2"/>
  <c r="C92" i="2"/>
  <c r="C91" i="2"/>
  <c r="C90" i="2"/>
  <c r="E69" i="2"/>
  <c r="E65" i="2"/>
  <c r="C58" i="2"/>
  <c r="E55" i="2"/>
  <c r="E54" i="2"/>
  <c r="E52" i="2"/>
  <c r="E47" i="2"/>
  <c r="G47" i="2" s="1"/>
  <c r="C42" i="2"/>
  <c r="E39" i="2"/>
  <c r="F9" i="6"/>
  <c r="E38" i="2"/>
  <c r="G38" i="2" s="1"/>
  <c r="C34" i="2"/>
  <c r="G30" i="2"/>
  <c r="H30" i="2" s="1"/>
  <c r="I30" i="2" s="1"/>
  <c r="J30" i="2" s="1"/>
  <c r="K30" i="2" s="1"/>
  <c r="L30" i="2" s="1"/>
  <c r="M30" i="2" s="1"/>
  <c r="N30" i="2" s="1"/>
  <c r="O30" i="2" s="1"/>
  <c r="P30" i="2" s="1"/>
  <c r="Q30" i="2" s="1"/>
  <c r="R30" i="2" s="1"/>
  <c r="S30" i="2" s="1"/>
  <c r="T30" i="2" s="1"/>
  <c r="U30" i="2" s="1"/>
  <c r="V30" i="2" s="1"/>
  <c r="W30" i="2" s="1"/>
  <c r="I29" i="2"/>
  <c r="J29" i="2" s="1"/>
  <c r="K29" i="2" s="1"/>
  <c r="L29" i="2" s="1"/>
  <c r="M29" i="2" s="1"/>
  <c r="N29" i="2" s="1"/>
  <c r="O29" i="2" s="1"/>
  <c r="P29" i="2" s="1"/>
  <c r="Q29" i="2" s="1"/>
  <c r="R29" i="2" s="1"/>
  <c r="G13" i="6"/>
  <c r="H8" i="6"/>
  <c r="I8" i="6" s="1"/>
  <c r="J8" i="6" s="1"/>
  <c r="K8" i="6" s="1"/>
  <c r="L8" i="6" s="1"/>
  <c r="M8" i="6" s="1"/>
  <c r="N8" i="6" s="1"/>
  <c r="O8" i="6" s="1"/>
  <c r="P8" i="6" s="1"/>
  <c r="Q8" i="6" s="1"/>
  <c r="R8" i="6" s="1"/>
  <c r="S8" i="6" s="1"/>
  <c r="T8" i="6" s="1"/>
  <c r="U8" i="6" s="1"/>
  <c r="V8" i="6" s="1"/>
  <c r="GE88" i="5"/>
  <c r="GE62" i="5" s="1"/>
  <c r="GM87" i="5"/>
  <c r="GL87" i="5"/>
  <c r="GK87" i="5"/>
  <c r="GJ87" i="5"/>
  <c r="GI87" i="5"/>
  <c r="GH87" i="5"/>
  <c r="GG87" i="5"/>
  <c r="GF87" i="5"/>
  <c r="GE87" i="5"/>
  <c r="GE86" i="5"/>
  <c r="GE75" i="5"/>
  <c r="GE66" i="5" s="1"/>
  <c r="GM26" i="5"/>
  <c r="GL26" i="5"/>
  <c r="GK26" i="5"/>
  <c r="GJ26" i="5"/>
  <c r="GI26" i="5"/>
  <c r="GH26" i="5"/>
  <c r="GG26" i="5"/>
  <c r="GF26" i="5"/>
  <c r="GE26" i="5"/>
  <c r="GE19" i="5"/>
  <c r="GE18" i="5"/>
  <c r="GE17" i="5"/>
  <c r="GE16" i="5"/>
  <c r="GE14" i="5"/>
  <c r="GE7" i="5"/>
  <c r="GF7" i="5" s="1"/>
  <c r="G7" i="5"/>
  <c r="I80" i="1"/>
  <c r="E50" i="1"/>
  <c r="E59" i="14" s="1"/>
  <c r="B2" i="6"/>
  <c r="B2" i="5"/>
  <c r="F33" i="5"/>
  <c r="GD87" i="5"/>
  <c r="GC87" i="5"/>
  <c r="GB87" i="5"/>
  <c r="GA87" i="5"/>
  <c r="FZ87" i="5"/>
  <c r="FY87" i="5"/>
  <c r="FX87" i="5"/>
  <c r="FW87" i="5"/>
  <c r="FV87" i="5"/>
  <c r="FU87" i="5"/>
  <c r="FT87" i="5"/>
  <c r="FS87" i="5"/>
  <c r="FR87" i="5"/>
  <c r="FQ87" i="5"/>
  <c r="FP87" i="5"/>
  <c r="FO87" i="5"/>
  <c r="FN87" i="5"/>
  <c r="FM87" i="5"/>
  <c r="FL87" i="5"/>
  <c r="FK87" i="5"/>
  <c r="FJ87" i="5"/>
  <c r="FI87" i="5"/>
  <c r="FH87" i="5"/>
  <c r="FG87" i="5"/>
  <c r="FF87" i="5"/>
  <c r="FE87" i="5"/>
  <c r="FD87" i="5"/>
  <c r="FC87" i="5"/>
  <c r="FB87" i="5"/>
  <c r="FA87" i="5"/>
  <c r="EZ87" i="5"/>
  <c r="EY87" i="5"/>
  <c r="EX87" i="5"/>
  <c r="EW87" i="5"/>
  <c r="EV87" i="5"/>
  <c r="EU87" i="5"/>
  <c r="ET87" i="5"/>
  <c r="ES87" i="5"/>
  <c r="ER87" i="5"/>
  <c r="EQ87" i="5"/>
  <c r="EP87" i="5"/>
  <c r="EO87" i="5"/>
  <c r="EN87" i="5"/>
  <c r="EM87" i="5"/>
  <c r="EL87" i="5"/>
  <c r="EK87" i="5"/>
  <c r="EJ87" i="5"/>
  <c r="EI87" i="5"/>
  <c r="EH87" i="5"/>
  <c r="EG87" i="5"/>
  <c r="EF87" i="5"/>
  <c r="EE87" i="5"/>
  <c r="ED87" i="5"/>
  <c r="EC87" i="5"/>
  <c r="EB87" i="5"/>
  <c r="EA87" i="5"/>
  <c r="DZ87" i="5"/>
  <c r="DY87" i="5"/>
  <c r="DX87" i="5"/>
  <c r="DW87" i="5"/>
  <c r="DV87" i="5"/>
  <c r="DU87" i="5"/>
  <c r="DT87" i="5"/>
  <c r="DS87" i="5"/>
  <c r="DR87" i="5"/>
  <c r="DQ87" i="5"/>
  <c r="DP87" i="5"/>
  <c r="DO87" i="5"/>
  <c r="DN87" i="5"/>
  <c r="DM87" i="5"/>
  <c r="DL87" i="5"/>
  <c r="DK87" i="5"/>
  <c r="DJ87" i="5"/>
  <c r="DI87" i="5"/>
  <c r="DH87" i="5"/>
  <c r="DG87" i="5"/>
  <c r="DF87" i="5"/>
  <c r="DE87" i="5"/>
  <c r="DD87" i="5"/>
  <c r="DC87" i="5"/>
  <c r="DB87" i="5"/>
  <c r="DA87" i="5"/>
  <c r="CZ87" i="5"/>
  <c r="CY87" i="5"/>
  <c r="CX87" i="5"/>
  <c r="CW87" i="5"/>
  <c r="CV87" i="5"/>
  <c r="CU87" i="5"/>
  <c r="CT87" i="5"/>
  <c r="CS87" i="5"/>
  <c r="CR87" i="5"/>
  <c r="CQ87" i="5"/>
  <c r="CP87" i="5"/>
  <c r="CO87" i="5"/>
  <c r="CN87" i="5"/>
  <c r="CM87" i="5"/>
  <c r="CL87" i="5"/>
  <c r="CK87" i="5"/>
  <c r="CJ87" i="5"/>
  <c r="CI87" i="5"/>
  <c r="CH87" i="5"/>
  <c r="CG87" i="5"/>
  <c r="CF87" i="5"/>
  <c r="CE87" i="5"/>
  <c r="CD87" i="5"/>
  <c r="CC87" i="5"/>
  <c r="CB87" i="5"/>
  <c r="CA87" i="5"/>
  <c r="BZ87" i="5"/>
  <c r="BY87" i="5"/>
  <c r="BX87" i="5"/>
  <c r="BW87" i="5"/>
  <c r="BV87" i="5"/>
  <c r="BU87" i="5"/>
  <c r="BT87" i="5"/>
  <c r="BS87" i="5"/>
  <c r="BR87" i="5"/>
  <c r="BQ87" i="5"/>
  <c r="BP87" i="5"/>
  <c r="BO87" i="5"/>
  <c r="BN87" i="5"/>
  <c r="BM87" i="5"/>
  <c r="BL87" i="5"/>
  <c r="BK87" i="5"/>
  <c r="BJ87" i="5"/>
  <c r="BI87" i="5"/>
  <c r="BH87" i="5"/>
  <c r="BG87" i="5"/>
  <c r="BF87" i="5"/>
  <c r="BE87" i="5"/>
  <c r="BD87" i="5"/>
  <c r="BC87" i="5"/>
  <c r="BB87" i="5"/>
  <c r="BA87" i="5"/>
  <c r="AZ87" i="5"/>
  <c r="AY87" i="5"/>
  <c r="AX87" i="5"/>
  <c r="AW87" i="5"/>
  <c r="AV87" i="5"/>
  <c r="AU87" i="5"/>
  <c r="AT87" i="5"/>
  <c r="AS87" i="5"/>
  <c r="AR87" i="5"/>
  <c r="AQ87" i="5"/>
  <c r="AP87" i="5"/>
  <c r="AO87" i="5"/>
  <c r="AN87" i="5"/>
  <c r="AM87" i="5"/>
  <c r="AL87" i="5"/>
  <c r="AK87" i="5"/>
  <c r="AJ87" i="5"/>
  <c r="AI87" i="5"/>
  <c r="AH87" i="5"/>
  <c r="AG87" i="5"/>
  <c r="AF87" i="5"/>
  <c r="AE87" i="5"/>
  <c r="AD87" i="5"/>
  <c r="AC87" i="5"/>
  <c r="AB87" i="5"/>
  <c r="AA87" i="5"/>
  <c r="Z87" i="5"/>
  <c r="Y87" i="5"/>
  <c r="X87" i="5"/>
  <c r="W87" i="5"/>
  <c r="V87" i="5"/>
  <c r="U87" i="5"/>
  <c r="T87" i="5"/>
  <c r="S87" i="5"/>
  <c r="R87" i="5"/>
  <c r="Q87" i="5"/>
  <c r="P87" i="5"/>
  <c r="O87" i="5"/>
  <c r="N87" i="5"/>
  <c r="M87" i="5"/>
  <c r="L87" i="5"/>
  <c r="K87" i="5"/>
  <c r="J87" i="5"/>
  <c r="I87" i="5"/>
  <c r="H87" i="5"/>
  <c r="G87" i="5"/>
  <c r="F87" i="5"/>
  <c r="F88" i="5"/>
  <c r="F62" i="5" s="1"/>
  <c r="F85" i="5"/>
  <c r="F86" i="5"/>
  <c r="F47" i="5"/>
  <c r="F28" i="6" s="1"/>
  <c r="F21" i="14" s="1"/>
  <c r="I40" i="1"/>
  <c r="I44" i="1"/>
  <c r="I47" i="1" s="1"/>
  <c r="I85" i="1"/>
  <c r="I69" i="1"/>
  <c r="I66" i="1"/>
  <c r="H5" i="5"/>
  <c r="D32" i="6"/>
  <c r="D19" i="6"/>
  <c r="G30" i="5"/>
  <c r="I76" i="1"/>
  <c r="E80" i="1"/>
  <c r="E63" i="1"/>
  <c r="I64" i="1"/>
  <c r="B2" i="1"/>
  <c r="E22" i="1"/>
  <c r="E29" i="1"/>
  <c r="I27" i="1"/>
  <c r="I15" i="1"/>
  <c r="E46" i="14" s="1"/>
  <c r="G37" i="11"/>
  <c r="I16" i="1"/>
  <c r="E47" i="14" s="1"/>
  <c r="I23" i="11"/>
  <c r="H37" i="11"/>
  <c r="C14" i="11" s="1"/>
  <c r="C16" i="11" s="1"/>
  <c r="D9" i="11"/>
  <c r="D8" i="11"/>
  <c r="D7" i="11"/>
  <c r="D44" i="15" l="1"/>
  <c r="D45" i="15" s="1"/>
  <c r="I120" i="1"/>
  <c r="R110" i="14"/>
  <c r="E120" i="1"/>
  <c r="P110" i="14"/>
  <c r="C113" i="1"/>
  <c r="C115" i="14"/>
  <c r="C109" i="1"/>
  <c r="C113" i="14"/>
  <c r="H110" i="14"/>
  <c r="I107" i="1"/>
  <c r="E107" i="1"/>
  <c r="F110" i="14"/>
  <c r="D14" i="15"/>
  <c r="D16" i="15" s="1"/>
  <c r="C16" i="15"/>
  <c r="C18" i="15" s="1"/>
  <c r="C33" i="15" s="1"/>
  <c r="C35" i="15" s="1"/>
  <c r="J50" i="14"/>
  <c r="J85" i="14"/>
  <c r="D42" i="15"/>
  <c r="E31" i="15"/>
  <c r="E23" i="15"/>
  <c r="E34" i="15"/>
  <c r="E16" i="15"/>
  <c r="E30" i="15"/>
  <c r="E17" i="15"/>
  <c r="E29" i="15"/>
  <c r="D18" i="15"/>
  <c r="E28" i="15"/>
  <c r="E27" i="15"/>
  <c r="E21" i="15"/>
  <c r="E26" i="15"/>
  <c r="E15" i="15"/>
  <c r="E25" i="15"/>
  <c r="E22" i="15"/>
  <c r="E24" i="15"/>
  <c r="E14" i="15"/>
  <c r="I68" i="1"/>
  <c r="GE12" i="5"/>
  <c r="G26" i="14"/>
  <c r="F26" i="14"/>
  <c r="J71" i="14"/>
  <c r="GE61" i="5"/>
  <c r="GE64" i="5"/>
  <c r="I43" i="1"/>
  <c r="E56" i="14"/>
  <c r="H26" i="14"/>
  <c r="I6" i="14"/>
  <c r="I26" i="14" s="1"/>
  <c r="S29" i="2"/>
  <c r="R38" i="2"/>
  <c r="R47" i="2"/>
  <c r="GE47" i="5"/>
  <c r="GE33" i="5"/>
  <c r="GG7" i="5"/>
  <c r="GF19" i="5"/>
  <c r="GF17" i="5"/>
  <c r="GF18" i="5"/>
  <c r="GF61" i="5"/>
  <c r="GF64" i="5"/>
  <c r="GF75" i="5"/>
  <c r="GF66" i="5" s="1"/>
  <c r="GF86" i="5"/>
  <c r="GF88" i="5"/>
  <c r="GF62" i="5" s="1"/>
  <c r="GF12" i="5"/>
  <c r="GF14" i="5"/>
  <c r="GF16" i="5"/>
  <c r="H7" i="5"/>
  <c r="G19" i="5"/>
  <c r="G18" i="5"/>
  <c r="G17" i="5"/>
  <c r="G16" i="5"/>
  <c r="G14" i="5"/>
  <c r="F61" i="5"/>
  <c r="F92" i="5"/>
  <c r="E61" i="1"/>
  <c r="E44" i="1"/>
  <c r="E45" i="1" s="1"/>
  <c r="D33" i="5" s="1"/>
  <c r="F94" i="5"/>
  <c r="F93" i="5"/>
  <c r="D39" i="5"/>
  <c r="D21" i="6"/>
  <c r="D20" i="6"/>
  <c r="I18" i="1"/>
  <c r="J24" i="11"/>
  <c r="K24" i="11" s="1"/>
  <c r="J25" i="11"/>
  <c r="K25" i="11" s="1"/>
  <c r="J26" i="11"/>
  <c r="K26" i="11" s="1"/>
  <c r="J27" i="11"/>
  <c r="K27" i="11" s="1"/>
  <c r="J28" i="11"/>
  <c r="K28" i="11" s="1"/>
  <c r="J29" i="11"/>
  <c r="K29" i="11" s="1"/>
  <c r="J30" i="11"/>
  <c r="K30" i="11" s="1"/>
  <c r="J31" i="11"/>
  <c r="K31" i="11" s="1"/>
  <c r="J32" i="11"/>
  <c r="K32" i="11" s="1"/>
  <c r="J33" i="11"/>
  <c r="K33" i="11" s="1"/>
  <c r="J34" i="11"/>
  <c r="K34" i="11" s="1"/>
  <c r="J35" i="11"/>
  <c r="K35" i="11" s="1"/>
  <c r="J36" i="11"/>
  <c r="K36" i="11" s="1"/>
  <c r="J23" i="11"/>
  <c r="K23" i="11" s="1"/>
  <c r="F9" i="11"/>
  <c r="G9" i="11" s="1"/>
  <c r="CL26" i="5"/>
  <c r="CM26" i="5"/>
  <c r="CN26" i="5"/>
  <c r="CO26" i="5"/>
  <c r="CP26" i="5"/>
  <c r="CQ26" i="5"/>
  <c r="CR26" i="5"/>
  <c r="CS26" i="5"/>
  <c r="CT26" i="5"/>
  <c r="CU26" i="5"/>
  <c r="CV26" i="5"/>
  <c r="CW26" i="5"/>
  <c r="CX26" i="5"/>
  <c r="CY26" i="5"/>
  <c r="CZ26" i="5"/>
  <c r="DA26" i="5"/>
  <c r="DB26" i="5"/>
  <c r="DC26" i="5"/>
  <c r="DD26" i="5"/>
  <c r="DE26" i="5"/>
  <c r="DF26" i="5"/>
  <c r="DG26" i="5"/>
  <c r="DH26" i="5"/>
  <c r="DI26" i="5"/>
  <c r="DJ26" i="5"/>
  <c r="DK26" i="5"/>
  <c r="DL26" i="5"/>
  <c r="DM26" i="5"/>
  <c r="DN26" i="5"/>
  <c r="DO26" i="5"/>
  <c r="DP26" i="5"/>
  <c r="DQ26" i="5"/>
  <c r="DR26" i="5"/>
  <c r="DS26" i="5"/>
  <c r="DT26" i="5"/>
  <c r="DU26" i="5"/>
  <c r="DV26" i="5"/>
  <c r="DW26" i="5"/>
  <c r="DX26" i="5"/>
  <c r="DY26" i="5"/>
  <c r="DZ26" i="5"/>
  <c r="EA26" i="5"/>
  <c r="EB26" i="5"/>
  <c r="EC26" i="5"/>
  <c r="ED26" i="5"/>
  <c r="EE26" i="5"/>
  <c r="EF26" i="5"/>
  <c r="EG26" i="5"/>
  <c r="EH26" i="5"/>
  <c r="EI26" i="5"/>
  <c r="EJ26" i="5"/>
  <c r="EK26" i="5"/>
  <c r="EL26" i="5"/>
  <c r="EM26" i="5"/>
  <c r="EN26" i="5"/>
  <c r="EO26" i="5"/>
  <c r="EP26" i="5"/>
  <c r="EQ26" i="5"/>
  <c r="ER26" i="5"/>
  <c r="ES26" i="5"/>
  <c r="ET26" i="5"/>
  <c r="EU26" i="5"/>
  <c r="EV26" i="5"/>
  <c r="EW26" i="5"/>
  <c r="EX26" i="5"/>
  <c r="EY26" i="5"/>
  <c r="EZ26" i="5"/>
  <c r="FA26" i="5"/>
  <c r="FB26" i="5"/>
  <c r="FC26" i="5"/>
  <c r="FD26" i="5"/>
  <c r="FE26" i="5"/>
  <c r="FF26" i="5"/>
  <c r="FG26" i="5"/>
  <c r="FH26" i="5"/>
  <c r="FI26" i="5"/>
  <c r="FJ26" i="5"/>
  <c r="FK26" i="5"/>
  <c r="FL26" i="5"/>
  <c r="FM26" i="5"/>
  <c r="FN26" i="5"/>
  <c r="FO26" i="5"/>
  <c r="FP26" i="5"/>
  <c r="FQ26" i="5"/>
  <c r="FR26" i="5"/>
  <c r="FS26" i="5"/>
  <c r="FT26" i="5"/>
  <c r="FU26" i="5"/>
  <c r="FV26" i="5"/>
  <c r="FW26" i="5"/>
  <c r="FX26" i="5"/>
  <c r="FY26" i="5"/>
  <c r="FZ26" i="5"/>
  <c r="GA26" i="5"/>
  <c r="GB26" i="5"/>
  <c r="GC26" i="5"/>
  <c r="GD26" i="5"/>
  <c r="D15" i="6"/>
  <c r="D37" i="5"/>
  <c r="D32" i="5"/>
  <c r="F32" i="5" s="1"/>
  <c r="F31" i="5"/>
  <c r="S110" i="14" l="1"/>
  <c r="J120" i="1"/>
  <c r="T110" i="14" s="1"/>
  <c r="O110" i="14"/>
  <c r="D120" i="1"/>
  <c r="N110" i="14" s="1"/>
  <c r="C116" i="14"/>
  <c r="C114" i="1"/>
  <c r="C117" i="14" s="1"/>
  <c r="C112" i="14"/>
  <c r="C108" i="1"/>
  <c r="C111" i="14" s="1"/>
  <c r="J107" i="1"/>
  <c r="J110" i="14" s="1"/>
  <c r="I110" i="14"/>
  <c r="E110" i="14"/>
  <c r="D107" i="1"/>
  <c r="D110" i="14" s="1"/>
  <c r="E49" i="14"/>
  <c r="C6" i="15"/>
  <c r="E86" i="14"/>
  <c r="E87" i="14" s="1"/>
  <c r="J86" i="14" s="1"/>
  <c r="J88" i="14" s="1"/>
  <c r="J89" i="14" s="1"/>
  <c r="E18" i="15"/>
  <c r="D33" i="15"/>
  <c r="GE39" i="5"/>
  <c r="E57" i="14"/>
  <c r="I46" i="1"/>
  <c r="D40" i="5"/>
  <c r="G40" i="5" s="1"/>
  <c r="J6" i="14"/>
  <c r="J26" i="14" s="1"/>
  <c r="S38" i="2"/>
  <c r="S47" i="2"/>
  <c r="T29" i="2"/>
  <c r="GH7" i="5"/>
  <c r="GG19" i="5"/>
  <c r="GG12" i="5"/>
  <c r="GG17" i="5"/>
  <c r="GG61" i="5"/>
  <c r="GG18" i="5"/>
  <c r="GG64" i="5"/>
  <c r="GG75" i="5"/>
  <c r="GG66" i="5" s="1"/>
  <c r="GG86" i="5"/>
  <c r="GG88" i="5"/>
  <c r="GG62" i="5" s="1"/>
  <c r="GG14" i="5"/>
  <c r="GG16" i="5"/>
  <c r="GF33" i="5"/>
  <c r="GF47" i="5"/>
  <c r="GF39" i="5"/>
  <c r="H16" i="5"/>
  <c r="H17" i="5"/>
  <c r="H14" i="5"/>
  <c r="I7" i="5"/>
  <c r="H19" i="5"/>
  <c r="H18" i="5"/>
  <c r="F34" i="5"/>
  <c r="F37" i="5" s="1"/>
  <c r="F43" i="5" s="1"/>
  <c r="F58" i="5"/>
  <c r="F57" i="5"/>
  <c r="F97" i="5"/>
  <c r="E65" i="1"/>
  <c r="E41" i="1"/>
  <c r="E54" i="14" s="1"/>
  <c r="D17" i="11" a="1"/>
  <c r="K37" i="11"/>
  <c r="J37" i="11"/>
  <c r="D14" i="11" s="1"/>
  <c r="F45" i="15" l="1"/>
  <c r="F18" i="15"/>
  <c r="F21" i="15"/>
  <c r="F38" i="15"/>
  <c r="F16" i="15"/>
  <c r="F24" i="15"/>
  <c r="C8" i="15"/>
  <c r="F23" i="15"/>
  <c r="F25" i="15"/>
  <c r="F34" i="15"/>
  <c r="F30" i="15"/>
  <c r="F29" i="15"/>
  <c r="F17" i="15"/>
  <c r="F28" i="15"/>
  <c r="F27" i="15"/>
  <c r="F26" i="15"/>
  <c r="F22" i="15"/>
  <c r="F14" i="15"/>
  <c r="F31" i="15"/>
  <c r="F40" i="15"/>
  <c r="F44" i="15"/>
  <c r="F41" i="15"/>
  <c r="F15" i="15"/>
  <c r="E33" i="15"/>
  <c r="F33" i="15"/>
  <c r="D35" i="15"/>
  <c r="K6" i="14"/>
  <c r="K26" i="14" s="1"/>
  <c r="T47" i="2"/>
  <c r="T38" i="2"/>
  <c r="U29" i="2"/>
  <c r="I94" i="1"/>
  <c r="GI7" i="5"/>
  <c r="GH19" i="5"/>
  <c r="GH12" i="5"/>
  <c r="GH17" i="5"/>
  <c r="GH18" i="5"/>
  <c r="GH61" i="5"/>
  <c r="GH64" i="5"/>
  <c r="GH75" i="5"/>
  <c r="GH66" i="5" s="1"/>
  <c r="GH86" i="5"/>
  <c r="GH88" i="5"/>
  <c r="GH62" i="5" s="1"/>
  <c r="GH14" i="5"/>
  <c r="GH16" i="5"/>
  <c r="GG47" i="5"/>
  <c r="GG33" i="5"/>
  <c r="GG39" i="5"/>
  <c r="J7" i="5"/>
  <c r="I18" i="5"/>
  <c r="I19" i="5"/>
  <c r="I17" i="5"/>
  <c r="I14" i="5"/>
  <c r="I16" i="5"/>
  <c r="F59" i="5"/>
  <c r="D41" i="5"/>
  <c r="G41" i="5" s="1"/>
  <c r="D23" i="6"/>
  <c r="D15" i="11"/>
  <c r="D16" i="11"/>
  <c r="E35" i="15" l="1"/>
  <c r="F35" i="15"/>
  <c r="L34" i="14"/>
  <c r="L6" i="14"/>
  <c r="L26" i="14" s="1"/>
  <c r="U38" i="2"/>
  <c r="U47" i="2"/>
  <c r="V29" i="2"/>
  <c r="GJ7" i="5"/>
  <c r="GI19" i="5"/>
  <c r="GI12" i="5"/>
  <c r="GI17" i="5"/>
  <c r="GI61" i="5"/>
  <c r="GI18" i="5"/>
  <c r="GI64" i="5"/>
  <c r="GI75" i="5"/>
  <c r="GI66" i="5" s="1"/>
  <c r="GI86" i="5"/>
  <c r="GI88" i="5"/>
  <c r="GI62" i="5" s="1"/>
  <c r="GI14" i="5"/>
  <c r="GI16" i="5"/>
  <c r="GH47" i="5"/>
  <c r="GH33" i="5"/>
  <c r="GH39" i="5"/>
  <c r="J19" i="5"/>
  <c r="J17" i="5"/>
  <c r="K7" i="5"/>
  <c r="J14" i="5"/>
  <c r="J16" i="5"/>
  <c r="J18" i="5"/>
  <c r="I35" i="11"/>
  <c r="F7" i="11"/>
  <c r="G7" i="11" s="1"/>
  <c r="F8" i="11"/>
  <c r="G8" i="11" s="1"/>
  <c r="I33" i="11"/>
  <c r="M6" i="14" l="1"/>
  <c r="M26" i="14" s="1"/>
  <c r="V47" i="2"/>
  <c r="V38" i="2"/>
  <c r="W29" i="2"/>
  <c r="GK7" i="5"/>
  <c r="GJ19" i="5"/>
  <c r="GJ17" i="5"/>
  <c r="GJ18" i="5"/>
  <c r="GJ61" i="5"/>
  <c r="GJ64" i="5"/>
  <c r="GJ75" i="5"/>
  <c r="GJ66" i="5" s="1"/>
  <c r="GJ86" i="5"/>
  <c r="GJ88" i="5"/>
  <c r="GJ62" i="5" s="1"/>
  <c r="GJ12" i="5"/>
  <c r="GJ14" i="5"/>
  <c r="GJ16" i="5"/>
  <c r="GI47" i="5"/>
  <c r="GI33" i="5"/>
  <c r="GI39" i="5"/>
  <c r="K14" i="5"/>
  <c r="K17" i="5"/>
  <c r="K19" i="5"/>
  <c r="K16" i="5"/>
  <c r="K18" i="5"/>
  <c r="L7" i="5"/>
  <c r="I27" i="11"/>
  <c r="I28" i="11"/>
  <c r="I34" i="11"/>
  <c r="I26" i="11"/>
  <c r="I25" i="11"/>
  <c r="I29" i="11"/>
  <c r="I36" i="11"/>
  <c r="I31" i="11"/>
  <c r="I30" i="11"/>
  <c r="I32" i="11"/>
  <c r="I24" i="11"/>
  <c r="N6" i="14" l="1"/>
  <c r="N26" i="14" s="1"/>
  <c r="W38" i="2"/>
  <c r="W47" i="2"/>
  <c r="GL7" i="5"/>
  <c r="GK19" i="5"/>
  <c r="GK12" i="5"/>
  <c r="GK17" i="5"/>
  <c r="GK18" i="5"/>
  <c r="GK61" i="5"/>
  <c r="GK64" i="5"/>
  <c r="GK75" i="5"/>
  <c r="GK66" i="5" s="1"/>
  <c r="GK86" i="5"/>
  <c r="GK88" i="5"/>
  <c r="GK62" i="5" s="1"/>
  <c r="GK14" i="5"/>
  <c r="GK16" i="5"/>
  <c r="GJ33" i="5"/>
  <c r="GJ47" i="5"/>
  <c r="GJ39" i="5"/>
  <c r="M7" i="5"/>
  <c r="L14" i="5"/>
  <c r="L16" i="5"/>
  <c r="L18" i="5"/>
  <c r="L19" i="5"/>
  <c r="L17" i="5"/>
  <c r="C17" i="11" a="1"/>
  <c r="D18" i="11" s="1"/>
  <c r="I60" i="1"/>
  <c r="I37" i="11"/>
  <c r="E20" i="1" s="1"/>
  <c r="F5" i="6"/>
  <c r="O6" i="14" l="1"/>
  <c r="O26" i="14" s="1"/>
  <c r="GM7" i="5"/>
  <c r="GL19" i="5"/>
  <c r="GL12" i="5"/>
  <c r="GL17" i="5"/>
  <c r="GL18" i="5"/>
  <c r="GL61" i="5"/>
  <c r="GL64" i="5"/>
  <c r="GL75" i="5"/>
  <c r="GL66" i="5" s="1"/>
  <c r="GL86" i="5"/>
  <c r="GL88" i="5"/>
  <c r="GL62" i="5" s="1"/>
  <c r="GL14" i="5"/>
  <c r="GL16" i="5"/>
  <c r="GK47" i="5"/>
  <c r="GK33" i="5"/>
  <c r="GK39" i="5"/>
  <c r="N7" i="5"/>
  <c r="M14" i="5"/>
  <c r="M16" i="5"/>
  <c r="M17" i="5"/>
  <c r="M19" i="5"/>
  <c r="M18" i="5"/>
  <c r="D42" i="5"/>
  <c r="G42" i="5" s="1"/>
  <c r="D22" i="6"/>
  <c r="H5" i="6"/>
  <c r="P6" i="14" l="1"/>
  <c r="GM19" i="5"/>
  <c r="GM12" i="5"/>
  <c r="GM17" i="5"/>
  <c r="GM61" i="5"/>
  <c r="GM18" i="5"/>
  <c r="GM64" i="5"/>
  <c r="GM75" i="5"/>
  <c r="GM66" i="5" s="1"/>
  <c r="GM86" i="5"/>
  <c r="GM88" i="5"/>
  <c r="GM62" i="5" s="1"/>
  <c r="GM14" i="5"/>
  <c r="GM16" i="5"/>
  <c r="GL47" i="5"/>
  <c r="GL33" i="5"/>
  <c r="GL39" i="5"/>
  <c r="O7" i="5"/>
  <c r="N14" i="5"/>
  <c r="N16" i="5"/>
  <c r="N18" i="5"/>
  <c r="N17" i="5"/>
  <c r="N19" i="5"/>
  <c r="Q6" i="14" l="1"/>
  <c r="Q26" i="14" s="1"/>
  <c r="GM47" i="5"/>
  <c r="GM33" i="5"/>
  <c r="GM39" i="5"/>
  <c r="O14" i="5"/>
  <c r="O16" i="5"/>
  <c r="O18" i="5"/>
  <c r="O19" i="5"/>
  <c r="P7" i="5"/>
  <c r="O17" i="5"/>
  <c r="D18" i="2"/>
  <c r="R6" i="14" l="1"/>
  <c r="R26" i="14" s="1"/>
  <c r="P18" i="5"/>
  <c r="Q7" i="5"/>
  <c r="P14" i="5"/>
  <c r="P16" i="5"/>
  <c r="P17" i="5"/>
  <c r="P19" i="5"/>
  <c r="D23" i="2"/>
  <c r="E32" i="1"/>
  <c r="J45" i="14" s="1"/>
  <c r="S6" i="14" l="1"/>
  <c r="S26" i="14" s="1"/>
  <c r="Q16" i="5"/>
  <c r="Q14" i="5"/>
  <c r="Q18" i="5"/>
  <c r="Q19" i="5"/>
  <c r="R7" i="5"/>
  <c r="Q17" i="5"/>
  <c r="E34" i="1"/>
  <c r="F25" i="5"/>
  <c r="I93" i="1" l="1"/>
  <c r="D93" i="1" s="1"/>
  <c r="J46" i="14"/>
  <c r="T6" i="14"/>
  <c r="T26" i="14" s="1"/>
  <c r="R16" i="5"/>
  <c r="S7" i="5"/>
  <c r="R14" i="5"/>
  <c r="R17" i="5"/>
  <c r="R18" i="5"/>
  <c r="R19" i="5"/>
  <c r="E36" i="1"/>
  <c r="J48" i="14" s="1"/>
  <c r="E35" i="1"/>
  <c r="J47" i="14" s="1"/>
  <c r="H33" i="14" l="1"/>
  <c r="F8" i="14"/>
  <c r="L33" i="14"/>
  <c r="E84" i="1"/>
  <c r="U6" i="14"/>
  <c r="U26" i="14" s="1"/>
  <c r="E13" i="2"/>
  <c r="S14" i="5"/>
  <c r="S16" i="5"/>
  <c r="S19" i="5"/>
  <c r="S18" i="5"/>
  <c r="T7" i="5"/>
  <c r="S17" i="5"/>
  <c r="V6" i="14" l="1"/>
  <c r="V26" i="14" s="1"/>
  <c r="T16" i="5"/>
  <c r="U7" i="5"/>
  <c r="T14" i="5"/>
  <c r="T17" i="5"/>
  <c r="T18" i="5"/>
  <c r="T19" i="5"/>
  <c r="U14" i="5" l="1"/>
  <c r="U16" i="5"/>
  <c r="V7" i="5"/>
  <c r="U19" i="5"/>
  <c r="U18" i="5"/>
  <c r="U17" i="5"/>
  <c r="V17" i="5" l="1"/>
  <c r="V19" i="5"/>
  <c r="V14" i="5"/>
  <c r="W7" i="5"/>
  <c r="V16" i="5"/>
  <c r="V18" i="5"/>
  <c r="Q45" i="6" l="1"/>
  <c r="W18" i="5"/>
  <c r="W19" i="5"/>
  <c r="W16" i="5"/>
  <c r="W17" i="5"/>
  <c r="X7" i="5"/>
  <c r="W14" i="5"/>
  <c r="R45" i="6" l="1"/>
  <c r="X14" i="5"/>
  <c r="X16" i="5"/>
  <c r="X19" i="5"/>
  <c r="Y7" i="5"/>
  <c r="X18" i="5"/>
  <c r="X17" i="5"/>
  <c r="S45" i="6" l="1"/>
  <c r="Y18" i="5"/>
  <c r="Y17" i="5"/>
  <c r="Y14" i="5"/>
  <c r="Z7" i="5"/>
  <c r="Y16" i="5"/>
  <c r="Y19" i="5"/>
  <c r="T45" i="6" l="1"/>
  <c r="Z17" i="5"/>
  <c r="Z18" i="5"/>
  <c r="Z19" i="5"/>
  <c r="AA7" i="5"/>
  <c r="Z14" i="5"/>
  <c r="Z16" i="5"/>
  <c r="U45" i="6" l="1"/>
  <c r="AA17" i="5"/>
  <c r="AA14" i="5"/>
  <c r="AA16" i="5"/>
  <c r="AB7" i="5"/>
  <c r="AA19" i="5"/>
  <c r="AA18" i="5"/>
  <c r="V16" i="6" l="1"/>
  <c r="V14" i="14" s="1"/>
  <c r="V45" i="6"/>
  <c r="V42" i="6"/>
  <c r="V40" i="6"/>
  <c r="V28" i="6"/>
  <c r="V21" i="14" s="1"/>
  <c r="V21" i="6"/>
  <c r="V46" i="6"/>
  <c r="V33" i="6"/>
  <c r="V44" i="6"/>
  <c r="V28" i="14" s="1"/>
  <c r="AC7" i="5"/>
  <c r="AB19" i="5"/>
  <c r="AB17" i="5"/>
  <c r="AB16" i="5"/>
  <c r="AB14" i="5"/>
  <c r="AB18" i="5"/>
  <c r="V48" i="6" l="1"/>
  <c r="W32" i="2"/>
  <c r="AD7" i="5"/>
  <c r="AC17" i="5"/>
  <c r="AC18" i="5"/>
  <c r="AC19" i="5"/>
  <c r="AC14" i="5"/>
  <c r="AC16" i="5"/>
  <c r="W37" i="2" l="1"/>
  <c r="W46" i="2" s="1"/>
  <c r="AD19" i="5"/>
  <c r="AD18" i="5"/>
  <c r="AD17" i="5"/>
  <c r="AD14" i="5"/>
  <c r="AE7" i="5"/>
  <c r="AD16" i="5"/>
  <c r="AE16" i="5" l="1"/>
  <c r="AE18" i="5"/>
  <c r="AE19" i="5"/>
  <c r="AE17" i="5"/>
  <c r="AF7" i="5"/>
  <c r="AE14" i="5"/>
  <c r="AF14" i="5" l="1"/>
  <c r="AF16" i="5"/>
  <c r="AG7" i="5"/>
  <c r="AF18" i="5"/>
  <c r="AF19" i="5"/>
  <c r="AF17" i="5"/>
  <c r="AG18" i="5" l="1"/>
  <c r="AG19" i="5"/>
  <c r="AG16" i="5"/>
  <c r="AG17" i="5"/>
  <c r="AH7" i="5"/>
  <c r="AG14" i="5"/>
  <c r="AH16" i="5" l="1"/>
  <c r="AH14" i="5"/>
  <c r="AH17" i="5"/>
  <c r="AH18" i="5"/>
  <c r="AH19" i="5"/>
  <c r="AI7" i="5"/>
  <c r="AI17" i="5" l="1"/>
  <c r="AI14" i="5"/>
  <c r="AI16" i="5"/>
  <c r="AJ7" i="5"/>
  <c r="AI18" i="5"/>
  <c r="AI19" i="5"/>
  <c r="AJ18" i="5" l="1"/>
  <c r="AJ19" i="5"/>
  <c r="AJ17" i="5"/>
  <c r="AK7" i="5"/>
  <c r="AJ14" i="5"/>
  <c r="AJ16" i="5"/>
  <c r="AK14" i="5" l="1"/>
  <c r="AL7" i="5"/>
  <c r="AK18" i="5"/>
  <c r="AK16" i="5"/>
  <c r="AK17" i="5"/>
  <c r="AK19" i="5"/>
  <c r="AL14" i="5" l="1"/>
  <c r="AL18" i="5"/>
  <c r="AL19" i="5"/>
  <c r="AM7" i="5"/>
  <c r="AL17" i="5"/>
  <c r="AL16" i="5"/>
  <c r="AM16" i="5" l="1"/>
  <c r="AM17" i="5"/>
  <c r="AM18" i="5"/>
  <c r="AM19" i="5"/>
  <c r="AN7" i="5"/>
  <c r="AM14" i="5"/>
  <c r="AN17" i="5" l="1"/>
  <c r="AN14" i="5"/>
  <c r="AO7" i="5"/>
  <c r="AN18" i="5"/>
  <c r="AN19" i="5"/>
  <c r="AN16" i="5"/>
  <c r="AO14" i="5" l="1"/>
  <c r="AO18" i="5"/>
  <c r="AO19" i="5"/>
  <c r="AO17" i="5"/>
  <c r="AP7" i="5"/>
  <c r="AO16" i="5"/>
  <c r="AP14" i="5" l="1"/>
  <c r="AP16" i="5"/>
  <c r="AP17" i="5"/>
  <c r="AP18" i="5"/>
  <c r="AP19" i="5"/>
  <c r="AQ7" i="5"/>
  <c r="AR7" i="5" l="1"/>
  <c r="AQ17" i="5"/>
  <c r="AQ16" i="5"/>
  <c r="AQ14" i="5"/>
  <c r="AQ18" i="5"/>
  <c r="AQ19" i="5"/>
  <c r="AS7" i="5" l="1"/>
  <c r="AR16" i="5"/>
  <c r="AR17" i="5"/>
  <c r="AR14" i="5"/>
  <c r="AR18" i="5"/>
  <c r="AR19" i="5"/>
  <c r="AT7" i="5" l="1"/>
  <c r="AS14" i="5"/>
  <c r="AS16" i="5"/>
  <c r="AS17" i="5"/>
  <c r="AS18" i="5"/>
  <c r="AS19" i="5"/>
  <c r="AT16" i="5" l="1"/>
  <c r="AU7" i="5"/>
  <c r="AT18" i="5"/>
  <c r="AT19" i="5"/>
  <c r="AT14" i="5"/>
  <c r="AT17" i="5"/>
  <c r="AU18" i="5" l="1"/>
  <c r="AU19" i="5"/>
  <c r="AU17" i="5"/>
  <c r="AU16" i="5"/>
  <c r="AV7" i="5"/>
  <c r="AU14" i="5"/>
  <c r="AV14" i="5" l="1"/>
  <c r="AV16" i="5"/>
  <c r="AV17" i="5"/>
  <c r="AV18" i="5"/>
  <c r="AV19" i="5"/>
  <c r="AW7" i="5"/>
  <c r="AX7" i="5" l="1"/>
  <c r="AW14" i="5"/>
  <c r="AW16" i="5"/>
  <c r="AW18" i="5"/>
  <c r="AW19" i="5"/>
  <c r="AW17" i="5"/>
  <c r="AX14" i="5" l="1"/>
  <c r="AX18" i="5"/>
  <c r="AX16" i="5"/>
  <c r="AX19" i="5"/>
  <c r="AY7" i="5"/>
  <c r="AX17" i="5"/>
  <c r="AY16" i="5" l="1"/>
  <c r="AY14" i="5"/>
  <c r="AZ7" i="5"/>
  <c r="AY17" i="5"/>
  <c r="AY18" i="5"/>
  <c r="AY19" i="5"/>
  <c r="AZ18" i="5" l="1"/>
  <c r="AZ19" i="5"/>
  <c r="BA7" i="5"/>
  <c r="AZ17" i="5"/>
  <c r="AZ14" i="5"/>
  <c r="AZ16" i="5"/>
  <c r="BA16" i="5" l="1"/>
  <c r="BA17" i="5"/>
  <c r="BB7" i="5"/>
  <c r="BA18" i="5"/>
  <c r="BA14" i="5"/>
  <c r="BA19" i="5"/>
  <c r="BB14" i="5" l="1"/>
  <c r="BB16" i="5"/>
  <c r="BB17" i="5"/>
  <c r="BB18" i="5"/>
  <c r="BB19" i="5"/>
  <c r="BC7" i="5"/>
  <c r="BD7" i="5" l="1"/>
  <c r="BC17" i="5"/>
  <c r="BC14" i="5"/>
  <c r="BC16" i="5"/>
  <c r="BC18" i="5"/>
  <c r="BC19" i="5"/>
  <c r="BD14" i="5" l="1"/>
  <c r="BE7" i="5"/>
  <c r="BD16" i="5"/>
  <c r="BD18" i="5"/>
  <c r="BD19" i="5"/>
  <c r="BD17" i="5"/>
  <c r="BE16" i="5" l="1"/>
  <c r="BF7" i="5"/>
  <c r="BE17" i="5"/>
  <c r="BE18" i="5"/>
  <c r="BE19" i="5"/>
  <c r="BE14" i="5"/>
  <c r="BF19" i="5" l="1"/>
  <c r="BF16" i="5"/>
  <c r="BF17" i="5"/>
  <c r="BF14" i="5"/>
  <c r="BG7" i="5"/>
  <c r="BF18" i="5"/>
  <c r="BG14" i="5" l="1"/>
  <c r="BG16" i="5"/>
  <c r="BG18" i="5"/>
  <c r="BG19" i="5"/>
  <c r="BH7" i="5"/>
  <c r="BG17" i="5"/>
  <c r="BI7" i="5" l="1"/>
  <c r="BH14" i="5"/>
  <c r="BH16" i="5"/>
  <c r="BH17" i="5"/>
  <c r="BH18" i="5"/>
  <c r="BH19" i="5"/>
  <c r="BI17" i="5" l="1"/>
  <c r="BI14" i="5"/>
  <c r="BI16" i="5"/>
  <c r="BI18" i="5"/>
  <c r="BI19" i="5"/>
  <c r="BJ7" i="5"/>
  <c r="BK7" i="5" l="1"/>
  <c r="BJ16" i="5"/>
  <c r="BJ17" i="5"/>
  <c r="BJ14" i="5"/>
  <c r="BJ18" i="5"/>
  <c r="BJ19" i="5"/>
  <c r="BL7" i="5" l="1"/>
  <c r="BK14" i="5"/>
  <c r="BK16" i="5"/>
  <c r="BK17" i="5"/>
  <c r="BK18" i="5"/>
  <c r="BK19" i="5"/>
  <c r="BL16" i="5" l="1"/>
  <c r="BL14" i="5"/>
  <c r="BL18" i="5"/>
  <c r="BL19" i="5"/>
  <c r="BM7" i="5"/>
  <c r="BL17" i="5"/>
  <c r="BM14" i="5" l="1"/>
  <c r="BM16" i="5"/>
  <c r="BM17" i="5"/>
  <c r="BN7" i="5"/>
  <c r="BM18" i="5"/>
  <c r="BM19" i="5"/>
  <c r="BO7" i="5" l="1"/>
  <c r="BN16" i="5"/>
  <c r="BN18" i="5"/>
  <c r="BN19" i="5"/>
  <c r="BN14" i="5"/>
  <c r="BN17" i="5"/>
  <c r="BO14" i="5" l="1"/>
  <c r="BO16" i="5"/>
  <c r="BO17" i="5"/>
  <c r="BO18" i="5"/>
  <c r="BO19" i="5"/>
  <c r="BP7" i="5"/>
  <c r="BQ7" i="5" l="1"/>
  <c r="BP14" i="5"/>
  <c r="BP18" i="5"/>
  <c r="BP19" i="5"/>
  <c r="BP16" i="5"/>
  <c r="BP17" i="5"/>
  <c r="BR7" i="5" l="1"/>
  <c r="BQ18" i="5"/>
  <c r="BQ14" i="5"/>
  <c r="BQ16" i="5"/>
  <c r="BQ19" i="5"/>
  <c r="BQ17" i="5"/>
  <c r="BR17" i="5" l="1"/>
  <c r="BR18" i="5"/>
  <c r="BR19" i="5"/>
  <c r="BR14" i="5"/>
  <c r="BS7" i="5"/>
  <c r="BR16" i="5"/>
  <c r="BS16" i="5" l="1"/>
  <c r="BT7" i="5"/>
  <c r="BS14" i="5"/>
  <c r="BS18" i="5"/>
  <c r="BS19" i="5"/>
  <c r="BS17" i="5"/>
  <c r="BT18" i="5" l="1"/>
  <c r="BT19" i="5"/>
  <c r="BT17" i="5"/>
  <c r="BU7" i="5"/>
  <c r="BT14" i="5"/>
  <c r="BT16" i="5"/>
  <c r="BU16" i="5" l="1"/>
  <c r="BU17" i="5"/>
  <c r="BU18" i="5"/>
  <c r="BU19" i="5"/>
  <c r="BV7" i="5"/>
  <c r="BU14" i="5"/>
  <c r="BW7" i="5" l="1"/>
  <c r="BV17" i="5"/>
  <c r="BV16" i="5"/>
  <c r="BV14" i="5"/>
  <c r="BV18" i="5"/>
  <c r="BV19" i="5"/>
  <c r="BX7" i="5" l="1"/>
  <c r="BW17" i="5"/>
  <c r="BW14" i="5"/>
  <c r="BW16" i="5"/>
  <c r="BW18" i="5"/>
  <c r="BW19" i="5"/>
  <c r="BY7" i="5" l="1"/>
  <c r="BX16" i="5"/>
  <c r="BX14" i="5"/>
  <c r="BX17" i="5"/>
  <c r="BX18" i="5"/>
  <c r="BX19" i="5"/>
  <c r="BZ7" i="5" l="1"/>
  <c r="BY17" i="5"/>
  <c r="BY14" i="5"/>
  <c r="BY16" i="5"/>
  <c r="BY18" i="5"/>
  <c r="BY19" i="5"/>
  <c r="BZ17" i="5" l="1"/>
  <c r="CA7" i="5"/>
  <c r="BZ16" i="5"/>
  <c r="BZ14" i="5"/>
  <c r="BZ18" i="5"/>
  <c r="BZ19" i="5"/>
  <c r="CB7" i="5" l="1"/>
  <c r="CA14" i="5"/>
  <c r="CA16" i="5"/>
  <c r="CA17" i="5"/>
  <c r="CA18" i="5"/>
  <c r="CA19" i="5"/>
  <c r="CB16" i="5" l="1"/>
  <c r="CC7" i="5"/>
  <c r="CB14" i="5"/>
  <c r="CB18" i="5"/>
  <c r="CB19" i="5"/>
  <c r="CB17" i="5"/>
  <c r="CC18" i="5" l="1"/>
  <c r="CC19" i="5"/>
  <c r="CD7" i="5"/>
  <c r="CC14" i="5"/>
  <c r="CC17" i="5"/>
  <c r="CC16" i="5"/>
  <c r="CD17" i="5" l="1"/>
  <c r="CE7" i="5"/>
  <c r="CD16" i="5"/>
  <c r="CD14" i="5"/>
  <c r="CD18" i="5"/>
  <c r="CD19" i="5"/>
  <c r="CE14" i="5" l="1"/>
  <c r="CE16" i="5"/>
  <c r="CE17" i="5"/>
  <c r="CE18" i="5"/>
  <c r="CE19" i="5"/>
  <c r="CF7" i="5"/>
  <c r="CG7" i="5" l="1"/>
  <c r="CF16" i="5"/>
  <c r="CF14" i="5"/>
  <c r="CF18" i="5"/>
  <c r="CF19" i="5"/>
  <c r="CF17" i="5"/>
  <c r="CG14" i="5" l="1"/>
  <c r="CG16" i="5"/>
  <c r="CG18" i="5"/>
  <c r="CG19" i="5"/>
  <c r="CH7" i="5"/>
  <c r="CG17" i="5"/>
  <c r="CH14" i="5" l="1"/>
  <c r="CH17" i="5"/>
  <c r="CI7" i="5"/>
  <c r="CH16" i="5"/>
  <c r="CH18" i="5"/>
  <c r="CH19" i="5"/>
  <c r="CI16" i="5" l="1"/>
  <c r="CI17" i="5"/>
  <c r="CI18" i="5"/>
  <c r="CI19" i="5"/>
  <c r="CJ7" i="5"/>
  <c r="CI14" i="5"/>
  <c r="CJ16" i="5" l="1"/>
  <c r="CJ14" i="5"/>
  <c r="CJ17" i="5"/>
  <c r="CJ18" i="5"/>
  <c r="CJ19" i="5"/>
  <c r="CK7" i="5"/>
  <c r="CL7" i="5" l="1"/>
  <c r="CK14" i="5"/>
  <c r="CK16" i="5"/>
  <c r="CK17" i="5"/>
  <c r="CK18" i="5"/>
  <c r="CK19" i="5"/>
  <c r="CM7" i="5" l="1"/>
  <c r="CL14" i="5"/>
  <c r="CL17" i="5"/>
  <c r="CL16" i="5"/>
  <c r="CL18" i="5"/>
  <c r="CL19" i="5"/>
  <c r="CN7" i="5" l="1"/>
  <c r="CM17" i="5"/>
  <c r="CM14" i="5"/>
  <c r="CM16" i="5"/>
  <c r="CM18" i="5"/>
  <c r="CM19" i="5"/>
  <c r="CO7" i="5" l="1"/>
  <c r="CN16" i="5"/>
  <c r="CN14" i="5"/>
  <c r="CN17" i="5"/>
  <c r="CN18" i="5"/>
  <c r="CN19" i="5"/>
  <c r="CO14" i="5" l="1"/>
  <c r="CO16" i="5"/>
  <c r="CO17" i="5"/>
  <c r="CO18" i="5"/>
  <c r="CP7" i="5"/>
  <c r="CO19" i="5"/>
  <c r="CP17" i="5" l="1"/>
  <c r="CP18" i="5"/>
  <c r="CP19" i="5"/>
  <c r="CQ7" i="5"/>
  <c r="CP16" i="5"/>
  <c r="CP14" i="5"/>
  <c r="CR7" i="5" l="1"/>
  <c r="CQ14" i="5"/>
  <c r="CQ16" i="5"/>
  <c r="CQ17" i="5"/>
  <c r="CQ18" i="5"/>
  <c r="CQ19" i="5"/>
  <c r="CS7" i="5" l="1"/>
  <c r="CR14" i="5"/>
  <c r="CR16" i="5"/>
  <c r="CR17" i="5"/>
  <c r="CR18" i="5"/>
  <c r="CR19" i="5"/>
  <c r="CS16" i="5" l="1"/>
  <c r="CS17" i="5"/>
  <c r="CS14" i="5"/>
  <c r="CS18" i="5"/>
  <c r="CS19" i="5"/>
  <c r="CT7" i="5"/>
  <c r="CT14" i="5" l="1"/>
  <c r="CT16" i="5"/>
  <c r="CT17" i="5"/>
  <c r="CT18" i="5"/>
  <c r="CT19" i="5"/>
  <c r="CU7" i="5"/>
  <c r="G9" i="6"/>
  <c r="H9" i="6" s="1"/>
  <c r="I9" i="6" s="1"/>
  <c r="J9" i="6" s="1"/>
  <c r="K9" i="6" s="1"/>
  <c r="L9" i="6" s="1"/>
  <c r="M9" i="6" s="1"/>
  <c r="N9" i="6" s="1"/>
  <c r="O9" i="6" s="1"/>
  <c r="P9" i="6" s="1"/>
  <c r="Q9" i="6" s="1"/>
  <c r="R9" i="6" s="1"/>
  <c r="S9" i="6" s="1"/>
  <c r="T9" i="6" s="1"/>
  <c r="U9" i="6" s="1"/>
  <c r="V9" i="6" s="1"/>
  <c r="D52" i="5"/>
  <c r="F24" i="5"/>
  <c r="CV7" i="5" l="1"/>
  <c r="CU16" i="5"/>
  <c r="CU14" i="5"/>
  <c r="CU17" i="5"/>
  <c r="CU18" i="5"/>
  <c r="CU19" i="5"/>
  <c r="F8" i="5"/>
  <c r="G8" i="5" s="1"/>
  <c r="G11" i="5" s="1"/>
  <c r="F4" i="5"/>
  <c r="F5" i="5" s="1"/>
  <c r="L25" i="2"/>
  <c r="L21" i="2"/>
  <c r="E64" i="2" s="1"/>
  <c r="E70" i="2" l="1"/>
  <c r="C68" i="2"/>
  <c r="GE13" i="5"/>
  <c r="GE10" i="5"/>
  <c r="GF10" i="5"/>
  <c r="GF13" i="5"/>
  <c r="GG10" i="5"/>
  <c r="GG13" i="5"/>
  <c r="GH10" i="5"/>
  <c r="GH13" i="5"/>
  <c r="GI10" i="5"/>
  <c r="GI13" i="5"/>
  <c r="GJ10" i="5"/>
  <c r="GJ13" i="5"/>
  <c r="GK10" i="5"/>
  <c r="GK13" i="5"/>
  <c r="GL13" i="5"/>
  <c r="GL10" i="5"/>
  <c r="GM13" i="5"/>
  <c r="GM10" i="5"/>
  <c r="CU10" i="5"/>
  <c r="CU13" i="5"/>
  <c r="AZ13" i="5"/>
  <c r="F13" i="5"/>
  <c r="F95" i="5" s="1"/>
  <c r="G10" i="5"/>
  <c r="G13" i="5"/>
  <c r="H10" i="5"/>
  <c r="H13" i="5"/>
  <c r="I10" i="5"/>
  <c r="I13" i="5"/>
  <c r="J10" i="5"/>
  <c r="J13" i="5"/>
  <c r="K13" i="5"/>
  <c r="K10" i="5"/>
  <c r="L10" i="5"/>
  <c r="L13" i="5"/>
  <c r="M10" i="5"/>
  <c r="M13" i="5"/>
  <c r="N10" i="5"/>
  <c r="N13" i="5"/>
  <c r="O10" i="5"/>
  <c r="O13" i="5"/>
  <c r="P10" i="5"/>
  <c r="P13" i="5"/>
  <c r="Q10" i="5"/>
  <c r="Q13" i="5"/>
  <c r="R10" i="5"/>
  <c r="R13" i="5"/>
  <c r="S10" i="5"/>
  <c r="S13" i="5"/>
  <c r="T10" i="5"/>
  <c r="T13" i="5"/>
  <c r="U10" i="5"/>
  <c r="U13" i="5"/>
  <c r="V10" i="5"/>
  <c r="V13" i="5"/>
  <c r="W10" i="5"/>
  <c r="W13" i="5"/>
  <c r="X10" i="5"/>
  <c r="X13" i="5"/>
  <c r="Y10" i="5"/>
  <c r="Y13" i="5"/>
  <c r="Z10" i="5"/>
  <c r="Z13" i="5"/>
  <c r="AA10" i="5"/>
  <c r="AA13" i="5"/>
  <c r="AB10" i="5"/>
  <c r="AB13" i="5"/>
  <c r="AC13" i="5"/>
  <c r="AC10" i="5"/>
  <c r="AD10" i="5"/>
  <c r="AD13" i="5"/>
  <c r="AE10" i="5"/>
  <c r="AE13" i="5"/>
  <c r="AF13" i="5"/>
  <c r="AF10" i="5"/>
  <c r="AG13" i="5"/>
  <c r="AG10" i="5"/>
  <c r="AH10" i="5"/>
  <c r="AH13" i="5"/>
  <c r="AI10" i="5"/>
  <c r="AI13" i="5"/>
  <c r="AJ10" i="5"/>
  <c r="AJ13" i="5"/>
  <c r="AK13" i="5"/>
  <c r="AK10" i="5"/>
  <c r="AL13" i="5"/>
  <c r="AL10" i="5"/>
  <c r="AM10" i="5"/>
  <c r="AM13" i="5"/>
  <c r="AN13" i="5"/>
  <c r="AN10" i="5"/>
  <c r="AO13" i="5"/>
  <c r="AO10" i="5"/>
  <c r="AP10" i="5"/>
  <c r="AP13" i="5"/>
  <c r="AQ13" i="5"/>
  <c r="AQ10" i="5"/>
  <c r="AR10" i="5"/>
  <c r="AR13" i="5"/>
  <c r="AS10" i="5"/>
  <c r="AS13" i="5"/>
  <c r="AT10" i="5"/>
  <c r="AT13" i="5"/>
  <c r="AU10" i="5"/>
  <c r="AU13" i="5"/>
  <c r="AV13" i="5"/>
  <c r="AV10" i="5"/>
  <c r="AW10" i="5"/>
  <c r="AW13" i="5"/>
  <c r="AX10" i="5"/>
  <c r="AX13" i="5"/>
  <c r="AY10" i="5"/>
  <c r="AY13" i="5"/>
  <c r="AZ10" i="5"/>
  <c r="F10" i="5"/>
  <c r="BA10" i="5"/>
  <c r="BA13" i="5"/>
  <c r="BB10" i="5"/>
  <c r="BB13" i="5"/>
  <c r="BC10" i="5"/>
  <c r="BC13" i="5"/>
  <c r="BD10" i="5"/>
  <c r="BD13" i="5"/>
  <c r="BE10" i="5"/>
  <c r="BE13" i="5"/>
  <c r="BF10" i="5"/>
  <c r="BF13" i="5"/>
  <c r="BG10" i="5"/>
  <c r="BG13" i="5"/>
  <c r="BH10" i="5"/>
  <c r="BH13" i="5"/>
  <c r="BI10" i="5"/>
  <c r="BI13" i="5"/>
  <c r="BJ10" i="5"/>
  <c r="BJ13" i="5"/>
  <c r="BK10" i="5"/>
  <c r="BK13" i="5"/>
  <c r="BL10" i="5"/>
  <c r="BL13" i="5"/>
  <c r="BM13" i="5"/>
  <c r="BM10" i="5"/>
  <c r="BN10" i="5"/>
  <c r="BN13" i="5"/>
  <c r="BO10" i="5"/>
  <c r="BO13" i="5"/>
  <c r="BP10" i="5"/>
  <c r="BP13" i="5"/>
  <c r="BQ13" i="5"/>
  <c r="BQ10" i="5"/>
  <c r="BR10" i="5"/>
  <c r="BR13" i="5"/>
  <c r="BS10" i="5"/>
  <c r="BS13" i="5"/>
  <c r="BT13" i="5"/>
  <c r="BT10" i="5"/>
  <c r="BU13" i="5"/>
  <c r="BU10" i="5"/>
  <c r="BV10" i="5"/>
  <c r="BV13" i="5"/>
  <c r="BW10" i="5"/>
  <c r="BW13" i="5"/>
  <c r="BX10" i="5"/>
  <c r="BX13" i="5"/>
  <c r="BY10" i="5"/>
  <c r="BY13" i="5"/>
  <c r="BZ10" i="5"/>
  <c r="BZ13" i="5"/>
  <c r="CA13" i="5"/>
  <c r="CA10" i="5"/>
  <c r="CB13" i="5"/>
  <c r="CB10" i="5"/>
  <c r="CC10" i="5"/>
  <c r="CC13" i="5"/>
  <c r="CD13" i="5"/>
  <c r="CD10" i="5"/>
  <c r="CE10" i="5"/>
  <c r="CE13" i="5"/>
  <c r="CF13" i="5"/>
  <c r="CF10" i="5"/>
  <c r="CG13" i="5"/>
  <c r="CG10" i="5"/>
  <c r="CH13" i="5"/>
  <c r="CH10" i="5"/>
  <c r="CI13" i="5"/>
  <c r="CI10" i="5"/>
  <c r="CJ10" i="5"/>
  <c r="CJ13" i="5"/>
  <c r="CK10" i="5"/>
  <c r="CK13" i="5"/>
  <c r="CL13" i="5"/>
  <c r="CL10" i="5"/>
  <c r="CM10" i="5"/>
  <c r="CM13" i="5"/>
  <c r="CN13" i="5"/>
  <c r="CN10" i="5"/>
  <c r="CO13" i="5"/>
  <c r="CO10" i="5"/>
  <c r="CP10" i="5"/>
  <c r="CP13" i="5"/>
  <c r="CQ10" i="5"/>
  <c r="CQ13" i="5"/>
  <c r="CR10" i="5"/>
  <c r="CR13" i="5"/>
  <c r="CS10" i="5"/>
  <c r="CS13" i="5"/>
  <c r="CT10" i="5"/>
  <c r="CT13" i="5"/>
  <c r="CW7" i="5"/>
  <c r="CV10" i="5"/>
  <c r="CV13" i="5"/>
  <c r="CV14" i="5"/>
  <c r="CV16" i="5"/>
  <c r="CV17" i="5"/>
  <c r="CV18" i="5"/>
  <c r="CV19" i="5"/>
  <c r="G61" i="5"/>
  <c r="G64" i="5"/>
  <c r="G88" i="5"/>
  <c r="G62" i="5" s="1"/>
  <c r="G12" i="5"/>
  <c r="G29" i="5"/>
  <c r="G32" i="5" s="1"/>
  <c r="H8" i="5"/>
  <c r="H11" i="5" s="1"/>
  <c r="K4" i="5"/>
  <c r="GE51" i="5" l="1"/>
  <c r="GE52" i="5"/>
  <c r="GE95" i="5"/>
  <c r="GE63" i="5" s="1"/>
  <c r="GF51" i="5"/>
  <c r="GF52" i="5"/>
  <c r="GF95" i="5"/>
  <c r="GF63" i="5" s="1"/>
  <c r="GG52" i="5"/>
  <c r="GG51" i="5"/>
  <c r="GG95" i="5"/>
  <c r="GG63" i="5" s="1"/>
  <c r="GH52" i="5"/>
  <c r="GH51" i="5"/>
  <c r="GH95" i="5"/>
  <c r="GH63" i="5" s="1"/>
  <c r="GI52" i="5"/>
  <c r="GI51" i="5"/>
  <c r="GI95" i="5"/>
  <c r="GI63" i="5" s="1"/>
  <c r="GJ52" i="5"/>
  <c r="GJ51" i="5"/>
  <c r="GJ95" i="5"/>
  <c r="GJ63" i="5" s="1"/>
  <c r="GK52" i="5"/>
  <c r="GK51" i="5"/>
  <c r="GK95" i="5"/>
  <c r="GK63" i="5" s="1"/>
  <c r="GL95" i="5"/>
  <c r="GL63" i="5" s="1"/>
  <c r="GL52" i="5"/>
  <c r="GL51" i="5"/>
  <c r="GM51" i="5"/>
  <c r="GM95" i="5"/>
  <c r="GM63" i="5" s="1"/>
  <c r="GM52" i="5"/>
  <c r="G94" i="5"/>
  <c r="G93" i="5"/>
  <c r="H93" i="5"/>
  <c r="H94" i="5"/>
  <c r="I93" i="5"/>
  <c r="I94" i="5"/>
  <c r="J93" i="5"/>
  <c r="J94" i="5"/>
  <c r="K93" i="5"/>
  <c r="K94" i="5"/>
  <c r="L93" i="5"/>
  <c r="L94" i="5"/>
  <c r="M93" i="5"/>
  <c r="M94" i="5"/>
  <c r="N93" i="5"/>
  <c r="N94" i="5"/>
  <c r="O94" i="5"/>
  <c r="O93" i="5"/>
  <c r="P93" i="5"/>
  <c r="P94" i="5"/>
  <c r="Q93" i="5"/>
  <c r="Q94" i="5"/>
  <c r="R93" i="5"/>
  <c r="R94" i="5"/>
  <c r="S93" i="5"/>
  <c r="S94" i="5"/>
  <c r="T93" i="5"/>
  <c r="T94" i="5"/>
  <c r="U94" i="5"/>
  <c r="U93" i="5"/>
  <c r="V93" i="5"/>
  <c r="V94" i="5"/>
  <c r="W93" i="5"/>
  <c r="W94" i="5"/>
  <c r="X93" i="5"/>
  <c r="X94" i="5"/>
  <c r="CX7" i="5"/>
  <c r="CW10" i="5"/>
  <c r="CW13" i="5"/>
  <c r="CW16" i="5"/>
  <c r="CW17" i="5"/>
  <c r="CW14" i="5"/>
  <c r="CW18" i="5"/>
  <c r="CW19" i="5"/>
  <c r="G47" i="5"/>
  <c r="H64" i="5"/>
  <c r="H61" i="5"/>
  <c r="F96" i="5"/>
  <c r="G92" i="5" s="1"/>
  <c r="F63" i="5"/>
  <c r="H88" i="5"/>
  <c r="H62" i="5" s="1"/>
  <c r="H12" i="5"/>
  <c r="F51" i="5"/>
  <c r="H29" i="5"/>
  <c r="H32" i="5" s="1"/>
  <c r="H42" i="5"/>
  <c r="G39" i="5"/>
  <c r="I8" i="5"/>
  <c r="I11" i="5" s="1"/>
  <c r="F26" i="5"/>
  <c r="F52" i="5"/>
  <c r="G95" i="5"/>
  <c r="G63" i="5" s="1"/>
  <c r="V41" i="6" l="1"/>
  <c r="V31" i="6"/>
  <c r="GE53" i="5"/>
  <c r="GF53" i="5"/>
  <c r="GG53" i="5"/>
  <c r="GH53" i="5"/>
  <c r="GI53" i="5"/>
  <c r="GJ53" i="5"/>
  <c r="GK53" i="5"/>
  <c r="GL53" i="5"/>
  <c r="GM53" i="5"/>
  <c r="V32" i="6"/>
  <c r="CY7" i="5"/>
  <c r="CX10" i="5"/>
  <c r="CX13" i="5"/>
  <c r="CX16" i="5"/>
  <c r="CX14" i="5"/>
  <c r="CX17" i="5"/>
  <c r="CX18" i="5"/>
  <c r="CX19" i="5"/>
  <c r="H47" i="5"/>
  <c r="G33" i="5"/>
  <c r="I61" i="5"/>
  <c r="I64" i="5"/>
  <c r="I88" i="5"/>
  <c r="I62" i="5" s="1"/>
  <c r="I12" i="5"/>
  <c r="I29" i="5"/>
  <c r="I32" i="5" s="1"/>
  <c r="I42" i="5"/>
  <c r="H30" i="5"/>
  <c r="H39" i="5"/>
  <c r="J8" i="5"/>
  <c r="J11" i="5" s="1"/>
  <c r="G26" i="5"/>
  <c r="G51" i="5"/>
  <c r="G52" i="5"/>
  <c r="H95" i="5"/>
  <c r="H63" i="5" s="1"/>
  <c r="CZ7" i="5" l="1"/>
  <c r="CY10" i="5"/>
  <c r="CY13" i="5"/>
  <c r="CY14" i="5"/>
  <c r="CY16" i="5"/>
  <c r="CY17" i="5"/>
  <c r="CY18" i="5"/>
  <c r="CY19" i="5"/>
  <c r="H33" i="5"/>
  <c r="I47" i="5"/>
  <c r="J64" i="5"/>
  <c r="J61" i="5"/>
  <c r="J88" i="5"/>
  <c r="J62" i="5" s="1"/>
  <c r="J12" i="5"/>
  <c r="J29" i="5"/>
  <c r="J32" i="5" s="1"/>
  <c r="J42" i="5"/>
  <c r="H41" i="5"/>
  <c r="H40" i="5"/>
  <c r="I30" i="5"/>
  <c r="I39" i="5"/>
  <c r="K8" i="5"/>
  <c r="K11" i="5" s="1"/>
  <c r="H26" i="5"/>
  <c r="G31" i="5"/>
  <c r="H52" i="5"/>
  <c r="H51" i="5"/>
  <c r="I95" i="5"/>
  <c r="I63" i="5" s="1"/>
  <c r="DA7" i="5" l="1"/>
  <c r="CZ10" i="5"/>
  <c r="CZ13" i="5"/>
  <c r="CZ16" i="5"/>
  <c r="CZ17" i="5"/>
  <c r="CZ18" i="5"/>
  <c r="CZ19" i="5"/>
  <c r="CZ14" i="5"/>
  <c r="J47" i="5"/>
  <c r="I33" i="5"/>
  <c r="K64" i="5"/>
  <c r="K61" i="5"/>
  <c r="K88" i="5"/>
  <c r="K62" i="5" s="1"/>
  <c r="K12" i="5"/>
  <c r="G34" i="5"/>
  <c r="K29" i="5"/>
  <c r="K32" i="5" s="1"/>
  <c r="K42" i="5"/>
  <c r="I40" i="5"/>
  <c r="I41" i="5"/>
  <c r="J30" i="5"/>
  <c r="J39" i="5"/>
  <c r="L8" i="5"/>
  <c r="L11" i="5" s="1"/>
  <c r="I26" i="5"/>
  <c r="H31" i="5"/>
  <c r="I52" i="5"/>
  <c r="I51" i="5"/>
  <c r="J95" i="5"/>
  <c r="J63" i="5" s="1"/>
  <c r="DB7" i="5" l="1"/>
  <c r="DA10" i="5"/>
  <c r="DA13" i="5"/>
  <c r="DA14" i="5"/>
  <c r="DA16" i="5"/>
  <c r="DA17" i="5"/>
  <c r="DA18" i="5"/>
  <c r="DA19" i="5"/>
  <c r="K47" i="5"/>
  <c r="J33" i="5"/>
  <c r="L64" i="5"/>
  <c r="L61" i="5"/>
  <c r="L88" i="5"/>
  <c r="L62" i="5" s="1"/>
  <c r="L12" i="5"/>
  <c r="H34" i="5"/>
  <c r="L29" i="5"/>
  <c r="L32" i="5" s="1"/>
  <c r="L42" i="5"/>
  <c r="J40" i="5"/>
  <c r="J41" i="5"/>
  <c r="K30" i="5"/>
  <c r="K39" i="5"/>
  <c r="M8" i="5"/>
  <c r="M11" i="5" s="1"/>
  <c r="J26" i="5"/>
  <c r="I31" i="5"/>
  <c r="J52" i="5"/>
  <c r="J51" i="5"/>
  <c r="K95" i="5"/>
  <c r="K63" i="5" s="1"/>
  <c r="DC7" i="5" l="1"/>
  <c r="DB10" i="5"/>
  <c r="DB13" i="5"/>
  <c r="DB16" i="5"/>
  <c r="DB14" i="5"/>
  <c r="DB17" i="5"/>
  <c r="DB18" i="5"/>
  <c r="DB19" i="5"/>
  <c r="L47" i="5"/>
  <c r="K33" i="5"/>
  <c r="M64" i="5"/>
  <c r="M61" i="5"/>
  <c r="M88" i="5"/>
  <c r="M62" i="5" s="1"/>
  <c r="M12" i="5"/>
  <c r="M47" i="5" s="1"/>
  <c r="I34" i="5"/>
  <c r="M29" i="5"/>
  <c r="M42" i="5"/>
  <c r="K40" i="5"/>
  <c r="K41" i="5"/>
  <c r="L30" i="5"/>
  <c r="L39" i="5"/>
  <c r="N8" i="5"/>
  <c r="N11" i="5" s="1"/>
  <c r="K26" i="5"/>
  <c r="J31" i="5"/>
  <c r="K52" i="5"/>
  <c r="K51" i="5"/>
  <c r="L95" i="5"/>
  <c r="L63" i="5" s="1"/>
  <c r="M32" i="5" l="1"/>
  <c r="DD7" i="5"/>
  <c r="DC10" i="5"/>
  <c r="DC13" i="5"/>
  <c r="DC14" i="5"/>
  <c r="DC16" i="5"/>
  <c r="DC17" i="5"/>
  <c r="DC18" i="5"/>
  <c r="DC19" i="5"/>
  <c r="L33" i="5"/>
  <c r="N64" i="5"/>
  <c r="N61" i="5"/>
  <c r="N88" i="5"/>
  <c r="N62" i="5" s="1"/>
  <c r="N12" i="5"/>
  <c r="N47" i="5" s="1"/>
  <c r="J34" i="5"/>
  <c r="N29" i="5"/>
  <c r="N32" i="5" s="1"/>
  <c r="N42" i="5"/>
  <c r="L40" i="5"/>
  <c r="L41" i="5"/>
  <c r="M30" i="5"/>
  <c r="M39" i="5"/>
  <c r="O8" i="5"/>
  <c r="O11" i="5" s="1"/>
  <c r="L26" i="5"/>
  <c r="K31" i="5"/>
  <c r="L51" i="5"/>
  <c r="L52" i="5"/>
  <c r="M95" i="5"/>
  <c r="M63" i="5" s="1"/>
  <c r="DE7" i="5" l="1"/>
  <c r="DD10" i="5"/>
  <c r="DD13" i="5"/>
  <c r="DD16" i="5"/>
  <c r="DD14" i="5"/>
  <c r="DD17" i="5"/>
  <c r="DD18" i="5"/>
  <c r="DD19" i="5"/>
  <c r="M33" i="5"/>
  <c r="O64" i="5"/>
  <c r="O61" i="5"/>
  <c r="O88" i="5"/>
  <c r="O62" i="5" s="1"/>
  <c r="O12" i="5"/>
  <c r="O33" i="5" s="1"/>
  <c r="K34" i="5"/>
  <c r="O29" i="5"/>
  <c r="O42" i="5"/>
  <c r="M40" i="5"/>
  <c r="M41" i="5"/>
  <c r="N30" i="5"/>
  <c r="N39" i="5"/>
  <c r="P8" i="5"/>
  <c r="P11" i="5" s="1"/>
  <c r="M26" i="5"/>
  <c r="L31" i="5"/>
  <c r="M52" i="5"/>
  <c r="M51" i="5"/>
  <c r="N95" i="5"/>
  <c r="N63" i="5" s="1"/>
  <c r="O32" i="5" l="1"/>
  <c r="DF7" i="5"/>
  <c r="DE10" i="5"/>
  <c r="DE13" i="5"/>
  <c r="DE14" i="5"/>
  <c r="DE16" i="5"/>
  <c r="DE17" i="5"/>
  <c r="DE18" i="5"/>
  <c r="DE19" i="5"/>
  <c r="N33" i="5"/>
  <c r="P64" i="5"/>
  <c r="P61" i="5"/>
  <c r="O47" i="5"/>
  <c r="P88" i="5"/>
  <c r="P62" i="5" s="1"/>
  <c r="P12" i="5"/>
  <c r="P33" i="5" s="1"/>
  <c r="L34" i="5"/>
  <c r="P29" i="5"/>
  <c r="P32" i="5" s="1"/>
  <c r="P42" i="5"/>
  <c r="N41" i="5"/>
  <c r="O41" i="5" s="1"/>
  <c r="N40" i="5"/>
  <c r="O30" i="5"/>
  <c r="O39" i="5"/>
  <c r="Q8" i="5"/>
  <c r="Q11" i="5" s="1"/>
  <c r="N26" i="5"/>
  <c r="M31" i="5"/>
  <c r="N51" i="5"/>
  <c r="N52" i="5"/>
  <c r="O95" i="5"/>
  <c r="O63" i="5" s="1"/>
  <c r="DG7" i="5" l="1"/>
  <c r="DF10" i="5"/>
  <c r="DF13" i="5"/>
  <c r="DF16" i="5"/>
  <c r="DF17" i="5"/>
  <c r="DF18" i="5"/>
  <c r="DF19" i="5"/>
  <c r="DF14" i="5"/>
  <c r="Q64" i="5"/>
  <c r="Q61" i="5"/>
  <c r="Q88" i="5"/>
  <c r="Q62" i="5" s="1"/>
  <c r="P47" i="5"/>
  <c r="Q12" i="5"/>
  <c r="Q33" i="5" s="1"/>
  <c r="M34" i="5"/>
  <c r="Q29" i="5"/>
  <c r="Q42" i="5"/>
  <c r="O40" i="5"/>
  <c r="P30" i="5"/>
  <c r="P39" i="5"/>
  <c r="R8" i="5"/>
  <c r="R11" i="5" s="1"/>
  <c r="O26" i="5"/>
  <c r="N31" i="5"/>
  <c r="O51" i="5"/>
  <c r="O52" i="5"/>
  <c r="P95" i="5"/>
  <c r="P63" i="5" s="1"/>
  <c r="Q32" i="5" l="1"/>
  <c r="DH7" i="5"/>
  <c r="DG10" i="5"/>
  <c r="DG13" i="5"/>
  <c r="DG16" i="5"/>
  <c r="DG17" i="5"/>
  <c r="DG18" i="5"/>
  <c r="DG19" i="5"/>
  <c r="DG14" i="5"/>
  <c r="R61" i="5"/>
  <c r="R64" i="5"/>
  <c r="R88" i="5"/>
  <c r="R62" i="5" s="1"/>
  <c r="Q47" i="5"/>
  <c r="R12" i="5"/>
  <c r="R33" i="5" s="1"/>
  <c r="G16" i="6" s="1"/>
  <c r="G14" i="14" s="1"/>
  <c r="N34" i="5"/>
  <c r="R29" i="5"/>
  <c r="R42" i="5"/>
  <c r="P40" i="5"/>
  <c r="Q40" i="5" s="1"/>
  <c r="P41" i="5"/>
  <c r="Q30" i="5"/>
  <c r="Q39" i="5"/>
  <c r="S8" i="5"/>
  <c r="S11" i="5" s="1"/>
  <c r="P26" i="5"/>
  <c r="O31" i="5"/>
  <c r="O34" i="5" s="1"/>
  <c r="P52" i="5"/>
  <c r="P51" i="5"/>
  <c r="Q95" i="5"/>
  <c r="Q63" i="5" s="1"/>
  <c r="R32" i="5" l="1"/>
  <c r="G10" i="6"/>
  <c r="DI7" i="5"/>
  <c r="DH10" i="5"/>
  <c r="DH13" i="5"/>
  <c r="DH16" i="5"/>
  <c r="DH17" i="5"/>
  <c r="DH18" i="5"/>
  <c r="DH19" i="5"/>
  <c r="DH14" i="5"/>
  <c r="S64" i="5"/>
  <c r="S61" i="5"/>
  <c r="S88" i="5"/>
  <c r="S62" i="5" s="1"/>
  <c r="R47" i="5"/>
  <c r="S12" i="5"/>
  <c r="S33" i="5" s="1"/>
  <c r="S29" i="5"/>
  <c r="S42" i="5"/>
  <c r="Q41" i="5"/>
  <c r="R30" i="5"/>
  <c r="R39" i="5"/>
  <c r="T8" i="5"/>
  <c r="T11" i="5" s="1"/>
  <c r="Q26" i="5"/>
  <c r="P31" i="5"/>
  <c r="P34" i="5" s="1"/>
  <c r="Q51" i="5"/>
  <c r="Q52" i="5"/>
  <c r="R95" i="5"/>
  <c r="R63" i="5" s="1"/>
  <c r="S32" i="5" l="1"/>
  <c r="DJ7" i="5"/>
  <c r="DI10" i="5"/>
  <c r="DI13" i="5"/>
  <c r="DI16" i="5"/>
  <c r="DI17" i="5"/>
  <c r="DI14" i="5"/>
  <c r="DI18" i="5"/>
  <c r="DI19" i="5"/>
  <c r="T64" i="5"/>
  <c r="T61" i="5"/>
  <c r="T88" i="5"/>
  <c r="T62" i="5" s="1"/>
  <c r="S47" i="5"/>
  <c r="T12" i="5"/>
  <c r="T33" i="5" s="1"/>
  <c r="T29" i="5"/>
  <c r="T32" i="5" s="1"/>
  <c r="T42" i="5"/>
  <c r="R41" i="5"/>
  <c r="R40" i="5"/>
  <c r="S30" i="5"/>
  <c r="S39" i="5"/>
  <c r="U8" i="5"/>
  <c r="U11" i="5" s="1"/>
  <c r="Q31" i="5"/>
  <c r="Q34" i="5" s="1"/>
  <c r="R52" i="5"/>
  <c r="R51" i="5"/>
  <c r="R26" i="5"/>
  <c r="S95" i="5"/>
  <c r="S63" i="5" s="1"/>
  <c r="DK7" i="5" l="1"/>
  <c r="DJ10" i="5"/>
  <c r="DJ13" i="5"/>
  <c r="DJ16" i="5"/>
  <c r="DJ14" i="5"/>
  <c r="DJ17" i="5"/>
  <c r="DJ18" i="5"/>
  <c r="DJ19" i="5"/>
  <c r="U64" i="5"/>
  <c r="U61" i="5"/>
  <c r="U88" i="5"/>
  <c r="U62" i="5" s="1"/>
  <c r="T47" i="5"/>
  <c r="U12" i="5"/>
  <c r="U33" i="5" s="1"/>
  <c r="U29" i="5"/>
  <c r="U42" i="5"/>
  <c r="S41" i="5"/>
  <c r="S40" i="5"/>
  <c r="T39" i="5"/>
  <c r="T30" i="5"/>
  <c r="V8" i="5"/>
  <c r="V11" i="5" s="1"/>
  <c r="R31" i="5"/>
  <c r="R34" i="5" s="1"/>
  <c r="S26" i="5"/>
  <c r="T95" i="5"/>
  <c r="T63" i="5" s="1"/>
  <c r="S52" i="5"/>
  <c r="S51" i="5"/>
  <c r="U32" i="5" l="1"/>
  <c r="DL7" i="5"/>
  <c r="DK10" i="5"/>
  <c r="DK13" i="5"/>
  <c r="DK14" i="5"/>
  <c r="DK16" i="5"/>
  <c r="DK18" i="5"/>
  <c r="DK17" i="5"/>
  <c r="DK19" i="5"/>
  <c r="V61" i="5"/>
  <c r="V64" i="5"/>
  <c r="V88" i="5"/>
  <c r="V62" i="5" s="1"/>
  <c r="U47" i="5"/>
  <c r="V12" i="5"/>
  <c r="V33" i="5" s="1"/>
  <c r="T51" i="5"/>
  <c r="V29" i="5"/>
  <c r="V42" i="5"/>
  <c r="T40" i="5"/>
  <c r="T41" i="5"/>
  <c r="U39" i="5"/>
  <c r="U30" i="5"/>
  <c r="W8" i="5"/>
  <c r="W11" i="5" s="1"/>
  <c r="T26" i="5"/>
  <c r="S31" i="5"/>
  <c r="S34" i="5" s="1"/>
  <c r="T52" i="5"/>
  <c r="U95" i="5"/>
  <c r="U63" i="5" s="1"/>
  <c r="V32" i="5" l="1"/>
  <c r="DM7" i="5"/>
  <c r="DL10" i="5"/>
  <c r="DL13" i="5"/>
  <c r="DL16" i="5"/>
  <c r="DL14" i="5"/>
  <c r="DL17" i="5"/>
  <c r="DL18" i="5"/>
  <c r="DL19" i="5"/>
  <c r="W61" i="5"/>
  <c r="W64" i="5"/>
  <c r="W88" i="5"/>
  <c r="W62" i="5" s="1"/>
  <c r="V47" i="5"/>
  <c r="W12" i="5"/>
  <c r="W33" i="5" s="1"/>
  <c r="U52" i="5"/>
  <c r="W29" i="5"/>
  <c r="W32" i="5" s="1"/>
  <c r="W42" i="5"/>
  <c r="U40" i="5"/>
  <c r="U41" i="5"/>
  <c r="V39" i="5"/>
  <c r="V30" i="5"/>
  <c r="X8" i="5"/>
  <c r="X11" i="5" s="1"/>
  <c r="U26" i="5"/>
  <c r="T31" i="5"/>
  <c r="T34" i="5" s="1"/>
  <c r="U51" i="5"/>
  <c r="V95" i="5"/>
  <c r="V63" i="5" s="1"/>
  <c r="DN7" i="5" l="1"/>
  <c r="DM10" i="5"/>
  <c r="DM13" i="5"/>
  <c r="DM14" i="5"/>
  <c r="DM16" i="5"/>
  <c r="DM17" i="5"/>
  <c r="DM18" i="5"/>
  <c r="DM19" i="5"/>
  <c r="X75" i="5"/>
  <c r="X66" i="5" s="1"/>
  <c r="W47" i="5"/>
  <c r="X12" i="5"/>
  <c r="X33" i="5" s="1"/>
  <c r="V51" i="5"/>
  <c r="X29" i="5"/>
  <c r="X42" i="5"/>
  <c r="V40" i="5"/>
  <c r="V41" i="5"/>
  <c r="W39" i="5"/>
  <c r="W30" i="5"/>
  <c r="Y8" i="5"/>
  <c r="Y11" i="5" s="1"/>
  <c r="V52" i="5"/>
  <c r="V26" i="5"/>
  <c r="U31" i="5"/>
  <c r="U34" i="5" s="1"/>
  <c r="W95" i="5"/>
  <c r="W63" i="5" s="1"/>
  <c r="X32" i="5" l="1"/>
  <c r="DO7" i="5"/>
  <c r="DN10" i="5"/>
  <c r="DN13" i="5"/>
  <c r="DN16" i="5"/>
  <c r="DN17" i="5"/>
  <c r="DN18" i="5"/>
  <c r="DN19" i="5"/>
  <c r="DN14" i="5"/>
  <c r="Y75" i="5"/>
  <c r="Y66" i="5" s="1"/>
  <c r="Y61" i="5"/>
  <c r="Y64" i="5"/>
  <c r="Y88" i="5"/>
  <c r="Y62" i="5" s="1"/>
  <c r="X47" i="5"/>
  <c r="Y86" i="5"/>
  <c r="Y12" i="5"/>
  <c r="Y33" i="5" s="1"/>
  <c r="W52" i="5"/>
  <c r="Y29" i="5"/>
  <c r="Y32" i="5" s="1"/>
  <c r="Y42" i="5"/>
  <c r="W40" i="5"/>
  <c r="W41" i="5"/>
  <c r="X39" i="5"/>
  <c r="X30" i="5"/>
  <c r="Z8" i="5"/>
  <c r="Z11" i="5" s="1"/>
  <c r="W26" i="5"/>
  <c r="X95" i="5"/>
  <c r="X63" i="5" s="1"/>
  <c r="V31" i="5"/>
  <c r="V34" i="5" s="1"/>
  <c r="W51" i="5"/>
  <c r="DP7" i="5" l="1"/>
  <c r="DO10" i="5"/>
  <c r="DO13" i="5"/>
  <c r="DO16" i="5"/>
  <c r="DO17" i="5"/>
  <c r="DO18" i="5"/>
  <c r="DO19" i="5"/>
  <c r="DO14" i="5"/>
  <c r="Z75" i="5"/>
  <c r="Z66" i="5" s="1"/>
  <c r="Z64" i="5"/>
  <c r="Z61" i="5"/>
  <c r="Z88" i="5"/>
  <c r="Z62" i="5" s="1"/>
  <c r="Y47" i="5"/>
  <c r="Z86" i="5"/>
  <c r="Z12" i="5"/>
  <c r="Z33" i="5" s="1"/>
  <c r="X52" i="5"/>
  <c r="Z29" i="5"/>
  <c r="Z32" i="5" s="1"/>
  <c r="Z42" i="5"/>
  <c r="X40" i="5"/>
  <c r="X41" i="5"/>
  <c r="Y39" i="5"/>
  <c r="Y30" i="5"/>
  <c r="AA8" i="5"/>
  <c r="AA11" i="5" s="1"/>
  <c r="Y26" i="5"/>
  <c r="X51" i="5"/>
  <c r="Y95" i="5"/>
  <c r="Y63" i="5" s="1"/>
  <c r="X26" i="5"/>
  <c r="W31" i="5"/>
  <c r="W34" i="5" s="1"/>
  <c r="DQ7" i="5" l="1"/>
  <c r="DP10" i="5"/>
  <c r="DP13" i="5"/>
  <c r="DP16" i="5"/>
  <c r="DP17" i="5"/>
  <c r="DP18" i="5"/>
  <c r="DP19" i="5"/>
  <c r="DP14" i="5"/>
  <c r="AA75" i="5"/>
  <c r="AA66" i="5" s="1"/>
  <c r="AA64" i="5"/>
  <c r="AA61" i="5"/>
  <c r="Z47" i="5"/>
  <c r="AA88" i="5"/>
  <c r="AA62" i="5" s="1"/>
  <c r="AA86" i="5"/>
  <c r="AA12" i="5"/>
  <c r="AA33" i="5" s="1"/>
  <c r="Y51" i="5"/>
  <c r="AA29" i="5"/>
  <c r="AA32" i="5" s="1"/>
  <c r="AA42" i="5"/>
  <c r="Y40" i="5"/>
  <c r="Y41" i="5"/>
  <c r="Z39" i="5"/>
  <c r="Z30" i="5"/>
  <c r="AB8" i="5"/>
  <c r="AB11" i="5" s="1"/>
  <c r="Y52" i="5"/>
  <c r="Z95" i="5"/>
  <c r="Z63" i="5" s="1"/>
  <c r="X31" i="5"/>
  <c r="X34" i="5" s="1"/>
  <c r="DR7" i="5" l="1"/>
  <c r="DQ10" i="5"/>
  <c r="DQ13" i="5"/>
  <c r="DQ16" i="5"/>
  <c r="DQ14" i="5"/>
  <c r="DQ17" i="5"/>
  <c r="DQ18" i="5"/>
  <c r="DQ19" i="5"/>
  <c r="AB75" i="5"/>
  <c r="AB66" i="5" s="1"/>
  <c r="AB64" i="5"/>
  <c r="AB61" i="5"/>
  <c r="AB88" i="5"/>
  <c r="AB62" i="5" s="1"/>
  <c r="AA47" i="5"/>
  <c r="AB86" i="5"/>
  <c r="AB12" i="5"/>
  <c r="AB33" i="5" s="1"/>
  <c r="Z51" i="5"/>
  <c r="AB29" i="5"/>
  <c r="AB32" i="5" s="1"/>
  <c r="AB42" i="5"/>
  <c r="Z41" i="5"/>
  <c r="Z40" i="5"/>
  <c r="AA39" i="5"/>
  <c r="AA30" i="5"/>
  <c r="AC8" i="5"/>
  <c r="AC11" i="5" s="1"/>
  <c r="Y31" i="5"/>
  <c r="Y34" i="5" s="1"/>
  <c r="AA95" i="5"/>
  <c r="AA63" i="5" s="1"/>
  <c r="Z26" i="5"/>
  <c r="Z52" i="5"/>
  <c r="DS7" i="5" l="1"/>
  <c r="DR10" i="5"/>
  <c r="DR13" i="5"/>
  <c r="DR16" i="5"/>
  <c r="DR14" i="5"/>
  <c r="DR17" i="5"/>
  <c r="DR18" i="5"/>
  <c r="DR19" i="5"/>
  <c r="AC75" i="5"/>
  <c r="AC66" i="5" s="1"/>
  <c r="AC64" i="5"/>
  <c r="AC61" i="5"/>
  <c r="AC88" i="5"/>
  <c r="AC62" i="5" s="1"/>
  <c r="AB47" i="5"/>
  <c r="AC86" i="5"/>
  <c r="AC12" i="5"/>
  <c r="AC33" i="5" s="1"/>
  <c r="AA52" i="5"/>
  <c r="AC29" i="5"/>
  <c r="AC32" i="5" s="1"/>
  <c r="AC42" i="5"/>
  <c r="AA41" i="5"/>
  <c r="AA40" i="5"/>
  <c r="AB39" i="5"/>
  <c r="AB30" i="5"/>
  <c r="AD8" i="5"/>
  <c r="AD11" i="5" s="1"/>
  <c r="Z31" i="5"/>
  <c r="Z34" i="5" s="1"/>
  <c r="AB95" i="5"/>
  <c r="AA51" i="5"/>
  <c r="AA26" i="5"/>
  <c r="AB26" i="5"/>
  <c r="DT7" i="5" l="1"/>
  <c r="DS10" i="5"/>
  <c r="DS13" i="5"/>
  <c r="DS14" i="5"/>
  <c r="DS16" i="5"/>
  <c r="DS17" i="5"/>
  <c r="DS18" i="5"/>
  <c r="DS19" i="5"/>
  <c r="AD75" i="5"/>
  <c r="AD66" i="5" s="1"/>
  <c r="AD64" i="5"/>
  <c r="AD61" i="5"/>
  <c r="AB63" i="5"/>
  <c r="AD88" i="5"/>
  <c r="AD62" i="5" s="1"/>
  <c r="AC47" i="5"/>
  <c r="AD86" i="5"/>
  <c r="AD12" i="5"/>
  <c r="AD33" i="5" s="1"/>
  <c r="AD29" i="5"/>
  <c r="AD32" i="5" s="1"/>
  <c r="AD42" i="5"/>
  <c r="AB41" i="5"/>
  <c r="AB40" i="5"/>
  <c r="AC39" i="5"/>
  <c r="AC30" i="5"/>
  <c r="AE8" i="5"/>
  <c r="AE11" i="5" s="1"/>
  <c r="AB51" i="5"/>
  <c r="AB52" i="5"/>
  <c r="AA31" i="5"/>
  <c r="AA34" i="5" s="1"/>
  <c r="AC95" i="5"/>
  <c r="AC63" i="5" s="1"/>
  <c r="DU7" i="5" l="1"/>
  <c r="DT10" i="5"/>
  <c r="DT13" i="5"/>
  <c r="DT16" i="5"/>
  <c r="DT14" i="5"/>
  <c r="DT17" i="5"/>
  <c r="DT18" i="5"/>
  <c r="DT19" i="5"/>
  <c r="AE75" i="5"/>
  <c r="AE66" i="5" s="1"/>
  <c r="AE61" i="5"/>
  <c r="AE64" i="5"/>
  <c r="AD47" i="5"/>
  <c r="AE88" i="5"/>
  <c r="AE62" i="5" s="1"/>
  <c r="AE86" i="5"/>
  <c r="AE12" i="5"/>
  <c r="AE33" i="5" s="1"/>
  <c r="AC52" i="5"/>
  <c r="AE29" i="5"/>
  <c r="AE42" i="5"/>
  <c r="AC41" i="5"/>
  <c r="AC40" i="5"/>
  <c r="AD30" i="5"/>
  <c r="AD39" i="5"/>
  <c r="AF8" i="5"/>
  <c r="AF11" i="5" s="1"/>
  <c r="AD95" i="5"/>
  <c r="AC26" i="5"/>
  <c r="AB31" i="5"/>
  <c r="AB34" i="5" s="1"/>
  <c r="AC51" i="5"/>
  <c r="AD26" i="5"/>
  <c r="AE32" i="5" l="1"/>
  <c r="DV7" i="5"/>
  <c r="DU10" i="5"/>
  <c r="DU13" i="5"/>
  <c r="DU16" i="5"/>
  <c r="DU17" i="5"/>
  <c r="DU18" i="5"/>
  <c r="DU19" i="5"/>
  <c r="DU14" i="5"/>
  <c r="AF64" i="5"/>
  <c r="AF75" i="5"/>
  <c r="AF66" i="5" s="1"/>
  <c r="AF61" i="5"/>
  <c r="AD63" i="5"/>
  <c r="AE47" i="5"/>
  <c r="AF88" i="5"/>
  <c r="AF62" i="5" s="1"/>
  <c r="AF86" i="5"/>
  <c r="AF12" i="5"/>
  <c r="AF33" i="5" s="1"/>
  <c r="AF29" i="5"/>
  <c r="AF32" i="5" s="1"/>
  <c r="AF42" i="5"/>
  <c r="AD40" i="5"/>
  <c r="AD41" i="5"/>
  <c r="AE39" i="5"/>
  <c r="AE30" i="5"/>
  <c r="AG8" i="5"/>
  <c r="AG11" i="5" s="1"/>
  <c r="AE95" i="5"/>
  <c r="AD51" i="5"/>
  <c r="AD52" i="5"/>
  <c r="AC31" i="5"/>
  <c r="AC34" i="5" s="1"/>
  <c r="AE26" i="5"/>
  <c r="DW7" i="5" l="1"/>
  <c r="DV10" i="5"/>
  <c r="DV13" i="5"/>
  <c r="DV16" i="5"/>
  <c r="DV17" i="5"/>
  <c r="DV18" i="5"/>
  <c r="DV19" i="5"/>
  <c r="DV14" i="5"/>
  <c r="AG64" i="5"/>
  <c r="AG75" i="5"/>
  <c r="AG66" i="5" s="1"/>
  <c r="AG61" i="5"/>
  <c r="AE63" i="5"/>
  <c r="AF47" i="5"/>
  <c r="AG88" i="5"/>
  <c r="AG62" i="5" s="1"/>
  <c r="AG86" i="5"/>
  <c r="AG12" i="5"/>
  <c r="AG33" i="5" s="1"/>
  <c r="AG29" i="5"/>
  <c r="AG42" i="5"/>
  <c r="AE40" i="5"/>
  <c r="AE41" i="5"/>
  <c r="AF39" i="5"/>
  <c r="AF30" i="5"/>
  <c r="AH8" i="5"/>
  <c r="AH11" i="5" s="1"/>
  <c r="AE52" i="5"/>
  <c r="AE51" i="5"/>
  <c r="AF95" i="5"/>
  <c r="AD31" i="5"/>
  <c r="AD34" i="5" s="1"/>
  <c r="AF26" i="5"/>
  <c r="AG32" i="5" l="1"/>
  <c r="DX7" i="5"/>
  <c r="DW10" i="5"/>
  <c r="DW13" i="5"/>
  <c r="DW16" i="5"/>
  <c r="DW14" i="5"/>
  <c r="DW17" i="5"/>
  <c r="DW18" i="5"/>
  <c r="DW19" i="5"/>
  <c r="AH75" i="5"/>
  <c r="AH66" i="5" s="1"/>
  <c r="AH64" i="5"/>
  <c r="AH61" i="5"/>
  <c r="AF63" i="5"/>
  <c r="AG47" i="5"/>
  <c r="AH88" i="5"/>
  <c r="AH62" i="5" s="1"/>
  <c r="AH86" i="5"/>
  <c r="AH12" i="5"/>
  <c r="AH33" i="5" s="1"/>
  <c r="AH29" i="5"/>
  <c r="AH32" i="5" s="1"/>
  <c r="AH42" i="5"/>
  <c r="AF41" i="5"/>
  <c r="AF40" i="5"/>
  <c r="AG39" i="5"/>
  <c r="AG30" i="5"/>
  <c r="AI8" i="5"/>
  <c r="AI11" i="5" s="1"/>
  <c r="AF52" i="5"/>
  <c r="AF51" i="5"/>
  <c r="AG95" i="5"/>
  <c r="AE31" i="5"/>
  <c r="AE34" i="5" s="1"/>
  <c r="AG26" i="5"/>
  <c r="DY7" i="5" l="1"/>
  <c r="DX10" i="5"/>
  <c r="DX13" i="5"/>
  <c r="DX14" i="5"/>
  <c r="DX16" i="5"/>
  <c r="DX17" i="5"/>
  <c r="DX18" i="5"/>
  <c r="DX19" i="5"/>
  <c r="AI75" i="5"/>
  <c r="AI66" i="5" s="1"/>
  <c r="AI61" i="5"/>
  <c r="AI64" i="5"/>
  <c r="AG63" i="5"/>
  <c r="AI88" i="5"/>
  <c r="AI62" i="5" s="1"/>
  <c r="AH47" i="5"/>
  <c r="AI86" i="5"/>
  <c r="AI12" i="5"/>
  <c r="AI33" i="5" s="1"/>
  <c r="AI29" i="5"/>
  <c r="AI42" i="5"/>
  <c r="AG40" i="5"/>
  <c r="AG41" i="5"/>
  <c r="AH39" i="5"/>
  <c r="AH30" i="5"/>
  <c r="AJ8" i="5"/>
  <c r="AJ11" i="5" s="1"/>
  <c r="AG52" i="5"/>
  <c r="AG51" i="5"/>
  <c r="AH95" i="5"/>
  <c r="AF31" i="5"/>
  <c r="AF34" i="5" s="1"/>
  <c r="AH26" i="5"/>
  <c r="AI32" i="5" l="1"/>
  <c r="DZ7" i="5"/>
  <c r="DY10" i="5"/>
  <c r="DY13" i="5"/>
  <c r="DY16" i="5"/>
  <c r="DY17" i="5"/>
  <c r="DY18" i="5"/>
  <c r="DY19" i="5"/>
  <c r="DY14" i="5"/>
  <c r="AJ75" i="5"/>
  <c r="AJ66" i="5" s="1"/>
  <c r="AJ64" i="5"/>
  <c r="AJ61" i="5"/>
  <c r="AH63" i="5"/>
  <c r="AI47" i="5"/>
  <c r="AJ88" i="5"/>
  <c r="AJ62" i="5" s="1"/>
  <c r="AJ86" i="5"/>
  <c r="AJ12" i="5"/>
  <c r="AJ33" i="5" s="1"/>
  <c r="AJ29" i="5"/>
  <c r="AJ32" i="5" s="1"/>
  <c r="AJ42" i="5"/>
  <c r="AH41" i="5"/>
  <c r="AH40" i="5"/>
  <c r="AI39" i="5"/>
  <c r="AI30" i="5"/>
  <c r="AK8" i="5"/>
  <c r="AK11" i="5" s="1"/>
  <c r="AH51" i="5"/>
  <c r="AH52" i="5"/>
  <c r="AI95" i="5"/>
  <c r="AG31" i="5"/>
  <c r="AG34" i="5" s="1"/>
  <c r="AI26" i="5"/>
  <c r="EA7" i="5" l="1"/>
  <c r="DZ10" i="5"/>
  <c r="DZ13" i="5"/>
  <c r="DZ16" i="5"/>
  <c r="DZ14" i="5"/>
  <c r="DZ17" i="5"/>
  <c r="DZ18" i="5"/>
  <c r="DZ19" i="5"/>
  <c r="AK75" i="5"/>
  <c r="AK66" i="5" s="1"/>
  <c r="AK61" i="5"/>
  <c r="AK64" i="5"/>
  <c r="AI63" i="5"/>
  <c r="AK88" i="5"/>
  <c r="AK62" i="5" s="1"/>
  <c r="AJ47" i="5"/>
  <c r="AK86" i="5"/>
  <c r="AK12" i="5"/>
  <c r="AK33" i="5" s="1"/>
  <c r="AK29" i="5"/>
  <c r="AK42" i="5"/>
  <c r="AI41" i="5"/>
  <c r="AI40" i="5"/>
  <c r="AJ39" i="5"/>
  <c r="AJ30" i="5"/>
  <c r="AL8" i="5"/>
  <c r="AL11" i="5" s="1"/>
  <c r="AI52" i="5"/>
  <c r="AI51" i="5"/>
  <c r="AJ95" i="5"/>
  <c r="AH31" i="5"/>
  <c r="AH34" i="5" s="1"/>
  <c r="AJ26" i="5"/>
  <c r="AK32" i="5" l="1"/>
  <c r="EB7" i="5"/>
  <c r="EA10" i="5"/>
  <c r="EA13" i="5"/>
  <c r="EA16" i="5"/>
  <c r="EA17" i="5"/>
  <c r="EA18" i="5"/>
  <c r="EA19" i="5"/>
  <c r="EA14" i="5"/>
  <c r="AL75" i="5"/>
  <c r="AL66" i="5" s="1"/>
  <c r="AL64" i="5"/>
  <c r="AL61" i="5"/>
  <c r="AJ63" i="5"/>
  <c r="AK47" i="5"/>
  <c r="AL88" i="5"/>
  <c r="AL62" i="5" s="1"/>
  <c r="AL86" i="5"/>
  <c r="AL12" i="5"/>
  <c r="AL33" i="5" s="1"/>
  <c r="AL29" i="5"/>
  <c r="AL32" i="5" s="1"/>
  <c r="AL42" i="5"/>
  <c r="AJ40" i="5"/>
  <c r="AK40" i="5" s="1"/>
  <c r="AJ41" i="5"/>
  <c r="AK39" i="5"/>
  <c r="AK30" i="5"/>
  <c r="AM8" i="5"/>
  <c r="AM11" i="5" s="1"/>
  <c r="AJ52" i="5"/>
  <c r="AJ51" i="5"/>
  <c r="AK95" i="5"/>
  <c r="AI31" i="5"/>
  <c r="AI34" i="5" s="1"/>
  <c r="AK26" i="5"/>
  <c r="EC7" i="5" l="1"/>
  <c r="EB10" i="5"/>
  <c r="EB13" i="5"/>
  <c r="EB14" i="5"/>
  <c r="EB16" i="5"/>
  <c r="EB17" i="5"/>
  <c r="EB18" i="5"/>
  <c r="EB19" i="5"/>
  <c r="AM75" i="5"/>
  <c r="AM66" i="5" s="1"/>
  <c r="AM64" i="5"/>
  <c r="AM61" i="5"/>
  <c r="AK63" i="5"/>
  <c r="AM88" i="5"/>
  <c r="AM62" i="5" s="1"/>
  <c r="AL47" i="5"/>
  <c r="AM86" i="5"/>
  <c r="AM12" i="5"/>
  <c r="AM33" i="5" s="1"/>
  <c r="AM29" i="5"/>
  <c r="AM32" i="5" s="1"/>
  <c r="AM42" i="5"/>
  <c r="AK41" i="5"/>
  <c r="AL39" i="5"/>
  <c r="AL30" i="5"/>
  <c r="AN8" i="5"/>
  <c r="AN11" i="5" s="1"/>
  <c r="AL95" i="5"/>
  <c r="AK52" i="5"/>
  <c r="AK51" i="5"/>
  <c r="AJ31" i="5"/>
  <c r="AJ34" i="5" s="1"/>
  <c r="AL26" i="5"/>
  <c r="ED7" i="5" l="1"/>
  <c r="EC10" i="5"/>
  <c r="EC13" i="5"/>
  <c r="EC16" i="5"/>
  <c r="EC17" i="5"/>
  <c r="EC18" i="5"/>
  <c r="EC19" i="5"/>
  <c r="EC14" i="5"/>
  <c r="AN75" i="5"/>
  <c r="AN66" i="5" s="1"/>
  <c r="AN64" i="5"/>
  <c r="AN61" i="5"/>
  <c r="AL63" i="5"/>
  <c r="AM47" i="5"/>
  <c r="AN88" i="5"/>
  <c r="AN62" i="5" s="1"/>
  <c r="AN86" i="5"/>
  <c r="AN12" i="5"/>
  <c r="AN33" i="5" s="1"/>
  <c r="AN29" i="5"/>
  <c r="AN32" i="5" s="1"/>
  <c r="AN42" i="5"/>
  <c r="AL41" i="5"/>
  <c r="AL40" i="5"/>
  <c r="AM39" i="5"/>
  <c r="AM30" i="5"/>
  <c r="AO8" i="5"/>
  <c r="AO11" i="5" s="1"/>
  <c r="AM95" i="5"/>
  <c r="AL52" i="5"/>
  <c r="AL51" i="5"/>
  <c r="AK31" i="5"/>
  <c r="AK34" i="5" s="1"/>
  <c r="AM26" i="5"/>
  <c r="EE7" i="5" l="1"/>
  <c r="ED10" i="5"/>
  <c r="ED13" i="5"/>
  <c r="ED16" i="5"/>
  <c r="ED17" i="5"/>
  <c r="ED18" i="5"/>
  <c r="ED19" i="5"/>
  <c r="ED14" i="5"/>
  <c r="AO64" i="5"/>
  <c r="AO75" i="5"/>
  <c r="AO66" i="5" s="1"/>
  <c r="AO61" i="5"/>
  <c r="AM63" i="5"/>
  <c r="AN47" i="5"/>
  <c r="AO88" i="5"/>
  <c r="AO62" i="5" s="1"/>
  <c r="AO86" i="5"/>
  <c r="AO12" i="5"/>
  <c r="AO33" i="5" s="1"/>
  <c r="AO29" i="5"/>
  <c r="AO32" i="5" s="1"/>
  <c r="AO42" i="5"/>
  <c r="AM41" i="5"/>
  <c r="AM40" i="5"/>
  <c r="AN39" i="5"/>
  <c r="AN30" i="5"/>
  <c r="AP8" i="5"/>
  <c r="AP11" i="5" s="1"/>
  <c r="AN95" i="5"/>
  <c r="AM51" i="5"/>
  <c r="AM52" i="5"/>
  <c r="AL31" i="5"/>
  <c r="AL34" i="5" s="1"/>
  <c r="AN26" i="5"/>
  <c r="EF7" i="5" l="1"/>
  <c r="EE10" i="5"/>
  <c r="EE13" i="5"/>
  <c r="EE16" i="5"/>
  <c r="EE17" i="5"/>
  <c r="EE18" i="5"/>
  <c r="EE19" i="5"/>
  <c r="EE14" i="5"/>
  <c r="AP75" i="5"/>
  <c r="AP66" i="5" s="1"/>
  <c r="AP64" i="5"/>
  <c r="AP61" i="5"/>
  <c r="AN63" i="5"/>
  <c r="AO47" i="5"/>
  <c r="AP88" i="5"/>
  <c r="AP62" i="5" s="1"/>
  <c r="AP86" i="5"/>
  <c r="AP12" i="5"/>
  <c r="AP33" i="5" s="1"/>
  <c r="AP29" i="5"/>
  <c r="AP32" i="5" s="1"/>
  <c r="AP42" i="5"/>
  <c r="AN40" i="5"/>
  <c r="AN41" i="5"/>
  <c r="AO39" i="5"/>
  <c r="AO30" i="5"/>
  <c r="AQ8" i="5"/>
  <c r="AQ11" i="5" s="1"/>
  <c r="AN52" i="5"/>
  <c r="AN51" i="5"/>
  <c r="AO95" i="5"/>
  <c r="AM31" i="5"/>
  <c r="AM34" i="5" s="1"/>
  <c r="AO26" i="5"/>
  <c r="EG7" i="5" l="1"/>
  <c r="EF10" i="5"/>
  <c r="EF13" i="5"/>
  <c r="EF14" i="5"/>
  <c r="EF16" i="5"/>
  <c r="EF18" i="5"/>
  <c r="EF17" i="5"/>
  <c r="EF19" i="5"/>
  <c r="AQ75" i="5"/>
  <c r="AQ66" i="5" s="1"/>
  <c r="AQ64" i="5"/>
  <c r="AQ61" i="5"/>
  <c r="AO63" i="5"/>
  <c r="AQ88" i="5"/>
  <c r="AQ62" i="5" s="1"/>
  <c r="AP47" i="5"/>
  <c r="AQ86" i="5"/>
  <c r="AQ12" i="5"/>
  <c r="AQ33" i="5" s="1"/>
  <c r="AQ29" i="5"/>
  <c r="AQ42" i="5"/>
  <c r="AO40" i="5"/>
  <c r="AO41" i="5"/>
  <c r="AP39" i="5"/>
  <c r="AP30" i="5"/>
  <c r="AR8" i="5"/>
  <c r="AR11" i="5" s="1"/>
  <c r="AO52" i="5"/>
  <c r="AO51" i="5"/>
  <c r="AP95" i="5"/>
  <c r="AN31" i="5"/>
  <c r="AN34" i="5" s="1"/>
  <c r="AP26" i="5"/>
  <c r="AQ32" i="5" l="1"/>
  <c r="EH7" i="5"/>
  <c r="EG10" i="5"/>
  <c r="EG13" i="5"/>
  <c r="EG16" i="5"/>
  <c r="EG17" i="5"/>
  <c r="EG18" i="5"/>
  <c r="EG19" i="5"/>
  <c r="EG14" i="5"/>
  <c r="AR75" i="5"/>
  <c r="AR66" i="5" s="1"/>
  <c r="AR64" i="5"/>
  <c r="AR61" i="5"/>
  <c r="AP63" i="5"/>
  <c r="AQ47" i="5"/>
  <c r="AR88" i="5"/>
  <c r="AR62" i="5" s="1"/>
  <c r="AR86" i="5"/>
  <c r="AR12" i="5"/>
  <c r="AR33" i="5" s="1"/>
  <c r="AR29" i="5"/>
  <c r="AR32" i="5" s="1"/>
  <c r="AR42" i="5"/>
  <c r="AP41" i="5"/>
  <c r="AQ41" i="5" s="1"/>
  <c r="AP40" i="5"/>
  <c r="AQ39" i="5"/>
  <c r="AQ30" i="5"/>
  <c r="AS8" i="5"/>
  <c r="AS11" i="5" s="1"/>
  <c r="AP51" i="5"/>
  <c r="AP52" i="5"/>
  <c r="AQ95" i="5"/>
  <c r="AO31" i="5"/>
  <c r="AO34" i="5" s="1"/>
  <c r="AQ26" i="5"/>
  <c r="EI7" i="5" l="1"/>
  <c r="EH10" i="5"/>
  <c r="EH13" i="5"/>
  <c r="EH16" i="5"/>
  <c r="EH14" i="5"/>
  <c r="EH17" i="5"/>
  <c r="EH18" i="5"/>
  <c r="EH19" i="5"/>
  <c r="AS75" i="5"/>
  <c r="AS66" i="5" s="1"/>
  <c r="AS64" i="5"/>
  <c r="AS61" i="5"/>
  <c r="AQ63" i="5"/>
  <c r="AR47" i="5"/>
  <c r="AS88" i="5"/>
  <c r="AS62" i="5" s="1"/>
  <c r="AS86" i="5"/>
  <c r="AS12" i="5"/>
  <c r="AS33" i="5" s="1"/>
  <c r="AS29" i="5"/>
  <c r="AS42" i="5"/>
  <c r="AQ40" i="5"/>
  <c r="AR39" i="5"/>
  <c r="AR30" i="5"/>
  <c r="AT8" i="5"/>
  <c r="AT11" i="5" s="1"/>
  <c r="AR95" i="5"/>
  <c r="AQ51" i="5"/>
  <c r="AQ52" i="5"/>
  <c r="AP31" i="5"/>
  <c r="AP34" i="5" s="1"/>
  <c r="AR26" i="5"/>
  <c r="AS32" i="5" l="1"/>
  <c r="EJ7" i="5"/>
  <c r="EI10" i="5"/>
  <c r="EI13" i="5"/>
  <c r="EI16" i="5"/>
  <c r="EI14" i="5"/>
  <c r="EI17" i="5"/>
  <c r="EI18" i="5"/>
  <c r="EI19" i="5"/>
  <c r="AT75" i="5"/>
  <c r="AT66" i="5" s="1"/>
  <c r="AT64" i="5"/>
  <c r="AT61" i="5"/>
  <c r="AR63" i="5"/>
  <c r="AT88" i="5"/>
  <c r="AT62" i="5" s="1"/>
  <c r="AS47" i="5"/>
  <c r="AT86" i="5"/>
  <c r="AT12" i="5"/>
  <c r="AT33" i="5" s="1"/>
  <c r="AT29" i="5"/>
  <c r="AT42" i="5"/>
  <c r="AR40" i="5"/>
  <c r="AR41" i="5"/>
  <c r="AS39" i="5"/>
  <c r="AS30" i="5"/>
  <c r="AU8" i="5"/>
  <c r="AU11" i="5" s="1"/>
  <c r="AQ31" i="5"/>
  <c r="AQ34" i="5" s="1"/>
  <c r="AR52" i="5"/>
  <c r="AR51" i="5"/>
  <c r="AS95" i="5"/>
  <c r="AS26" i="5"/>
  <c r="AT32" i="5" l="1"/>
  <c r="EK7" i="5"/>
  <c r="EJ10" i="5"/>
  <c r="EJ13" i="5"/>
  <c r="EJ14" i="5"/>
  <c r="EJ16" i="5"/>
  <c r="EJ17" i="5"/>
  <c r="EJ18" i="5"/>
  <c r="EJ19" i="5"/>
  <c r="AU75" i="5"/>
  <c r="AU66" i="5" s="1"/>
  <c r="AU64" i="5"/>
  <c r="AU61" i="5"/>
  <c r="AS63" i="5"/>
  <c r="AT47" i="5"/>
  <c r="AU88" i="5"/>
  <c r="AU62" i="5" s="1"/>
  <c r="AU86" i="5"/>
  <c r="AU12" i="5"/>
  <c r="AU33" i="5" s="1"/>
  <c r="AU29" i="5"/>
  <c r="AU32" i="5" s="1"/>
  <c r="AU42" i="5"/>
  <c r="AS40" i="5"/>
  <c r="AS41" i="5"/>
  <c r="AT39" i="5"/>
  <c r="AT30" i="5"/>
  <c r="AV8" i="5"/>
  <c r="AV11" i="5" s="1"/>
  <c r="AS51" i="5"/>
  <c r="AS52" i="5"/>
  <c r="AT95" i="5"/>
  <c r="AR31" i="5"/>
  <c r="AR34" i="5" s="1"/>
  <c r="AT26" i="5"/>
  <c r="EL7" i="5" l="1"/>
  <c r="EK10" i="5"/>
  <c r="EK13" i="5"/>
  <c r="EK16" i="5"/>
  <c r="EK14" i="5"/>
  <c r="EK17" i="5"/>
  <c r="EK18" i="5"/>
  <c r="EK19" i="5"/>
  <c r="AV75" i="5"/>
  <c r="AV66" i="5" s="1"/>
  <c r="AV64" i="5"/>
  <c r="AV61" i="5"/>
  <c r="AT63" i="5"/>
  <c r="AV88" i="5"/>
  <c r="AV62" i="5" s="1"/>
  <c r="AU47" i="5"/>
  <c r="AV86" i="5"/>
  <c r="AV12" i="5"/>
  <c r="AV33" i="5" s="1"/>
  <c r="AV29" i="5"/>
  <c r="AV42" i="5"/>
  <c r="AT40" i="5"/>
  <c r="AT41" i="5"/>
  <c r="AU39" i="5"/>
  <c r="AU30" i="5"/>
  <c r="AW8" i="5"/>
  <c r="AW11" i="5" s="1"/>
  <c r="AT51" i="5"/>
  <c r="AT52" i="5"/>
  <c r="AU95" i="5"/>
  <c r="AS31" i="5"/>
  <c r="AS34" i="5" s="1"/>
  <c r="AU26" i="5"/>
  <c r="AV32" i="5" l="1"/>
  <c r="EM7" i="5"/>
  <c r="EL10" i="5"/>
  <c r="EL13" i="5"/>
  <c r="EL16" i="5"/>
  <c r="EL17" i="5"/>
  <c r="EL18" i="5"/>
  <c r="EL19" i="5"/>
  <c r="EL14" i="5"/>
  <c r="AW75" i="5"/>
  <c r="AW66" i="5" s="1"/>
  <c r="AW64" i="5"/>
  <c r="AW61" i="5"/>
  <c r="AU63" i="5"/>
  <c r="AW88" i="5"/>
  <c r="AW62" i="5" s="1"/>
  <c r="AV47" i="5"/>
  <c r="AW86" i="5"/>
  <c r="AW12" i="5"/>
  <c r="AW33" i="5" s="1"/>
  <c r="AW29" i="5"/>
  <c r="AW32" i="5" s="1"/>
  <c r="AW42" i="5"/>
  <c r="AU40" i="5"/>
  <c r="AU41" i="5"/>
  <c r="AV39" i="5"/>
  <c r="AV30" i="5"/>
  <c r="AX8" i="5"/>
  <c r="AX11" i="5" s="1"/>
  <c r="AU51" i="5"/>
  <c r="AU52" i="5"/>
  <c r="AV95" i="5"/>
  <c r="AT31" i="5"/>
  <c r="AT34" i="5" s="1"/>
  <c r="AV26" i="5"/>
  <c r="EN7" i="5" l="1"/>
  <c r="EM10" i="5"/>
  <c r="EM13" i="5"/>
  <c r="EM16" i="5"/>
  <c r="EM14" i="5"/>
  <c r="EM17" i="5"/>
  <c r="EM18" i="5"/>
  <c r="EM19" i="5"/>
  <c r="AX75" i="5"/>
  <c r="AX66" i="5" s="1"/>
  <c r="AX64" i="5"/>
  <c r="AX61" i="5"/>
  <c r="AV63" i="5"/>
  <c r="AX88" i="5"/>
  <c r="AX62" i="5" s="1"/>
  <c r="AX86" i="5"/>
  <c r="AW47" i="5"/>
  <c r="AX12" i="5"/>
  <c r="AX33" i="5" s="1"/>
  <c r="AX29" i="5"/>
  <c r="AX32" i="5" s="1"/>
  <c r="AX42" i="5"/>
  <c r="AV40" i="5"/>
  <c r="AV41" i="5"/>
  <c r="AW39" i="5"/>
  <c r="AW30" i="5"/>
  <c r="AY8" i="5"/>
  <c r="AY11" i="5" s="1"/>
  <c r="AV51" i="5"/>
  <c r="AV52" i="5"/>
  <c r="AW95" i="5"/>
  <c r="AU31" i="5"/>
  <c r="AU34" i="5" s="1"/>
  <c r="AW26" i="5"/>
  <c r="EO7" i="5" l="1"/>
  <c r="EN10" i="5"/>
  <c r="EN13" i="5"/>
  <c r="EN16" i="5"/>
  <c r="EN17" i="5"/>
  <c r="EN18" i="5"/>
  <c r="EN19" i="5"/>
  <c r="EN14" i="5"/>
  <c r="AY75" i="5"/>
  <c r="AY66" i="5" s="1"/>
  <c r="AY64" i="5"/>
  <c r="AY61" i="5"/>
  <c r="AW63" i="5"/>
  <c r="AY88" i="5"/>
  <c r="AY62" i="5" s="1"/>
  <c r="AX47" i="5"/>
  <c r="AY86" i="5"/>
  <c r="AY12" i="5"/>
  <c r="AY33" i="5" s="1"/>
  <c r="AY29" i="5"/>
  <c r="AY32" i="5" s="1"/>
  <c r="AY42" i="5"/>
  <c r="AW40" i="5"/>
  <c r="AW41" i="5"/>
  <c r="AX39" i="5"/>
  <c r="AX30" i="5"/>
  <c r="AZ8" i="5"/>
  <c r="AZ11" i="5" s="1"/>
  <c r="AW51" i="5"/>
  <c r="AW52" i="5"/>
  <c r="AX95" i="5"/>
  <c r="AV31" i="5"/>
  <c r="AV34" i="5" s="1"/>
  <c r="AX26" i="5"/>
  <c r="EP7" i="5" l="1"/>
  <c r="EO10" i="5"/>
  <c r="EO13" i="5"/>
  <c r="EO16" i="5"/>
  <c r="EO14" i="5"/>
  <c r="EO17" i="5"/>
  <c r="EO18" i="5"/>
  <c r="EO19" i="5"/>
  <c r="AZ75" i="5"/>
  <c r="AZ66" i="5" s="1"/>
  <c r="AZ64" i="5"/>
  <c r="AZ61" i="5"/>
  <c r="AX63" i="5"/>
  <c r="AZ88" i="5"/>
  <c r="AZ62" i="5" s="1"/>
  <c r="AZ86" i="5"/>
  <c r="AY47" i="5"/>
  <c r="AZ12" i="5"/>
  <c r="AZ33" i="5" s="1"/>
  <c r="AZ29" i="5"/>
  <c r="AZ32" i="5" s="1"/>
  <c r="AZ42" i="5"/>
  <c r="AX40" i="5"/>
  <c r="AX41" i="5"/>
  <c r="AY39" i="5"/>
  <c r="AY30" i="5"/>
  <c r="BA8" i="5"/>
  <c r="BA11" i="5" s="1"/>
  <c r="AX52" i="5"/>
  <c r="AX51" i="5"/>
  <c r="AY95" i="5"/>
  <c r="AW31" i="5"/>
  <c r="AW34" i="5" s="1"/>
  <c r="AY26" i="5"/>
  <c r="EQ7" i="5" l="1"/>
  <c r="EP10" i="5"/>
  <c r="EP13" i="5"/>
  <c r="EP14" i="5"/>
  <c r="EP16" i="5"/>
  <c r="EP17" i="5"/>
  <c r="EP18" i="5"/>
  <c r="EP19" i="5"/>
  <c r="BA75" i="5"/>
  <c r="BA66" i="5" s="1"/>
  <c r="BA64" i="5"/>
  <c r="BA61" i="5"/>
  <c r="AY63" i="5"/>
  <c r="BA88" i="5"/>
  <c r="BA62" i="5" s="1"/>
  <c r="AZ47" i="5"/>
  <c r="BA86" i="5"/>
  <c r="BA12" i="5"/>
  <c r="BA33" i="5" s="1"/>
  <c r="BA29" i="5"/>
  <c r="BA32" i="5" s="1"/>
  <c r="BA42" i="5"/>
  <c r="AY40" i="5"/>
  <c r="AY41" i="5"/>
  <c r="AZ39" i="5"/>
  <c r="AZ30" i="5"/>
  <c r="BB8" i="5"/>
  <c r="BB11" i="5" s="1"/>
  <c r="AY51" i="5"/>
  <c r="AY52" i="5"/>
  <c r="AZ95" i="5"/>
  <c r="AX31" i="5"/>
  <c r="AX34" i="5" s="1"/>
  <c r="AZ26" i="5"/>
  <c r="ER7" i="5" l="1"/>
  <c r="EQ10" i="5"/>
  <c r="EQ13" i="5"/>
  <c r="EQ16" i="5"/>
  <c r="EQ17" i="5"/>
  <c r="EQ18" i="5"/>
  <c r="EQ19" i="5"/>
  <c r="EQ14" i="5"/>
  <c r="BB75" i="5"/>
  <c r="BB66" i="5" s="1"/>
  <c r="BB64" i="5"/>
  <c r="BB61" i="5"/>
  <c r="AZ63" i="5"/>
  <c r="BB88" i="5"/>
  <c r="BB62" i="5" s="1"/>
  <c r="BA47" i="5"/>
  <c r="BB86" i="5"/>
  <c r="BB12" i="5"/>
  <c r="BB33" i="5" s="1"/>
  <c r="BB29" i="5"/>
  <c r="BB32" i="5" s="1"/>
  <c r="BB42" i="5"/>
  <c r="AZ40" i="5"/>
  <c r="AZ41" i="5"/>
  <c r="BA39" i="5"/>
  <c r="BA30" i="5"/>
  <c r="BC8" i="5"/>
  <c r="BC11" i="5" s="1"/>
  <c r="AZ51" i="5"/>
  <c r="AZ52" i="5"/>
  <c r="BA95" i="5"/>
  <c r="AY31" i="5"/>
  <c r="AY34" i="5" s="1"/>
  <c r="BA26" i="5"/>
  <c r="ES7" i="5" l="1"/>
  <c r="ER10" i="5"/>
  <c r="ER13" i="5"/>
  <c r="ER14" i="5"/>
  <c r="ER16" i="5"/>
  <c r="ER17" i="5"/>
  <c r="ER18" i="5"/>
  <c r="ER19" i="5"/>
  <c r="BC75" i="5"/>
  <c r="BC66" i="5" s="1"/>
  <c r="BC64" i="5"/>
  <c r="BC61" i="5"/>
  <c r="BA63" i="5"/>
  <c r="BB47" i="5"/>
  <c r="BC88" i="5"/>
  <c r="BC62" i="5" s="1"/>
  <c r="BC86" i="5"/>
  <c r="BC12" i="5"/>
  <c r="BC33" i="5" s="1"/>
  <c r="BC29" i="5"/>
  <c r="BC42" i="5"/>
  <c r="BA40" i="5"/>
  <c r="BA41" i="5"/>
  <c r="BB39" i="5"/>
  <c r="BB30" i="5"/>
  <c r="BD8" i="5"/>
  <c r="BD11" i="5" s="1"/>
  <c r="BA52" i="5"/>
  <c r="BA51" i="5"/>
  <c r="BB95" i="5"/>
  <c r="AZ31" i="5"/>
  <c r="AZ34" i="5" s="1"/>
  <c r="BB26" i="5"/>
  <c r="BC32" i="5" l="1"/>
  <c r="ET7" i="5"/>
  <c r="ES10" i="5"/>
  <c r="ES13" i="5"/>
  <c r="ES16" i="5"/>
  <c r="ES17" i="5"/>
  <c r="ES18" i="5"/>
  <c r="ES19" i="5"/>
  <c r="ES14" i="5"/>
  <c r="BD75" i="5"/>
  <c r="BD66" i="5" s="1"/>
  <c r="BD64" i="5"/>
  <c r="BD61" i="5"/>
  <c r="BB63" i="5"/>
  <c r="BC47" i="5"/>
  <c r="BD88" i="5"/>
  <c r="BD62" i="5" s="1"/>
  <c r="BD86" i="5"/>
  <c r="BD12" i="5"/>
  <c r="BD33" i="5" s="1"/>
  <c r="BD29" i="5"/>
  <c r="BD42" i="5"/>
  <c r="BB40" i="5"/>
  <c r="BB41" i="5"/>
  <c r="BC39" i="5"/>
  <c r="BC30" i="5"/>
  <c r="BE8" i="5"/>
  <c r="BE11" i="5" s="1"/>
  <c r="BB51" i="5"/>
  <c r="BB52" i="5"/>
  <c r="BC95" i="5"/>
  <c r="BA31" i="5"/>
  <c r="BA34" i="5" s="1"/>
  <c r="BC26" i="5"/>
  <c r="BD32" i="5" l="1"/>
  <c r="EU7" i="5"/>
  <c r="ET10" i="5"/>
  <c r="ET13" i="5"/>
  <c r="ET16" i="5"/>
  <c r="ET17" i="5"/>
  <c r="ET18" i="5"/>
  <c r="ET19" i="5"/>
  <c r="ET14" i="5"/>
  <c r="BE75" i="5"/>
  <c r="BE66" i="5" s="1"/>
  <c r="BE64" i="5"/>
  <c r="BE61" i="5"/>
  <c r="BC63" i="5"/>
  <c r="BE88" i="5"/>
  <c r="BE62" i="5" s="1"/>
  <c r="BE86" i="5"/>
  <c r="BD47" i="5"/>
  <c r="BE12" i="5"/>
  <c r="BE33" i="5" s="1"/>
  <c r="BE29" i="5"/>
  <c r="BE32" i="5" s="1"/>
  <c r="BE42" i="5"/>
  <c r="BC40" i="5"/>
  <c r="BC41" i="5"/>
  <c r="BD39" i="5"/>
  <c r="BD30" i="5"/>
  <c r="BF8" i="5"/>
  <c r="BF11" i="5" s="1"/>
  <c r="BC51" i="5"/>
  <c r="BC52" i="5"/>
  <c r="BD95" i="5"/>
  <c r="BB31" i="5"/>
  <c r="BB34" i="5" s="1"/>
  <c r="BD26" i="5"/>
  <c r="EV7" i="5" l="1"/>
  <c r="EU10" i="5"/>
  <c r="EU13" i="5"/>
  <c r="EU14" i="5"/>
  <c r="EU16" i="5"/>
  <c r="EU17" i="5"/>
  <c r="EU18" i="5"/>
  <c r="EU19" i="5"/>
  <c r="BF75" i="5"/>
  <c r="BF66" i="5" s="1"/>
  <c r="BF64" i="5"/>
  <c r="BF61" i="5"/>
  <c r="BD63" i="5"/>
  <c r="BE47" i="5"/>
  <c r="BF88" i="5"/>
  <c r="BF62" i="5" s="1"/>
  <c r="BF86" i="5"/>
  <c r="BF12" i="5"/>
  <c r="BF33" i="5" s="1"/>
  <c r="BF29" i="5"/>
  <c r="BF42" i="5"/>
  <c r="BD40" i="5"/>
  <c r="BD41" i="5"/>
  <c r="BE39" i="5"/>
  <c r="BE30" i="5"/>
  <c r="BG8" i="5"/>
  <c r="BG11" i="5" s="1"/>
  <c r="BD51" i="5"/>
  <c r="BD52" i="5"/>
  <c r="BE95" i="5"/>
  <c r="BC31" i="5"/>
  <c r="BC34" i="5" s="1"/>
  <c r="BE26" i="5"/>
  <c r="BF32" i="5" l="1"/>
  <c r="EW7" i="5"/>
  <c r="EV10" i="5"/>
  <c r="EV13" i="5"/>
  <c r="EV16" i="5"/>
  <c r="EV14" i="5"/>
  <c r="EV17" i="5"/>
  <c r="EV18" i="5"/>
  <c r="EV19" i="5"/>
  <c r="BG75" i="5"/>
  <c r="BG66" i="5" s="1"/>
  <c r="BG64" i="5"/>
  <c r="BG61" i="5"/>
  <c r="BE63" i="5"/>
  <c r="BF47" i="5"/>
  <c r="BG88" i="5"/>
  <c r="BG62" i="5" s="1"/>
  <c r="BG86" i="5"/>
  <c r="BG12" i="5"/>
  <c r="BG33" i="5" s="1"/>
  <c r="BG29" i="5"/>
  <c r="BG32" i="5" s="1"/>
  <c r="BG42" i="5"/>
  <c r="BE40" i="5"/>
  <c r="BE41" i="5"/>
  <c r="BF39" i="5"/>
  <c r="BF30" i="5"/>
  <c r="BH8" i="5"/>
  <c r="BH11" i="5" s="1"/>
  <c r="BE52" i="5"/>
  <c r="BE51" i="5"/>
  <c r="BF95" i="5"/>
  <c r="BD31" i="5"/>
  <c r="BD34" i="5" s="1"/>
  <c r="BF26" i="5"/>
  <c r="EX7" i="5" l="1"/>
  <c r="EW10" i="5"/>
  <c r="EW13" i="5"/>
  <c r="EW16" i="5"/>
  <c r="EW14" i="5"/>
  <c r="EW17" i="5"/>
  <c r="EW18" i="5"/>
  <c r="EW19" i="5"/>
  <c r="BH75" i="5"/>
  <c r="BH66" i="5" s="1"/>
  <c r="BH64" i="5"/>
  <c r="BH61" i="5"/>
  <c r="BF63" i="5"/>
  <c r="BH88" i="5"/>
  <c r="BH62" i="5" s="1"/>
  <c r="BH86" i="5"/>
  <c r="BG47" i="5"/>
  <c r="BH12" i="5"/>
  <c r="BH33" i="5" s="1"/>
  <c r="BH29" i="5"/>
  <c r="BH42" i="5"/>
  <c r="BF40" i="5"/>
  <c r="BF41" i="5"/>
  <c r="BG39" i="5"/>
  <c r="BG30" i="5"/>
  <c r="BI8" i="5"/>
  <c r="BI11" i="5" s="1"/>
  <c r="BF51" i="5"/>
  <c r="BF52" i="5"/>
  <c r="BG95" i="5"/>
  <c r="BE31" i="5"/>
  <c r="BE34" i="5" s="1"/>
  <c r="BG26" i="5"/>
  <c r="BH32" i="5" l="1"/>
  <c r="EY7" i="5"/>
  <c r="EX10" i="5"/>
  <c r="EX13" i="5"/>
  <c r="EX16" i="5"/>
  <c r="EX17" i="5"/>
  <c r="EX18" i="5"/>
  <c r="EX19" i="5"/>
  <c r="EX14" i="5"/>
  <c r="BI75" i="5"/>
  <c r="BI66" i="5" s="1"/>
  <c r="BI64" i="5"/>
  <c r="BI61" i="5"/>
  <c r="BG63" i="5"/>
  <c r="BH47" i="5"/>
  <c r="BI88" i="5"/>
  <c r="BI62" i="5" s="1"/>
  <c r="BI86" i="5"/>
  <c r="BI12" i="5"/>
  <c r="BI33" i="5" s="1"/>
  <c r="BI29" i="5"/>
  <c r="BI32" i="5" s="1"/>
  <c r="BI42" i="5"/>
  <c r="BG40" i="5"/>
  <c r="BG41" i="5"/>
  <c r="BH39" i="5"/>
  <c r="BH30" i="5"/>
  <c r="BJ8" i="5"/>
  <c r="BJ11" i="5" s="1"/>
  <c r="BG52" i="5"/>
  <c r="BG51" i="5"/>
  <c r="BH95" i="5"/>
  <c r="BF31" i="5"/>
  <c r="BF34" i="5" s="1"/>
  <c r="BH26" i="5"/>
  <c r="EZ7" i="5" l="1"/>
  <c r="EY10" i="5"/>
  <c r="EY13" i="5"/>
  <c r="EY14" i="5"/>
  <c r="EY16" i="5"/>
  <c r="EY17" i="5"/>
  <c r="EY18" i="5"/>
  <c r="EY19" i="5"/>
  <c r="BJ75" i="5"/>
  <c r="BJ66" i="5" s="1"/>
  <c r="BJ64" i="5"/>
  <c r="BJ61" i="5"/>
  <c r="BH63" i="5"/>
  <c r="BJ88" i="5"/>
  <c r="BJ62" i="5" s="1"/>
  <c r="BI47" i="5"/>
  <c r="BJ86" i="5"/>
  <c r="BJ12" i="5"/>
  <c r="BJ33" i="5" s="1"/>
  <c r="BJ29" i="5"/>
  <c r="BJ32" i="5" s="1"/>
  <c r="BJ42" i="5"/>
  <c r="BH40" i="5"/>
  <c r="BH41" i="5"/>
  <c r="BI39" i="5"/>
  <c r="BI30" i="5"/>
  <c r="BK8" i="5"/>
  <c r="BK11" i="5" s="1"/>
  <c r="BI95" i="5"/>
  <c r="BH52" i="5"/>
  <c r="BH51" i="5"/>
  <c r="BG31" i="5"/>
  <c r="BG34" i="5" s="1"/>
  <c r="BI26" i="5"/>
  <c r="FA7" i="5" l="1"/>
  <c r="EZ10" i="5"/>
  <c r="EZ13" i="5"/>
  <c r="EZ16" i="5"/>
  <c r="EZ17" i="5"/>
  <c r="EZ18" i="5"/>
  <c r="EZ19" i="5"/>
  <c r="EZ14" i="5"/>
  <c r="BK75" i="5"/>
  <c r="BK66" i="5" s="1"/>
  <c r="BK64" i="5"/>
  <c r="BK61" i="5"/>
  <c r="BI63" i="5"/>
  <c r="BJ47" i="5"/>
  <c r="BK88" i="5"/>
  <c r="BK62" i="5" s="1"/>
  <c r="BK86" i="5"/>
  <c r="BK12" i="5"/>
  <c r="BK33" i="5" s="1"/>
  <c r="BK29" i="5"/>
  <c r="BK32" i="5" s="1"/>
  <c r="BK42" i="5"/>
  <c r="BI40" i="5"/>
  <c r="BI41" i="5"/>
  <c r="BJ39" i="5"/>
  <c r="BJ30" i="5"/>
  <c r="BL8" i="5"/>
  <c r="BL11" i="5" s="1"/>
  <c r="BI51" i="5"/>
  <c r="BI52" i="5"/>
  <c r="BJ95" i="5"/>
  <c r="BH31" i="5"/>
  <c r="BH34" i="5" s="1"/>
  <c r="BJ26" i="5"/>
  <c r="FB7" i="5" l="1"/>
  <c r="FA10" i="5"/>
  <c r="FA13" i="5"/>
  <c r="FA16" i="5"/>
  <c r="FA17" i="5"/>
  <c r="FA18" i="5"/>
  <c r="FA19" i="5"/>
  <c r="FA14" i="5"/>
  <c r="BL75" i="5"/>
  <c r="BL66" i="5" s="1"/>
  <c r="BL64" i="5"/>
  <c r="BL61" i="5"/>
  <c r="BJ63" i="5"/>
  <c r="BL88" i="5"/>
  <c r="BL62" i="5" s="1"/>
  <c r="BK47" i="5"/>
  <c r="BL86" i="5"/>
  <c r="BL12" i="5"/>
  <c r="BL33" i="5" s="1"/>
  <c r="BL29" i="5"/>
  <c r="BL32" i="5" s="1"/>
  <c r="BL42" i="5"/>
  <c r="BJ40" i="5"/>
  <c r="BJ41" i="5"/>
  <c r="BK39" i="5"/>
  <c r="BK30" i="5"/>
  <c r="BM8" i="5"/>
  <c r="BM11" i="5" s="1"/>
  <c r="BK95" i="5"/>
  <c r="BJ51" i="5"/>
  <c r="BJ52" i="5"/>
  <c r="BI31" i="5"/>
  <c r="BI34" i="5" s="1"/>
  <c r="BK26" i="5"/>
  <c r="FC7" i="5" l="1"/>
  <c r="FB10" i="5"/>
  <c r="FB13" i="5"/>
  <c r="FB14" i="5"/>
  <c r="FB16" i="5"/>
  <c r="FB17" i="5"/>
  <c r="FB18" i="5"/>
  <c r="FB19" i="5"/>
  <c r="BM75" i="5"/>
  <c r="BM66" i="5" s="1"/>
  <c r="BM64" i="5"/>
  <c r="BM61" i="5"/>
  <c r="BK63" i="5"/>
  <c r="BL47" i="5"/>
  <c r="BM88" i="5"/>
  <c r="BM62" i="5" s="1"/>
  <c r="BM86" i="5"/>
  <c r="BM12" i="5"/>
  <c r="BM33" i="5" s="1"/>
  <c r="BM29" i="5"/>
  <c r="BM32" i="5" s="1"/>
  <c r="BM42" i="5"/>
  <c r="BK40" i="5"/>
  <c r="BK41" i="5"/>
  <c r="BL39" i="5"/>
  <c r="BL30" i="5"/>
  <c r="BN8" i="5"/>
  <c r="BN11" i="5" s="1"/>
  <c r="BK51" i="5"/>
  <c r="BK52" i="5"/>
  <c r="BL95" i="5"/>
  <c r="BJ31" i="5"/>
  <c r="BJ34" i="5" s="1"/>
  <c r="BL26" i="5"/>
  <c r="FD7" i="5" l="1"/>
  <c r="FC10" i="5"/>
  <c r="FC13" i="5"/>
  <c r="FC16" i="5"/>
  <c r="FC14" i="5"/>
  <c r="FC17" i="5"/>
  <c r="FC18" i="5"/>
  <c r="FC19" i="5"/>
  <c r="BN75" i="5"/>
  <c r="BN66" i="5" s="1"/>
  <c r="BN64" i="5"/>
  <c r="BN61" i="5"/>
  <c r="BL63" i="5"/>
  <c r="BN88" i="5"/>
  <c r="BN62" i="5" s="1"/>
  <c r="BM47" i="5"/>
  <c r="BN86" i="5"/>
  <c r="BN12" i="5"/>
  <c r="BN33" i="5" s="1"/>
  <c r="BN29" i="5"/>
  <c r="BN32" i="5" s="1"/>
  <c r="BN42" i="5"/>
  <c r="BL40" i="5"/>
  <c r="BL41" i="5"/>
  <c r="BM39" i="5"/>
  <c r="BM30" i="5"/>
  <c r="BO8" i="5"/>
  <c r="BO11" i="5" s="1"/>
  <c r="BM95" i="5"/>
  <c r="BL52" i="5"/>
  <c r="BL51" i="5"/>
  <c r="BK31" i="5"/>
  <c r="BK34" i="5" s="1"/>
  <c r="BM26" i="5"/>
  <c r="FE7" i="5" l="1"/>
  <c r="FD10" i="5"/>
  <c r="FD13" i="5"/>
  <c r="FD14" i="5"/>
  <c r="FD16" i="5"/>
  <c r="FD18" i="5"/>
  <c r="FD19" i="5"/>
  <c r="FD17" i="5"/>
  <c r="BO75" i="5"/>
  <c r="BO66" i="5" s="1"/>
  <c r="BO64" i="5"/>
  <c r="BO61" i="5"/>
  <c r="BM63" i="5"/>
  <c r="BN47" i="5"/>
  <c r="BO88" i="5"/>
  <c r="BO62" i="5" s="1"/>
  <c r="BO86" i="5"/>
  <c r="BO12" i="5"/>
  <c r="BO33" i="5" s="1"/>
  <c r="BO29" i="5"/>
  <c r="BO42" i="5"/>
  <c r="BM41" i="5"/>
  <c r="BM40" i="5"/>
  <c r="BN39" i="5"/>
  <c r="BN30" i="5"/>
  <c r="BP8" i="5"/>
  <c r="BP11" i="5" s="1"/>
  <c r="BL31" i="5"/>
  <c r="BL34" i="5" s="1"/>
  <c r="BM52" i="5"/>
  <c r="BM51" i="5"/>
  <c r="BN26" i="5"/>
  <c r="BO32" i="5" l="1"/>
  <c r="FF7" i="5"/>
  <c r="FE10" i="5"/>
  <c r="FE13" i="5"/>
  <c r="FE16" i="5"/>
  <c r="FE14" i="5"/>
  <c r="FE17" i="5"/>
  <c r="FE18" i="5"/>
  <c r="FE19" i="5"/>
  <c r="BP75" i="5"/>
  <c r="BP66" i="5" s="1"/>
  <c r="BP64" i="5"/>
  <c r="BP61" i="5"/>
  <c r="BP88" i="5"/>
  <c r="BP62" i="5" s="1"/>
  <c r="BO47" i="5"/>
  <c r="BP86" i="5"/>
  <c r="BP12" i="5"/>
  <c r="BP33" i="5" s="1"/>
  <c r="BP29" i="5"/>
  <c r="BP32" i="5" s="1"/>
  <c r="BP42" i="5"/>
  <c r="BN40" i="5"/>
  <c r="BN41" i="5"/>
  <c r="BO39" i="5"/>
  <c r="BO30" i="5"/>
  <c r="BQ8" i="5"/>
  <c r="BQ11" i="5" s="1"/>
  <c r="BO95" i="5"/>
  <c r="BM31" i="5"/>
  <c r="BM34" i="5" s="1"/>
  <c r="BO26" i="5"/>
  <c r="FG7" i="5" l="1"/>
  <c r="FF10" i="5"/>
  <c r="FF13" i="5"/>
  <c r="FF14" i="5"/>
  <c r="FF16" i="5"/>
  <c r="FF17" i="5"/>
  <c r="FF18" i="5"/>
  <c r="FF19" i="5"/>
  <c r="BQ75" i="5"/>
  <c r="BQ66" i="5" s="1"/>
  <c r="BQ64" i="5"/>
  <c r="BQ61" i="5"/>
  <c r="BO63" i="5"/>
  <c r="BQ88" i="5"/>
  <c r="BQ62" i="5" s="1"/>
  <c r="BP47" i="5"/>
  <c r="BQ86" i="5"/>
  <c r="BQ12" i="5"/>
  <c r="BQ33" i="5" s="1"/>
  <c r="BQ29" i="5"/>
  <c r="BQ42" i="5"/>
  <c r="BO40" i="5"/>
  <c r="BO41" i="5"/>
  <c r="BP39" i="5"/>
  <c r="BP30" i="5"/>
  <c r="BR8" i="5"/>
  <c r="BR11" i="5" s="1"/>
  <c r="BN31" i="5"/>
  <c r="BN34" i="5" s="1"/>
  <c r="BO52" i="5"/>
  <c r="BO51" i="5"/>
  <c r="BP95" i="5"/>
  <c r="BP26" i="5"/>
  <c r="BQ32" i="5" l="1"/>
  <c r="FH7" i="5"/>
  <c r="FG10" i="5"/>
  <c r="FG13" i="5"/>
  <c r="FG16" i="5"/>
  <c r="FG14" i="5"/>
  <c r="FG18" i="5"/>
  <c r="FG19" i="5"/>
  <c r="FG17" i="5"/>
  <c r="BR75" i="5"/>
  <c r="BR66" i="5" s="1"/>
  <c r="BR64" i="5"/>
  <c r="BR61" i="5"/>
  <c r="BP63" i="5"/>
  <c r="BQ47" i="5"/>
  <c r="BR88" i="5"/>
  <c r="BR62" i="5" s="1"/>
  <c r="BR86" i="5"/>
  <c r="BR12" i="5"/>
  <c r="BR33" i="5" s="1"/>
  <c r="BR29" i="5"/>
  <c r="BR32" i="5" s="1"/>
  <c r="BR42" i="5"/>
  <c r="BP40" i="5"/>
  <c r="BP41" i="5"/>
  <c r="BQ39" i="5"/>
  <c r="BQ30" i="5"/>
  <c r="BS8" i="5"/>
  <c r="BS11" i="5" s="1"/>
  <c r="BQ95" i="5"/>
  <c r="BP51" i="5"/>
  <c r="BP52" i="5"/>
  <c r="BO31" i="5"/>
  <c r="BO34" i="5" s="1"/>
  <c r="BQ26" i="5"/>
  <c r="FI7" i="5" l="1"/>
  <c r="FH10" i="5"/>
  <c r="FH13" i="5"/>
  <c r="FH14" i="5"/>
  <c r="FH16" i="5"/>
  <c r="FH17" i="5"/>
  <c r="FH18" i="5"/>
  <c r="FH19" i="5"/>
  <c r="BS75" i="5"/>
  <c r="BS66" i="5" s="1"/>
  <c r="BS64" i="5"/>
  <c r="BS61" i="5"/>
  <c r="BQ63" i="5"/>
  <c r="BS88" i="5"/>
  <c r="BS62" i="5" s="1"/>
  <c r="BR47" i="5"/>
  <c r="BS86" i="5"/>
  <c r="BS12" i="5"/>
  <c r="BS33" i="5" s="1"/>
  <c r="BS29" i="5"/>
  <c r="BS42" i="5"/>
  <c r="BQ40" i="5"/>
  <c r="BQ41" i="5"/>
  <c r="BR39" i="5"/>
  <c r="BR30" i="5"/>
  <c r="BT8" i="5"/>
  <c r="BT11" i="5" s="1"/>
  <c r="BQ51" i="5"/>
  <c r="BQ52" i="5"/>
  <c r="BR95" i="5"/>
  <c r="BP31" i="5"/>
  <c r="BP34" i="5" s="1"/>
  <c r="BR26" i="5"/>
  <c r="BS32" i="5" l="1"/>
  <c r="FJ7" i="5"/>
  <c r="FI10" i="5"/>
  <c r="FI13" i="5"/>
  <c r="FI16" i="5"/>
  <c r="FI17" i="5"/>
  <c r="FI18" i="5"/>
  <c r="FI19" i="5"/>
  <c r="FI14" i="5"/>
  <c r="BS47" i="5"/>
  <c r="BT75" i="5"/>
  <c r="BT66" i="5" s="1"/>
  <c r="BT64" i="5"/>
  <c r="BT61" i="5"/>
  <c r="BR63" i="5"/>
  <c r="BT88" i="5"/>
  <c r="BT62" i="5" s="1"/>
  <c r="BT86" i="5"/>
  <c r="BT12" i="5"/>
  <c r="BT33" i="5" s="1"/>
  <c r="BT29" i="5"/>
  <c r="BT32" i="5" s="1"/>
  <c r="BT42" i="5"/>
  <c r="BR40" i="5"/>
  <c r="BR41" i="5"/>
  <c r="BS39" i="5"/>
  <c r="BS30" i="5"/>
  <c r="BU8" i="5"/>
  <c r="BU11" i="5" s="1"/>
  <c r="BR51" i="5"/>
  <c r="BR52" i="5"/>
  <c r="BS95" i="5"/>
  <c r="BQ31" i="5"/>
  <c r="BQ34" i="5" s="1"/>
  <c r="BS26" i="5"/>
  <c r="FK7" i="5" l="1"/>
  <c r="FJ10" i="5"/>
  <c r="FJ13" i="5"/>
  <c r="FJ14" i="5"/>
  <c r="FJ16" i="5"/>
  <c r="FJ17" i="5"/>
  <c r="FJ18" i="5"/>
  <c r="FJ19" i="5"/>
  <c r="BU75" i="5"/>
  <c r="BU66" i="5" s="1"/>
  <c r="BU64" i="5"/>
  <c r="BU61" i="5"/>
  <c r="BS63" i="5"/>
  <c r="BU88" i="5"/>
  <c r="BU62" i="5" s="1"/>
  <c r="BT47" i="5"/>
  <c r="BU86" i="5"/>
  <c r="BU12" i="5"/>
  <c r="BU33" i="5" s="1"/>
  <c r="BU29" i="5"/>
  <c r="BU42" i="5"/>
  <c r="BS40" i="5"/>
  <c r="BS41" i="5"/>
  <c r="BT39" i="5"/>
  <c r="BT30" i="5"/>
  <c r="BV8" i="5"/>
  <c r="BV11" i="5" s="1"/>
  <c r="BS52" i="5"/>
  <c r="BS51" i="5"/>
  <c r="BT95" i="5"/>
  <c r="BR31" i="5"/>
  <c r="BR34" i="5" s="1"/>
  <c r="BT26" i="5"/>
  <c r="BU32" i="5" l="1"/>
  <c r="FL7" i="5"/>
  <c r="FK10" i="5"/>
  <c r="FK13" i="5"/>
  <c r="FK16" i="5"/>
  <c r="FK14" i="5"/>
  <c r="FK18" i="5"/>
  <c r="FK19" i="5"/>
  <c r="FK17" i="5"/>
  <c r="BV75" i="5"/>
  <c r="BV66" i="5" s="1"/>
  <c r="BV64" i="5"/>
  <c r="BV61" i="5"/>
  <c r="BT63" i="5"/>
  <c r="BV88" i="5"/>
  <c r="BV62" i="5" s="1"/>
  <c r="BV86" i="5"/>
  <c r="BU47" i="5"/>
  <c r="BV12" i="5"/>
  <c r="BV33" i="5" s="1"/>
  <c r="BV29" i="5"/>
  <c r="BV32" i="5" s="1"/>
  <c r="BV42" i="5"/>
  <c r="BT40" i="5"/>
  <c r="BT41" i="5"/>
  <c r="BU39" i="5"/>
  <c r="BU30" i="5"/>
  <c r="BW8" i="5"/>
  <c r="BW11" i="5" s="1"/>
  <c r="BT51" i="5"/>
  <c r="BT52" i="5"/>
  <c r="BU95" i="5"/>
  <c r="BS31" i="5"/>
  <c r="BS34" i="5" s="1"/>
  <c r="BU26" i="5"/>
  <c r="FM7" i="5" l="1"/>
  <c r="FL10" i="5"/>
  <c r="FL13" i="5"/>
  <c r="FL14" i="5"/>
  <c r="FL16" i="5"/>
  <c r="FL17" i="5"/>
  <c r="FL18" i="5"/>
  <c r="FL19" i="5"/>
  <c r="BW75" i="5"/>
  <c r="BW66" i="5" s="1"/>
  <c r="BW64" i="5"/>
  <c r="BW61" i="5"/>
  <c r="BU63" i="5"/>
  <c r="BW88" i="5"/>
  <c r="BW62" i="5" s="1"/>
  <c r="BW86" i="5"/>
  <c r="BV47" i="5"/>
  <c r="BW12" i="5"/>
  <c r="BW33" i="5" s="1"/>
  <c r="BW29" i="5"/>
  <c r="BW32" i="5" s="1"/>
  <c r="BW42" i="5"/>
  <c r="BU41" i="5"/>
  <c r="BU40" i="5"/>
  <c r="BV39" i="5"/>
  <c r="BV30" i="5"/>
  <c r="BX8" i="5"/>
  <c r="BX11" i="5" s="1"/>
  <c r="BT31" i="5"/>
  <c r="BT34" i="5" s="1"/>
  <c r="BU52" i="5"/>
  <c r="BU51" i="5"/>
  <c r="BV95" i="5"/>
  <c r="BV26" i="5"/>
  <c r="FN7" i="5" l="1"/>
  <c r="FM10" i="5"/>
  <c r="FM13" i="5"/>
  <c r="FM16" i="5"/>
  <c r="FM14" i="5"/>
  <c r="FM18" i="5"/>
  <c r="FM19" i="5"/>
  <c r="FM17" i="5"/>
  <c r="BX75" i="5"/>
  <c r="BX66" i="5" s="1"/>
  <c r="BX64" i="5"/>
  <c r="BX61" i="5"/>
  <c r="BV63" i="5"/>
  <c r="BX88" i="5"/>
  <c r="BX62" i="5" s="1"/>
  <c r="BX86" i="5"/>
  <c r="BW47" i="5"/>
  <c r="BX12" i="5"/>
  <c r="BX33" i="5" s="1"/>
  <c r="BX29" i="5"/>
  <c r="BX32" i="5" s="1"/>
  <c r="BX42" i="5"/>
  <c r="BV41" i="5"/>
  <c r="BV40" i="5"/>
  <c r="BW39" i="5"/>
  <c r="BW30" i="5"/>
  <c r="BY8" i="5"/>
  <c r="BY11" i="5" s="1"/>
  <c r="BV51" i="5"/>
  <c r="BV52" i="5"/>
  <c r="BW95" i="5"/>
  <c r="BU31" i="5"/>
  <c r="BU34" i="5" s="1"/>
  <c r="BW26" i="5"/>
  <c r="FO7" i="5" l="1"/>
  <c r="FN10" i="5"/>
  <c r="FN13" i="5"/>
  <c r="FN14" i="5"/>
  <c r="FN16" i="5"/>
  <c r="FN17" i="5"/>
  <c r="FN18" i="5"/>
  <c r="FN19" i="5"/>
  <c r="BY75" i="5"/>
  <c r="BY66" i="5" s="1"/>
  <c r="BY64" i="5"/>
  <c r="BY61" i="5"/>
  <c r="BW63" i="5"/>
  <c r="BY88" i="5"/>
  <c r="BY62" i="5" s="1"/>
  <c r="BX47" i="5"/>
  <c r="BY86" i="5"/>
  <c r="BY12" i="5"/>
  <c r="BY33" i="5" s="1"/>
  <c r="BY29" i="5"/>
  <c r="BY32" i="5" s="1"/>
  <c r="BY42" i="5"/>
  <c r="BW40" i="5"/>
  <c r="BW41" i="5"/>
  <c r="BX39" i="5"/>
  <c r="BX30" i="5"/>
  <c r="BZ8" i="5"/>
  <c r="BZ11" i="5" s="1"/>
  <c r="BW52" i="5"/>
  <c r="BW51" i="5"/>
  <c r="BX95" i="5"/>
  <c r="BV31" i="5"/>
  <c r="BV34" i="5" s="1"/>
  <c r="BX26" i="5"/>
  <c r="FP7" i="5" l="1"/>
  <c r="FO10" i="5"/>
  <c r="FO13" i="5"/>
  <c r="FO16" i="5"/>
  <c r="FO14" i="5"/>
  <c r="FO18" i="5"/>
  <c r="FO19" i="5"/>
  <c r="FO17" i="5"/>
  <c r="BZ75" i="5"/>
  <c r="BZ66" i="5" s="1"/>
  <c r="BZ64" i="5"/>
  <c r="BZ61" i="5"/>
  <c r="BX63" i="5"/>
  <c r="BZ88" i="5"/>
  <c r="BZ62" i="5" s="1"/>
  <c r="BY47" i="5"/>
  <c r="BZ86" i="5"/>
  <c r="BZ12" i="5"/>
  <c r="BZ33" i="5" s="1"/>
  <c r="BZ29" i="5"/>
  <c r="BZ32" i="5" s="1"/>
  <c r="BZ42" i="5"/>
  <c r="BX40" i="5"/>
  <c r="BX41" i="5"/>
  <c r="BY39" i="5"/>
  <c r="BY30" i="5"/>
  <c r="CA8" i="5"/>
  <c r="CA11" i="5" s="1"/>
  <c r="BW31" i="5"/>
  <c r="BW34" i="5" s="1"/>
  <c r="BX52" i="5"/>
  <c r="BX51" i="5"/>
  <c r="BY95" i="5"/>
  <c r="BY26" i="5"/>
  <c r="FQ7" i="5" l="1"/>
  <c r="FP10" i="5"/>
  <c r="FP13" i="5"/>
  <c r="FP14" i="5"/>
  <c r="FP16" i="5"/>
  <c r="FP17" i="5"/>
  <c r="FP18" i="5"/>
  <c r="FP19" i="5"/>
  <c r="CA75" i="5"/>
  <c r="CA66" i="5" s="1"/>
  <c r="CA64" i="5"/>
  <c r="CA61" i="5"/>
  <c r="BY63" i="5"/>
  <c r="BZ47" i="5"/>
  <c r="CA88" i="5"/>
  <c r="CA62" i="5" s="1"/>
  <c r="CA86" i="5"/>
  <c r="CA12" i="5"/>
  <c r="CA33" i="5" s="1"/>
  <c r="CA29" i="5"/>
  <c r="CA42" i="5"/>
  <c r="BY40" i="5"/>
  <c r="BY41" i="5"/>
  <c r="BZ39" i="5"/>
  <c r="BZ30" i="5"/>
  <c r="CB8" i="5"/>
  <c r="CB11" i="5" s="1"/>
  <c r="BX31" i="5"/>
  <c r="BX34" i="5" s="1"/>
  <c r="BY51" i="5"/>
  <c r="BY52" i="5"/>
  <c r="BZ95" i="5"/>
  <c r="BZ26" i="5"/>
  <c r="CA32" i="5" l="1"/>
  <c r="FR7" i="5"/>
  <c r="FQ10" i="5"/>
  <c r="FQ13" i="5"/>
  <c r="FQ16" i="5"/>
  <c r="FQ17" i="5"/>
  <c r="FQ18" i="5"/>
  <c r="FQ19" i="5"/>
  <c r="FQ14" i="5"/>
  <c r="CB75" i="5"/>
  <c r="CB66" i="5" s="1"/>
  <c r="CB64" i="5"/>
  <c r="CB61" i="5"/>
  <c r="BZ63" i="5"/>
  <c r="CA47" i="5"/>
  <c r="CB88" i="5"/>
  <c r="CB62" i="5" s="1"/>
  <c r="CB86" i="5"/>
  <c r="CB12" i="5"/>
  <c r="CB33" i="5" s="1"/>
  <c r="CB29" i="5"/>
  <c r="CB32" i="5" s="1"/>
  <c r="CB42" i="5"/>
  <c r="BZ40" i="5"/>
  <c r="BZ41" i="5"/>
  <c r="CA39" i="5"/>
  <c r="CA30" i="5"/>
  <c r="CC8" i="5"/>
  <c r="CC11" i="5" s="1"/>
  <c r="BZ52" i="5"/>
  <c r="BZ51" i="5"/>
  <c r="CA95" i="5"/>
  <c r="BY31" i="5"/>
  <c r="BY34" i="5" s="1"/>
  <c r="CA26" i="5"/>
  <c r="FS7" i="5" l="1"/>
  <c r="FR10" i="5"/>
  <c r="FR13" i="5"/>
  <c r="FR14" i="5"/>
  <c r="FR16" i="5"/>
  <c r="FR18" i="5"/>
  <c r="FR19" i="5"/>
  <c r="FR17" i="5"/>
  <c r="CC75" i="5"/>
  <c r="CC66" i="5" s="1"/>
  <c r="CC61" i="5"/>
  <c r="CC64" i="5"/>
  <c r="CA63" i="5"/>
  <c r="CC88" i="5"/>
  <c r="CC62" i="5" s="1"/>
  <c r="CB47" i="5"/>
  <c r="CC86" i="5"/>
  <c r="CC12" i="5"/>
  <c r="CC33" i="5" s="1"/>
  <c r="CC29" i="5"/>
  <c r="CC42" i="5"/>
  <c r="CA40" i="5"/>
  <c r="CA41" i="5"/>
  <c r="CB39" i="5"/>
  <c r="CB30" i="5"/>
  <c r="CD8" i="5"/>
  <c r="CD11" i="5" s="1"/>
  <c r="CB95" i="5"/>
  <c r="CA52" i="5"/>
  <c r="CA51" i="5"/>
  <c r="BZ31" i="5"/>
  <c r="BZ34" i="5" s="1"/>
  <c r="CB26" i="5"/>
  <c r="CC32" i="5" l="1"/>
  <c r="FT7" i="5"/>
  <c r="FS10" i="5"/>
  <c r="FS13" i="5"/>
  <c r="FS16" i="5"/>
  <c r="FS14" i="5"/>
  <c r="FS17" i="5"/>
  <c r="FS18" i="5"/>
  <c r="FS19" i="5"/>
  <c r="CD75" i="5"/>
  <c r="CD66" i="5" s="1"/>
  <c r="CD64" i="5"/>
  <c r="CD61" i="5"/>
  <c r="CB63" i="5"/>
  <c r="CC47" i="5"/>
  <c r="CD88" i="5"/>
  <c r="CD62" i="5" s="1"/>
  <c r="CD86" i="5"/>
  <c r="CD12" i="5"/>
  <c r="CD33" i="5" s="1"/>
  <c r="CD29" i="5"/>
  <c r="CD32" i="5" s="1"/>
  <c r="CD42" i="5"/>
  <c r="CB41" i="5"/>
  <c r="CB40" i="5"/>
  <c r="CC39" i="5"/>
  <c r="CC30" i="5"/>
  <c r="CE8" i="5"/>
  <c r="CE11" i="5" s="1"/>
  <c r="CB52" i="5"/>
  <c r="CB51" i="5"/>
  <c r="CC95" i="5"/>
  <c r="CA31" i="5"/>
  <c r="CA34" i="5" s="1"/>
  <c r="CC26" i="5"/>
  <c r="FU7" i="5" l="1"/>
  <c r="FT10" i="5"/>
  <c r="FT13" i="5"/>
  <c r="FT16" i="5"/>
  <c r="FT17" i="5"/>
  <c r="FT18" i="5"/>
  <c r="FT19" i="5"/>
  <c r="FT14" i="5"/>
  <c r="CE75" i="5"/>
  <c r="CE66" i="5" s="1"/>
  <c r="CE61" i="5"/>
  <c r="CE64" i="5"/>
  <c r="CC63" i="5"/>
  <c r="CE88" i="5"/>
  <c r="CE62" i="5" s="1"/>
  <c r="CD47" i="5"/>
  <c r="CE86" i="5"/>
  <c r="CE12" i="5"/>
  <c r="CE33" i="5" s="1"/>
  <c r="CE29" i="5"/>
  <c r="CE42" i="5"/>
  <c r="CC41" i="5"/>
  <c r="CC40" i="5"/>
  <c r="CD39" i="5"/>
  <c r="CD30" i="5"/>
  <c r="CF8" i="5"/>
  <c r="CF11" i="5" s="1"/>
  <c r="CC52" i="5"/>
  <c r="CC51" i="5"/>
  <c r="CD95" i="5"/>
  <c r="CB31" i="5"/>
  <c r="CB34" i="5" s="1"/>
  <c r="CD26" i="5"/>
  <c r="CE32" i="5" l="1"/>
  <c r="FV7" i="5"/>
  <c r="FU10" i="5"/>
  <c r="FU13" i="5"/>
  <c r="FU18" i="5"/>
  <c r="FU19" i="5"/>
  <c r="FU17" i="5"/>
  <c r="FU16" i="5"/>
  <c r="FU14" i="5"/>
  <c r="CF75" i="5"/>
  <c r="CF66" i="5" s="1"/>
  <c r="CF64" i="5"/>
  <c r="CF61" i="5"/>
  <c r="CD63" i="5"/>
  <c r="CF88" i="5"/>
  <c r="CF62" i="5" s="1"/>
  <c r="CF86" i="5"/>
  <c r="CE47" i="5"/>
  <c r="CF12" i="5"/>
  <c r="CF33" i="5" s="1"/>
  <c r="CF29" i="5"/>
  <c r="CF32" i="5" s="1"/>
  <c r="CF42" i="5"/>
  <c r="CD41" i="5"/>
  <c r="CD40" i="5"/>
  <c r="CE39" i="5"/>
  <c r="CE30" i="5"/>
  <c r="CG8" i="5"/>
  <c r="CG11" i="5" s="1"/>
  <c r="CD52" i="5"/>
  <c r="CD51" i="5"/>
  <c r="CE95" i="5"/>
  <c r="CC31" i="5"/>
  <c r="CC34" i="5" s="1"/>
  <c r="CE26" i="5"/>
  <c r="FW7" i="5" l="1"/>
  <c r="FV10" i="5"/>
  <c r="FV13" i="5"/>
  <c r="FV14" i="5"/>
  <c r="FV17" i="5"/>
  <c r="FV18" i="5"/>
  <c r="FV19" i="5"/>
  <c r="FV16" i="5"/>
  <c r="CG75" i="5"/>
  <c r="CG66" i="5" s="1"/>
  <c r="CG64" i="5"/>
  <c r="CG61" i="5"/>
  <c r="CE63" i="5"/>
  <c r="CF47" i="5"/>
  <c r="CG88" i="5"/>
  <c r="CG62" i="5" s="1"/>
  <c r="CG86" i="5"/>
  <c r="CG12" i="5"/>
  <c r="CG33" i="5" s="1"/>
  <c r="CG29" i="5"/>
  <c r="CG42" i="5"/>
  <c r="CE41" i="5"/>
  <c r="CE40" i="5"/>
  <c r="CF39" i="5"/>
  <c r="CF30" i="5"/>
  <c r="CH8" i="5"/>
  <c r="CH11" i="5" s="1"/>
  <c r="CE51" i="5"/>
  <c r="CE52" i="5"/>
  <c r="CF95" i="5"/>
  <c r="CD31" i="5"/>
  <c r="CD34" i="5" s="1"/>
  <c r="CF26" i="5"/>
  <c r="CG32" i="5" l="1"/>
  <c r="FX7" i="5"/>
  <c r="FW10" i="5"/>
  <c r="FW13" i="5"/>
  <c r="FW14" i="5"/>
  <c r="FW17" i="5"/>
  <c r="FW16" i="5"/>
  <c r="FW18" i="5"/>
  <c r="FW19" i="5"/>
  <c r="CH75" i="5"/>
  <c r="CH66" i="5" s="1"/>
  <c r="CH64" i="5"/>
  <c r="CH61" i="5"/>
  <c r="CF63" i="5"/>
  <c r="CG47" i="5"/>
  <c r="CH88" i="5"/>
  <c r="CH62" i="5" s="1"/>
  <c r="CH86" i="5"/>
  <c r="CH12" i="5"/>
  <c r="CH33" i="5" s="1"/>
  <c r="CH29" i="5"/>
  <c r="CH32" i="5" s="1"/>
  <c r="CH42" i="5"/>
  <c r="CF41" i="5"/>
  <c r="CF40" i="5"/>
  <c r="CG39" i="5"/>
  <c r="CG30" i="5"/>
  <c r="CI8" i="5"/>
  <c r="CI11" i="5" s="1"/>
  <c r="CF52" i="5"/>
  <c r="CF51" i="5"/>
  <c r="CG95" i="5"/>
  <c r="CE31" i="5"/>
  <c r="CE34" i="5" s="1"/>
  <c r="CG26" i="5"/>
  <c r="FY7" i="5" l="1"/>
  <c r="FX10" i="5"/>
  <c r="FX13" i="5"/>
  <c r="FX16" i="5"/>
  <c r="FX18" i="5"/>
  <c r="FX19" i="5"/>
  <c r="FX17" i="5"/>
  <c r="FX14" i="5"/>
  <c r="CI75" i="5"/>
  <c r="CI66" i="5" s="1"/>
  <c r="CI64" i="5"/>
  <c r="CI61" i="5"/>
  <c r="CG63" i="5"/>
  <c r="CH47" i="5"/>
  <c r="CI88" i="5"/>
  <c r="CI62" i="5" s="1"/>
  <c r="CI86" i="5"/>
  <c r="CI12" i="5"/>
  <c r="CI33" i="5" s="1"/>
  <c r="CI29" i="5"/>
  <c r="CI32" i="5" s="1"/>
  <c r="CI42" i="5"/>
  <c r="CG41" i="5"/>
  <c r="CG40" i="5"/>
  <c r="CH39" i="5"/>
  <c r="CH30" i="5"/>
  <c r="CJ8" i="5"/>
  <c r="CJ11" i="5" s="1"/>
  <c r="CF31" i="5"/>
  <c r="CF34" i="5" s="1"/>
  <c r="CG51" i="5"/>
  <c r="CG52" i="5"/>
  <c r="CH95" i="5"/>
  <c r="CH26" i="5"/>
  <c r="FZ7" i="5" l="1"/>
  <c r="FY10" i="5"/>
  <c r="FY13" i="5"/>
  <c r="FY14" i="5"/>
  <c r="FY17" i="5"/>
  <c r="FY18" i="5"/>
  <c r="FY19" i="5"/>
  <c r="FY16" i="5"/>
  <c r="CJ75" i="5"/>
  <c r="CJ66" i="5" s="1"/>
  <c r="CJ61" i="5"/>
  <c r="CJ64" i="5"/>
  <c r="CH63" i="5"/>
  <c r="CJ88" i="5"/>
  <c r="CJ62" i="5" s="1"/>
  <c r="CI47" i="5"/>
  <c r="CJ86" i="5"/>
  <c r="CJ12" i="5"/>
  <c r="CJ33" i="5" s="1"/>
  <c r="CJ29" i="5"/>
  <c r="CJ32" i="5" s="1"/>
  <c r="CJ42" i="5"/>
  <c r="CH41" i="5"/>
  <c r="CH40" i="5"/>
  <c r="CI39" i="5"/>
  <c r="CI30" i="5"/>
  <c r="CK8" i="5"/>
  <c r="CK11" i="5" s="1"/>
  <c r="CH52" i="5"/>
  <c r="CH51" i="5"/>
  <c r="CG31" i="5"/>
  <c r="CG34" i="5" s="1"/>
  <c r="CI95" i="5"/>
  <c r="CI26" i="5"/>
  <c r="GA7" i="5" l="1"/>
  <c r="FZ10" i="5"/>
  <c r="FZ13" i="5"/>
  <c r="FZ17" i="5"/>
  <c r="FZ18" i="5"/>
  <c r="FZ19" i="5"/>
  <c r="FZ14" i="5"/>
  <c r="FZ16" i="5"/>
  <c r="CK75" i="5"/>
  <c r="CK66" i="5" s="1"/>
  <c r="CK64" i="5"/>
  <c r="CK61" i="5"/>
  <c r="CI63" i="5"/>
  <c r="CJ47" i="5"/>
  <c r="CK88" i="5"/>
  <c r="CK62" i="5" s="1"/>
  <c r="CK86" i="5"/>
  <c r="CK12" i="5"/>
  <c r="CK33" i="5" s="1"/>
  <c r="CK29" i="5"/>
  <c r="CK32" i="5" s="1"/>
  <c r="CK42" i="5"/>
  <c r="CI40" i="5"/>
  <c r="CI41" i="5"/>
  <c r="CJ39" i="5"/>
  <c r="CJ30" i="5"/>
  <c r="CL8" i="5"/>
  <c r="CL11" i="5" s="1"/>
  <c r="CH31" i="5"/>
  <c r="CH34" i="5" s="1"/>
  <c r="CI51" i="5"/>
  <c r="CI52" i="5"/>
  <c r="CJ95" i="5"/>
  <c r="CJ26" i="5"/>
  <c r="GB7" i="5" l="1"/>
  <c r="GA10" i="5"/>
  <c r="GA13" i="5"/>
  <c r="GA16" i="5"/>
  <c r="GA18" i="5"/>
  <c r="GA19" i="5"/>
  <c r="GA17" i="5"/>
  <c r="GA14" i="5"/>
  <c r="CL75" i="5"/>
  <c r="CL66" i="5" s="1"/>
  <c r="CL61" i="5"/>
  <c r="CL64" i="5"/>
  <c r="CJ63" i="5"/>
  <c r="CL88" i="5"/>
  <c r="CL62" i="5" s="1"/>
  <c r="CK47" i="5"/>
  <c r="CL86" i="5"/>
  <c r="CL12" i="5"/>
  <c r="CL33" i="5" s="1"/>
  <c r="CL29" i="5"/>
  <c r="CL32" i="5" s="1"/>
  <c r="CL42" i="5"/>
  <c r="CJ40" i="5"/>
  <c r="CJ41" i="5"/>
  <c r="CK39" i="5"/>
  <c r="CK30" i="5"/>
  <c r="CM8" i="5"/>
  <c r="CM11" i="5" s="1"/>
  <c r="CI31" i="5"/>
  <c r="CI34" i="5" s="1"/>
  <c r="CJ51" i="5"/>
  <c r="CJ52" i="5"/>
  <c r="CK95" i="5"/>
  <c r="CK26" i="5"/>
  <c r="GC7" i="5" l="1"/>
  <c r="GB10" i="5"/>
  <c r="GB13" i="5"/>
  <c r="GB17" i="5"/>
  <c r="GB18" i="5"/>
  <c r="GB19" i="5"/>
  <c r="GB14" i="5"/>
  <c r="GB16" i="5"/>
  <c r="CM75" i="5"/>
  <c r="CM66" i="5" s="1"/>
  <c r="CM64" i="5"/>
  <c r="CM61" i="5"/>
  <c r="CK63" i="5"/>
  <c r="CM88" i="5"/>
  <c r="CM62" i="5" s="1"/>
  <c r="CL47" i="5"/>
  <c r="CM86" i="5"/>
  <c r="CM12" i="5"/>
  <c r="CM33" i="5" s="1"/>
  <c r="CM29" i="5"/>
  <c r="CM42" i="5"/>
  <c r="CK40" i="5"/>
  <c r="CK41" i="5"/>
  <c r="CL39" i="5"/>
  <c r="CL30" i="5"/>
  <c r="CN8" i="5"/>
  <c r="CN11" i="5" s="1"/>
  <c r="CJ31" i="5"/>
  <c r="CJ34" i="5" s="1"/>
  <c r="CL95" i="5"/>
  <c r="CK51" i="5"/>
  <c r="CK52" i="5"/>
  <c r="CM32" i="5" l="1"/>
  <c r="GD7" i="5"/>
  <c r="GC10" i="5"/>
  <c r="GC13" i="5"/>
  <c r="GC14" i="5"/>
  <c r="GC17" i="5"/>
  <c r="GC18" i="5"/>
  <c r="GC19" i="5"/>
  <c r="GC16" i="5"/>
  <c r="CN75" i="5"/>
  <c r="CN66" i="5" s="1"/>
  <c r="CN61" i="5"/>
  <c r="CN64" i="5"/>
  <c r="CL63" i="5"/>
  <c r="CN88" i="5"/>
  <c r="CN62" i="5" s="1"/>
  <c r="CM47" i="5"/>
  <c r="CN86" i="5"/>
  <c r="CN12" i="5"/>
  <c r="CN33" i="5" s="1"/>
  <c r="CN29" i="5"/>
  <c r="CN32" i="5" s="1"/>
  <c r="CN42" i="5"/>
  <c r="CL40" i="5"/>
  <c r="CL41" i="5"/>
  <c r="CM39" i="5"/>
  <c r="CM30" i="5"/>
  <c r="CO8" i="5"/>
  <c r="CO11" i="5" s="1"/>
  <c r="CL51" i="5"/>
  <c r="CL52" i="5"/>
  <c r="CM95" i="5"/>
  <c r="CK31" i="5"/>
  <c r="CK34" i="5" s="1"/>
  <c r="GD10" i="5" l="1"/>
  <c r="GD13" i="5"/>
  <c r="GD14" i="5"/>
  <c r="GD16" i="5"/>
  <c r="GD18" i="5"/>
  <c r="GD19" i="5"/>
  <c r="GD17" i="5"/>
  <c r="CO75" i="5"/>
  <c r="CO66" i="5" s="1"/>
  <c r="CO64" i="5"/>
  <c r="CO61" i="5"/>
  <c r="CM63" i="5"/>
  <c r="CN47" i="5"/>
  <c r="CO88" i="5"/>
  <c r="CO62" i="5" s="1"/>
  <c r="CO86" i="5"/>
  <c r="CO12" i="5"/>
  <c r="CO33" i="5" s="1"/>
  <c r="CO29" i="5"/>
  <c r="CO42" i="5"/>
  <c r="CM41" i="5"/>
  <c r="CM40" i="5"/>
  <c r="CN39" i="5"/>
  <c r="CN30" i="5"/>
  <c r="CP8" i="5"/>
  <c r="CP11" i="5" s="1"/>
  <c r="CL31" i="5"/>
  <c r="CL34" i="5" s="1"/>
  <c r="CM52" i="5"/>
  <c r="CM51" i="5"/>
  <c r="CN95" i="5"/>
  <c r="CO32" i="5" l="1"/>
  <c r="CP75" i="5"/>
  <c r="CP66" i="5" s="1"/>
  <c r="CP61" i="5"/>
  <c r="CP64" i="5"/>
  <c r="CN63" i="5"/>
  <c r="CO47" i="5"/>
  <c r="CP88" i="5"/>
  <c r="CP62" i="5" s="1"/>
  <c r="CP86" i="5"/>
  <c r="CP12" i="5"/>
  <c r="CP33" i="5" s="1"/>
  <c r="CP29" i="5"/>
  <c r="CP32" i="5" s="1"/>
  <c r="CP42" i="5"/>
  <c r="CN41" i="5"/>
  <c r="CN40" i="5"/>
  <c r="CO39" i="5"/>
  <c r="CO30" i="5"/>
  <c r="CQ8" i="5"/>
  <c r="CQ11" i="5" s="1"/>
  <c r="CM31" i="5"/>
  <c r="CM34" i="5" s="1"/>
  <c r="CN52" i="5"/>
  <c r="CN51" i="5"/>
  <c r="CO95" i="5"/>
  <c r="CQ75" i="5" l="1"/>
  <c r="CQ66" i="5" s="1"/>
  <c r="CQ64" i="5"/>
  <c r="CQ61" i="5"/>
  <c r="CO63" i="5"/>
  <c r="CQ88" i="5"/>
  <c r="CQ62" i="5" s="1"/>
  <c r="CP47" i="5"/>
  <c r="CQ86" i="5"/>
  <c r="CQ12" i="5"/>
  <c r="CQ33" i="5" s="1"/>
  <c r="CQ29" i="5"/>
  <c r="CQ42" i="5"/>
  <c r="CO40" i="5"/>
  <c r="CO41" i="5"/>
  <c r="CP39" i="5"/>
  <c r="CP30" i="5"/>
  <c r="CR8" i="5"/>
  <c r="CR11" i="5" s="1"/>
  <c r="CO51" i="5"/>
  <c r="CO52" i="5"/>
  <c r="CN31" i="5"/>
  <c r="CN34" i="5" s="1"/>
  <c r="CP95" i="5"/>
  <c r="CQ32" i="5" l="1"/>
  <c r="CR75" i="5"/>
  <c r="CR66" i="5" s="1"/>
  <c r="CR61" i="5"/>
  <c r="CR64" i="5"/>
  <c r="CP63" i="5"/>
  <c r="CQ47" i="5"/>
  <c r="CR88" i="5"/>
  <c r="CR62" i="5" s="1"/>
  <c r="CR86" i="5"/>
  <c r="CR12" i="5"/>
  <c r="CR33" i="5" s="1"/>
  <c r="CR29" i="5"/>
  <c r="CR32" i="5" s="1"/>
  <c r="CR42" i="5"/>
  <c r="CP40" i="5"/>
  <c r="CP41" i="5"/>
  <c r="CQ39" i="5"/>
  <c r="CQ30" i="5"/>
  <c r="CS8" i="5"/>
  <c r="CS11" i="5" s="1"/>
  <c r="CP51" i="5"/>
  <c r="CP52" i="5"/>
  <c r="CO31" i="5"/>
  <c r="CO34" i="5" s="1"/>
  <c r="CQ95" i="5"/>
  <c r="CS75" i="5" l="1"/>
  <c r="CS66" i="5" s="1"/>
  <c r="CS61" i="5"/>
  <c r="CS64" i="5"/>
  <c r="CQ63" i="5"/>
  <c r="CS88" i="5"/>
  <c r="CS62" i="5" s="1"/>
  <c r="CS86" i="5"/>
  <c r="CR47" i="5"/>
  <c r="CS12" i="5"/>
  <c r="CS33" i="5" s="1"/>
  <c r="CS29" i="5"/>
  <c r="CS42" i="5"/>
  <c r="CQ41" i="5"/>
  <c r="CQ40" i="5"/>
  <c r="CR39" i="5"/>
  <c r="CR30" i="5"/>
  <c r="CT8" i="5"/>
  <c r="CT11" i="5" s="1"/>
  <c r="CQ52" i="5"/>
  <c r="CQ51" i="5"/>
  <c r="CP31" i="5"/>
  <c r="CP34" i="5" s="1"/>
  <c r="CR95" i="5"/>
  <c r="CS32" i="5" l="1"/>
  <c r="CT75" i="5"/>
  <c r="CT66" i="5" s="1"/>
  <c r="CT61" i="5"/>
  <c r="CT64" i="5"/>
  <c r="CR63" i="5"/>
  <c r="CT88" i="5"/>
  <c r="CT62" i="5" s="1"/>
  <c r="CS47" i="5"/>
  <c r="CT86" i="5"/>
  <c r="CT12" i="5"/>
  <c r="CT33" i="5" s="1"/>
  <c r="CT29" i="5"/>
  <c r="CT32" i="5" s="1"/>
  <c r="CT42" i="5"/>
  <c r="CR40" i="5"/>
  <c r="CR41" i="5"/>
  <c r="CS39" i="5"/>
  <c r="CS30" i="5"/>
  <c r="CU8" i="5"/>
  <c r="CU11" i="5" s="1"/>
  <c r="CR51" i="5"/>
  <c r="CR52" i="5"/>
  <c r="CQ31" i="5"/>
  <c r="CQ34" i="5" s="1"/>
  <c r="CS95" i="5"/>
  <c r="CT47" i="5" l="1"/>
  <c r="CU75" i="5"/>
  <c r="CU66" i="5" s="1"/>
  <c r="CU61" i="5"/>
  <c r="CU64" i="5"/>
  <c r="CS63" i="5"/>
  <c r="CU88" i="5"/>
  <c r="CU62" i="5" s="1"/>
  <c r="CU86" i="5"/>
  <c r="CU12" i="5"/>
  <c r="CU33" i="5" s="1"/>
  <c r="CU29" i="5"/>
  <c r="CU32" i="5" s="1"/>
  <c r="CU42" i="5"/>
  <c r="CS41" i="5"/>
  <c r="CS40" i="5"/>
  <c r="CT39" i="5"/>
  <c r="CT30" i="5"/>
  <c r="CV8" i="5"/>
  <c r="CV11" i="5" s="1"/>
  <c r="CR31" i="5"/>
  <c r="CR34" i="5" s="1"/>
  <c r="CS52" i="5"/>
  <c r="CS51" i="5"/>
  <c r="CT95" i="5"/>
  <c r="CV75" i="5" l="1"/>
  <c r="CV66" i="5" s="1"/>
  <c r="CV64" i="5"/>
  <c r="CV61" i="5"/>
  <c r="CT63" i="5"/>
  <c r="CU47" i="5"/>
  <c r="CV88" i="5"/>
  <c r="CV62" i="5" s="1"/>
  <c r="CV86" i="5"/>
  <c r="CV12" i="5"/>
  <c r="CV33" i="5" s="1"/>
  <c r="CV29" i="5"/>
  <c r="CV32" i="5" s="1"/>
  <c r="CV42" i="5"/>
  <c r="CT40" i="5"/>
  <c r="CT41" i="5"/>
  <c r="CU39" i="5"/>
  <c r="CU30" i="5"/>
  <c r="CW8" i="5"/>
  <c r="CW11" i="5" s="1"/>
  <c r="CS31" i="5"/>
  <c r="CS34" i="5" s="1"/>
  <c r="CT51" i="5"/>
  <c r="CT52" i="5"/>
  <c r="CU95" i="5"/>
  <c r="CW75" i="5" l="1"/>
  <c r="CW66" i="5" s="1"/>
  <c r="CW64" i="5"/>
  <c r="CW61" i="5"/>
  <c r="CU63" i="5"/>
  <c r="CW88" i="5"/>
  <c r="CW62" i="5" s="1"/>
  <c r="CV47" i="5"/>
  <c r="CW86" i="5"/>
  <c r="CW12" i="5"/>
  <c r="CW33" i="5" s="1"/>
  <c r="CW29" i="5"/>
  <c r="CW32" i="5" s="1"/>
  <c r="CW42" i="5"/>
  <c r="CU40" i="5"/>
  <c r="CU41" i="5"/>
  <c r="CV39" i="5"/>
  <c r="CV30" i="5"/>
  <c r="CX8" i="5"/>
  <c r="CX11" i="5" s="1"/>
  <c r="CT31" i="5"/>
  <c r="CT34" i="5" s="1"/>
  <c r="CU52" i="5"/>
  <c r="CU51" i="5"/>
  <c r="CV95" i="5"/>
  <c r="CX75" i="5" l="1"/>
  <c r="CX66" i="5" s="1"/>
  <c r="CX64" i="5"/>
  <c r="CX61" i="5"/>
  <c r="CV63" i="5"/>
  <c r="CX88" i="5"/>
  <c r="CX62" i="5" s="1"/>
  <c r="CW47" i="5"/>
  <c r="CX86" i="5"/>
  <c r="CX12" i="5"/>
  <c r="CX33" i="5" s="1"/>
  <c r="CX29" i="5"/>
  <c r="CX32" i="5" s="1"/>
  <c r="CX42" i="5"/>
  <c r="CV40" i="5"/>
  <c r="CV41" i="5"/>
  <c r="CW39" i="5"/>
  <c r="CW30" i="5"/>
  <c r="CY8" i="5"/>
  <c r="CY11" i="5" s="1"/>
  <c r="CU31" i="5"/>
  <c r="CU34" i="5" s="1"/>
  <c r="CV52" i="5"/>
  <c r="CV51" i="5"/>
  <c r="CW95" i="5"/>
  <c r="CY75" i="5" l="1"/>
  <c r="CY66" i="5" s="1"/>
  <c r="CY64" i="5"/>
  <c r="CY61" i="5"/>
  <c r="CW63" i="5"/>
  <c r="CX47" i="5"/>
  <c r="CY88" i="5"/>
  <c r="CY62" i="5" s="1"/>
  <c r="CY86" i="5"/>
  <c r="CY12" i="5"/>
  <c r="CY33" i="5" s="1"/>
  <c r="CY29" i="5"/>
  <c r="CY42" i="5"/>
  <c r="CW40" i="5"/>
  <c r="CX40" i="5" s="1"/>
  <c r="CW41" i="5"/>
  <c r="CX39" i="5"/>
  <c r="CX30" i="5"/>
  <c r="CZ8" i="5"/>
  <c r="CZ11" i="5" s="1"/>
  <c r="CV31" i="5"/>
  <c r="CV34" i="5" s="1"/>
  <c r="CX95" i="5"/>
  <c r="CW51" i="5"/>
  <c r="CW52" i="5"/>
  <c r="CY32" i="5" l="1"/>
  <c r="CZ75" i="5"/>
  <c r="CZ66" i="5" s="1"/>
  <c r="CZ61" i="5"/>
  <c r="CZ64" i="5"/>
  <c r="CX63" i="5"/>
  <c r="CY47" i="5"/>
  <c r="CZ88" i="5"/>
  <c r="CZ62" i="5" s="1"/>
  <c r="CZ86" i="5"/>
  <c r="CZ12" i="5"/>
  <c r="CZ33" i="5" s="1"/>
  <c r="CZ29" i="5"/>
  <c r="CZ32" i="5" s="1"/>
  <c r="CZ42" i="5"/>
  <c r="CX41" i="5"/>
  <c r="CY39" i="5"/>
  <c r="CY30" i="5"/>
  <c r="DA8" i="5"/>
  <c r="DA11" i="5" s="1"/>
  <c r="CY95" i="5"/>
  <c r="CW31" i="5"/>
  <c r="CW34" i="5" s="1"/>
  <c r="DA75" i="5" l="1"/>
  <c r="DA66" i="5" s="1"/>
  <c r="DA64" i="5"/>
  <c r="DA61" i="5"/>
  <c r="CY63" i="5"/>
  <c r="CZ47" i="5"/>
  <c r="DA88" i="5"/>
  <c r="DA62" i="5" s="1"/>
  <c r="DA86" i="5"/>
  <c r="DA12" i="5"/>
  <c r="DA33" i="5" s="1"/>
  <c r="DA29" i="5"/>
  <c r="DA42" i="5"/>
  <c r="CY41" i="5"/>
  <c r="CY40" i="5"/>
  <c r="CZ39" i="5"/>
  <c r="CZ30" i="5"/>
  <c r="DB8" i="5"/>
  <c r="DB11" i="5" s="1"/>
  <c r="CY51" i="5"/>
  <c r="CY52" i="5"/>
  <c r="CZ95" i="5"/>
  <c r="CX31" i="5"/>
  <c r="CX34" i="5" s="1"/>
  <c r="DA32" i="5" l="1"/>
  <c r="DB75" i="5"/>
  <c r="DB66" i="5" s="1"/>
  <c r="DB64" i="5"/>
  <c r="DB61" i="5"/>
  <c r="CZ63" i="5"/>
  <c r="DB88" i="5"/>
  <c r="DB62" i="5" s="1"/>
  <c r="DA47" i="5"/>
  <c r="DB86" i="5"/>
  <c r="DB12" i="5"/>
  <c r="DB33" i="5" s="1"/>
  <c r="DB29" i="5"/>
  <c r="DB32" i="5" s="1"/>
  <c r="DB42" i="5"/>
  <c r="CZ40" i="5"/>
  <c r="CZ41" i="5"/>
  <c r="DA39" i="5"/>
  <c r="DA30" i="5"/>
  <c r="DC8" i="5"/>
  <c r="DC11" i="5" s="1"/>
  <c r="CZ51" i="5"/>
  <c r="CZ52" i="5"/>
  <c r="DA95" i="5"/>
  <c r="CY31" i="5"/>
  <c r="CY34" i="5" s="1"/>
  <c r="DC75" i="5" l="1"/>
  <c r="DC66" i="5" s="1"/>
  <c r="DC61" i="5"/>
  <c r="DC64" i="5"/>
  <c r="DA63" i="5"/>
  <c r="DB47" i="5"/>
  <c r="DC88" i="5"/>
  <c r="DC62" i="5" s="1"/>
  <c r="DC86" i="5"/>
  <c r="DC12" i="5"/>
  <c r="DC33" i="5" s="1"/>
  <c r="DC29" i="5"/>
  <c r="DC42" i="5"/>
  <c r="DA40" i="5"/>
  <c r="DA41" i="5"/>
  <c r="DB39" i="5"/>
  <c r="DB30" i="5"/>
  <c r="DD8" i="5"/>
  <c r="DD11" i="5" s="1"/>
  <c r="DA51" i="5"/>
  <c r="DA52" i="5"/>
  <c r="CZ31" i="5"/>
  <c r="CZ34" i="5" s="1"/>
  <c r="DB95" i="5"/>
  <c r="DC32" i="5" l="1"/>
  <c r="DD75" i="5"/>
  <c r="DD66" i="5" s="1"/>
  <c r="DD64" i="5"/>
  <c r="DD61" i="5"/>
  <c r="DB63" i="5"/>
  <c r="DD88" i="5"/>
  <c r="DD62" i="5" s="1"/>
  <c r="DC47" i="5"/>
  <c r="DD86" i="5"/>
  <c r="DD12" i="5"/>
  <c r="DD33" i="5" s="1"/>
  <c r="DD29" i="5"/>
  <c r="DD32" i="5" s="1"/>
  <c r="DD42" i="5"/>
  <c r="DB40" i="5"/>
  <c r="DB41" i="5"/>
  <c r="DC39" i="5"/>
  <c r="DC30" i="5"/>
  <c r="DE8" i="5"/>
  <c r="DE11" i="5" s="1"/>
  <c r="DB51" i="5"/>
  <c r="DB52" i="5"/>
  <c r="DC95" i="5"/>
  <c r="DA31" i="5"/>
  <c r="DA34" i="5" s="1"/>
  <c r="DE75" i="5" l="1"/>
  <c r="DE66" i="5" s="1"/>
  <c r="DE61" i="5"/>
  <c r="DE64" i="5"/>
  <c r="DC63" i="5"/>
  <c r="DE88" i="5"/>
  <c r="DE62" i="5" s="1"/>
  <c r="DD47" i="5"/>
  <c r="DE86" i="5"/>
  <c r="DE12" i="5"/>
  <c r="DE33" i="5" s="1"/>
  <c r="DE29" i="5"/>
  <c r="DE42" i="5"/>
  <c r="DC40" i="5"/>
  <c r="DC41" i="5"/>
  <c r="DD39" i="5"/>
  <c r="DD30" i="5"/>
  <c r="DF8" i="5"/>
  <c r="DF11" i="5" s="1"/>
  <c r="DC52" i="5"/>
  <c r="DC51" i="5"/>
  <c r="DD95" i="5"/>
  <c r="DB31" i="5"/>
  <c r="DB34" i="5" s="1"/>
  <c r="DE32" i="5" l="1"/>
  <c r="DF75" i="5"/>
  <c r="DF66" i="5" s="1"/>
  <c r="DF64" i="5"/>
  <c r="DF61" i="5"/>
  <c r="DD63" i="5"/>
  <c r="DF88" i="5"/>
  <c r="DF62" i="5" s="1"/>
  <c r="DE47" i="5"/>
  <c r="DF86" i="5"/>
  <c r="DF12" i="5"/>
  <c r="DF33" i="5" s="1"/>
  <c r="DF29" i="5"/>
  <c r="DF32" i="5" s="1"/>
  <c r="DF42" i="5"/>
  <c r="DD40" i="5"/>
  <c r="DD41" i="5"/>
  <c r="DE39" i="5"/>
  <c r="DE30" i="5"/>
  <c r="DG8" i="5"/>
  <c r="DG11" i="5" s="1"/>
  <c r="DD52" i="5"/>
  <c r="DD51" i="5"/>
  <c r="DE95" i="5"/>
  <c r="DC31" i="5"/>
  <c r="DC34" i="5" s="1"/>
  <c r="DG75" i="5" l="1"/>
  <c r="DG66" i="5" s="1"/>
  <c r="DG61" i="5"/>
  <c r="DG64" i="5"/>
  <c r="DE63" i="5"/>
  <c r="DF47" i="5"/>
  <c r="DG88" i="5"/>
  <c r="DG62" i="5" s="1"/>
  <c r="DG86" i="5"/>
  <c r="DG12" i="5"/>
  <c r="DG33" i="5" s="1"/>
  <c r="DG29" i="5"/>
  <c r="DG32" i="5" s="1"/>
  <c r="DG42" i="5"/>
  <c r="DE41" i="5"/>
  <c r="DE40" i="5"/>
  <c r="DF39" i="5"/>
  <c r="DF30" i="5"/>
  <c r="DH8" i="5"/>
  <c r="DH11" i="5" s="1"/>
  <c r="DE52" i="5"/>
  <c r="DE51" i="5"/>
  <c r="DF95" i="5"/>
  <c r="DE31" i="5"/>
  <c r="DE34" i="5" s="1"/>
  <c r="DD31" i="5"/>
  <c r="DD34" i="5" s="1"/>
  <c r="DH75" i="5" l="1"/>
  <c r="DH66" i="5" s="1"/>
  <c r="DH61" i="5"/>
  <c r="DH64" i="5"/>
  <c r="DF63" i="5"/>
  <c r="DG47" i="5"/>
  <c r="DH88" i="5"/>
  <c r="DH62" i="5" s="1"/>
  <c r="DH86" i="5"/>
  <c r="DH12" i="5"/>
  <c r="DH33" i="5" s="1"/>
  <c r="DH29" i="5"/>
  <c r="DH32" i="5" s="1"/>
  <c r="DH42" i="5"/>
  <c r="DF40" i="5"/>
  <c r="DF41" i="5"/>
  <c r="DG39" i="5"/>
  <c r="DG30" i="5"/>
  <c r="DI8" i="5"/>
  <c r="DI11" i="5" s="1"/>
  <c r="DF51" i="5"/>
  <c r="DF52" i="5"/>
  <c r="DG95" i="5"/>
  <c r="DI75" i="5" l="1"/>
  <c r="DI66" i="5" s="1"/>
  <c r="DI64" i="5"/>
  <c r="DI61" i="5"/>
  <c r="DG63" i="5"/>
  <c r="DH47" i="5"/>
  <c r="DI88" i="5"/>
  <c r="DI62" i="5" s="1"/>
  <c r="DI86" i="5"/>
  <c r="DI12" i="5"/>
  <c r="DI33" i="5" s="1"/>
  <c r="DI29" i="5"/>
  <c r="DI32" i="5" s="1"/>
  <c r="DI42" i="5"/>
  <c r="DG40" i="5"/>
  <c r="DG41" i="5"/>
  <c r="DH39" i="5"/>
  <c r="DH30" i="5"/>
  <c r="DJ8" i="5"/>
  <c r="DJ11" i="5" s="1"/>
  <c r="DG51" i="5"/>
  <c r="DG52" i="5"/>
  <c r="DH95" i="5"/>
  <c r="DF31" i="5"/>
  <c r="DF34" i="5" s="1"/>
  <c r="DJ75" i="5" l="1"/>
  <c r="DJ66" i="5" s="1"/>
  <c r="DJ61" i="5"/>
  <c r="DJ64" i="5"/>
  <c r="DH63" i="5"/>
  <c r="DI47" i="5"/>
  <c r="DJ88" i="5"/>
  <c r="DJ62" i="5" s="1"/>
  <c r="DJ86" i="5"/>
  <c r="DJ12" i="5"/>
  <c r="DJ33" i="5" s="1"/>
  <c r="DJ29" i="5"/>
  <c r="DJ32" i="5" s="1"/>
  <c r="DJ42" i="5"/>
  <c r="DH40" i="5"/>
  <c r="DH41" i="5"/>
  <c r="DI39" i="5"/>
  <c r="DI30" i="5"/>
  <c r="DK8" i="5"/>
  <c r="DK11" i="5" s="1"/>
  <c r="DH52" i="5"/>
  <c r="DH51" i="5"/>
  <c r="DI95" i="5"/>
  <c r="DG31" i="5"/>
  <c r="DG34" i="5" s="1"/>
  <c r="DK75" i="5" l="1"/>
  <c r="DK66" i="5" s="1"/>
  <c r="DK64" i="5"/>
  <c r="DK61" i="5"/>
  <c r="DI63" i="5"/>
  <c r="DJ47" i="5"/>
  <c r="DK88" i="5"/>
  <c r="DK62" i="5" s="1"/>
  <c r="DK86" i="5"/>
  <c r="DK12" i="5"/>
  <c r="DK33" i="5" s="1"/>
  <c r="DK29" i="5"/>
  <c r="DK42" i="5"/>
  <c r="DI40" i="5"/>
  <c r="DI41" i="5"/>
  <c r="DJ39" i="5"/>
  <c r="DJ30" i="5"/>
  <c r="DL8" i="5"/>
  <c r="DL11" i="5" s="1"/>
  <c r="DI51" i="5"/>
  <c r="DI52" i="5"/>
  <c r="DJ95" i="5"/>
  <c r="DH31" i="5"/>
  <c r="DH34" i="5" s="1"/>
  <c r="DK32" i="5" l="1"/>
  <c r="DL75" i="5"/>
  <c r="DL66" i="5" s="1"/>
  <c r="DL61" i="5"/>
  <c r="DL64" i="5"/>
  <c r="DJ63" i="5"/>
  <c r="DK47" i="5"/>
  <c r="DL88" i="5"/>
  <c r="DL62" i="5" s="1"/>
  <c r="DL86" i="5"/>
  <c r="DL12" i="5"/>
  <c r="DL33" i="5" s="1"/>
  <c r="DL29" i="5"/>
  <c r="DL32" i="5" s="1"/>
  <c r="DL42" i="5"/>
  <c r="DJ41" i="5"/>
  <c r="DK41" i="5" s="1"/>
  <c r="DJ40" i="5"/>
  <c r="DK39" i="5"/>
  <c r="DK30" i="5"/>
  <c r="DM8" i="5"/>
  <c r="DM11" i="5" s="1"/>
  <c r="DK95" i="5"/>
  <c r="DJ51" i="5"/>
  <c r="DJ52" i="5"/>
  <c r="DI31" i="5"/>
  <c r="DI34" i="5" s="1"/>
  <c r="DM75" i="5" l="1"/>
  <c r="DM66" i="5" s="1"/>
  <c r="DM61" i="5"/>
  <c r="DM64" i="5"/>
  <c r="DK63" i="5"/>
  <c r="DL47" i="5"/>
  <c r="DM88" i="5"/>
  <c r="DM62" i="5" s="1"/>
  <c r="DM86" i="5"/>
  <c r="DM12" i="5"/>
  <c r="DM33" i="5" s="1"/>
  <c r="DM29" i="5"/>
  <c r="DM42" i="5"/>
  <c r="DK40" i="5"/>
  <c r="DL39" i="5"/>
  <c r="DL41" i="5"/>
  <c r="DL30" i="5"/>
  <c r="DN8" i="5"/>
  <c r="DN11" i="5" s="1"/>
  <c r="DK51" i="5"/>
  <c r="DK52" i="5"/>
  <c r="DL95" i="5"/>
  <c r="DJ31" i="5"/>
  <c r="DJ34" i="5" s="1"/>
  <c r="DM32" i="5" l="1"/>
  <c r="DN75" i="5"/>
  <c r="DN66" i="5" s="1"/>
  <c r="DN64" i="5"/>
  <c r="DN61" i="5"/>
  <c r="DL63" i="5"/>
  <c r="DN88" i="5"/>
  <c r="DN62" i="5" s="1"/>
  <c r="DN86" i="5"/>
  <c r="DM47" i="5"/>
  <c r="DN12" i="5"/>
  <c r="DN33" i="5" s="1"/>
  <c r="DN29" i="5"/>
  <c r="DN32" i="5" s="1"/>
  <c r="DN42" i="5"/>
  <c r="DL40" i="5"/>
  <c r="DM39" i="5"/>
  <c r="DM30" i="5"/>
  <c r="DO8" i="5"/>
  <c r="DO11" i="5" s="1"/>
  <c r="DK31" i="5"/>
  <c r="DK34" i="5" s="1"/>
  <c r="DM95" i="5"/>
  <c r="DL51" i="5"/>
  <c r="DL52" i="5"/>
  <c r="DO75" i="5" l="1"/>
  <c r="DO66" i="5" s="1"/>
  <c r="DO61" i="5"/>
  <c r="DO64" i="5"/>
  <c r="DM63" i="5"/>
  <c r="DO88" i="5"/>
  <c r="DO62" i="5" s="1"/>
  <c r="DO86" i="5"/>
  <c r="DN47" i="5"/>
  <c r="DO12" i="5"/>
  <c r="DO33" i="5" s="1"/>
  <c r="DO29" i="5"/>
  <c r="DO42" i="5"/>
  <c r="DM40" i="5"/>
  <c r="DM41" i="5"/>
  <c r="DN39" i="5"/>
  <c r="DN30" i="5"/>
  <c r="DP8" i="5"/>
  <c r="DP11" i="5" s="1"/>
  <c r="DM51" i="5"/>
  <c r="DM52" i="5"/>
  <c r="DN95" i="5"/>
  <c r="DL31" i="5"/>
  <c r="DL34" i="5" s="1"/>
  <c r="DO32" i="5" l="1"/>
  <c r="DP75" i="5"/>
  <c r="DP66" i="5" s="1"/>
  <c r="DP64" i="5"/>
  <c r="DP61" i="5"/>
  <c r="DN63" i="5"/>
  <c r="DO47" i="5"/>
  <c r="DP88" i="5"/>
  <c r="DP62" i="5" s="1"/>
  <c r="DP86" i="5"/>
  <c r="DP12" i="5"/>
  <c r="DP33" i="5" s="1"/>
  <c r="DP29" i="5"/>
  <c r="DP32" i="5" s="1"/>
  <c r="DP42" i="5"/>
  <c r="DN40" i="5"/>
  <c r="DN41" i="5"/>
  <c r="DO39" i="5"/>
  <c r="DO30" i="5"/>
  <c r="DQ8" i="5"/>
  <c r="DQ11" i="5" s="1"/>
  <c r="DO95" i="5"/>
  <c r="DN51" i="5"/>
  <c r="DN52" i="5"/>
  <c r="DM31" i="5"/>
  <c r="DM34" i="5" s="1"/>
  <c r="DQ75" i="5" l="1"/>
  <c r="DQ66" i="5" s="1"/>
  <c r="DQ64" i="5"/>
  <c r="DQ61" i="5"/>
  <c r="DO63" i="5"/>
  <c r="DQ88" i="5"/>
  <c r="DQ62" i="5" s="1"/>
  <c r="DP47" i="5"/>
  <c r="DQ86" i="5"/>
  <c r="DQ12" i="5"/>
  <c r="DQ33" i="5" s="1"/>
  <c r="DQ29" i="5"/>
  <c r="DQ42" i="5"/>
  <c r="DO40" i="5"/>
  <c r="DO41" i="5"/>
  <c r="DP39" i="5"/>
  <c r="DP30" i="5"/>
  <c r="DR8" i="5"/>
  <c r="DR11" i="5" s="1"/>
  <c r="DO51" i="5"/>
  <c r="DO52" i="5"/>
  <c r="DP95" i="5"/>
  <c r="DN31" i="5"/>
  <c r="DN34" i="5" s="1"/>
  <c r="DQ32" i="5" l="1"/>
  <c r="DR75" i="5"/>
  <c r="DR66" i="5" s="1"/>
  <c r="DR61" i="5"/>
  <c r="DR64" i="5"/>
  <c r="DP63" i="5"/>
  <c r="DQ47" i="5"/>
  <c r="DR88" i="5"/>
  <c r="DR62" i="5" s="1"/>
  <c r="DR86" i="5"/>
  <c r="DR12" i="5"/>
  <c r="DR33" i="5" s="1"/>
  <c r="DR29" i="5"/>
  <c r="DR32" i="5" s="1"/>
  <c r="DR42" i="5"/>
  <c r="DP41" i="5"/>
  <c r="DP40" i="5"/>
  <c r="DQ39" i="5"/>
  <c r="DQ30" i="5"/>
  <c r="DS8" i="5"/>
  <c r="DS11" i="5" s="1"/>
  <c r="DP52" i="5"/>
  <c r="DP51" i="5"/>
  <c r="DQ95" i="5"/>
  <c r="DO31" i="5"/>
  <c r="DO34" i="5" s="1"/>
  <c r="DS75" i="5" l="1"/>
  <c r="DS66" i="5" s="1"/>
  <c r="DS61" i="5"/>
  <c r="DS64" i="5"/>
  <c r="DQ63" i="5"/>
  <c r="DR47" i="5"/>
  <c r="DS88" i="5"/>
  <c r="DS62" i="5" s="1"/>
  <c r="DS86" i="5"/>
  <c r="DS12" i="5"/>
  <c r="DS33" i="5" s="1"/>
  <c r="DS29" i="5"/>
  <c r="DS32" i="5" s="1"/>
  <c r="DS42" i="5"/>
  <c r="DQ40" i="5"/>
  <c r="DQ41" i="5"/>
  <c r="DR39" i="5"/>
  <c r="DR30" i="5"/>
  <c r="DT8" i="5"/>
  <c r="DT11" i="5" s="1"/>
  <c r="DR95" i="5"/>
  <c r="DQ52" i="5"/>
  <c r="DQ51" i="5"/>
  <c r="DP31" i="5"/>
  <c r="DP34" i="5" s="1"/>
  <c r="DT75" i="5" l="1"/>
  <c r="DT66" i="5" s="1"/>
  <c r="DT64" i="5"/>
  <c r="DT61" i="5"/>
  <c r="DR63" i="5"/>
  <c r="DT88" i="5"/>
  <c r="DT62" i="5" s="1"/>
  <c r="DS47" i="5"/>
  <c r="DT86" i="5"/>
  <c r="DT12" i="5"/>
  <c r="DT33" i="5" s="1"/>
  <c r="DT29" i="5"/>
  <c r="DT32" i="5" s="1"/>
  <c r="DT42" i="5"/>
  <c r="DR40" i="5"/>
  <c r="DR41" i="5"/>
  <c r="DS39" i="5"/>
  <c r="DS30" i="5"/>
  <c r="DU8" i="5"/>
  <c r="DU11" i="5" s="1"/>
  <c r="DR52" i="5"/>
  <c r="DR51" i="5"/>
  <c r="DS95" i="5"/>
  <c r="DQ31" i="5"/>
  <c r="DQ34" i="5" s="1"/>
  <c r="DU75" i="5" l="1"/>
  <c r="DU66" i="5" s="1"/>
  <c r="DU61" i="5"/>
  <c r="DU64" i="5"/>
  <c r="DS63" i="5"/>
  <c r="DT47" i="5"/>
  <c r="DU88" i="5"/>
  <c r="DU62" i="5" s="1"/>
  <c r="DU86" i="5"/>
  <c r="DU12" i="5"/>
  <c r="DU33" i="5" s="1"/>
  <c r="DU29" i="5"/>
  <c r="DU32" i="5" s="1"/>
  <c r="DU42" i="5"/>
  <c r="DS40" i="5"/>
  <c r="DS41" i="5"/>
  <c r="DT39" i="5"/>
  <c r="DT30" i="5"/>
  <c r="DV8" i="5"/>
  <c r="DV11" i="5" s="1"/>
  <c r="DR31" i="5"/>
  <c r="DR34" i="5" s="1"/>
  <c r="DS52" i="5"/>
  <c r="DS51" i="5"/>
  <c r="DT95" i="5"/>
  <c r="DV75" i="5" l="1"/>
  <c r="DV66" i="5" s="1"/>
  <c r="DV61" i="5"/>
  <c r="DV64" i="5"/>
  <c r="DT63" i="5"/>
  <c r="DV88" i="5"/>
  <c r="DV62" i="5" s="1"/>
  <c r="DU47" i="5"/>
  <c r="DV86" i="5"/>
  <c r="DV12" i="5"/>
  <c r="DV33" i="5" s="1"/>
  <c r="DV29" i="5"/>
  <c r="DV32" i="5" s="1"/>
  <c r="DV42" i="5"/>
  <c r="DT41" i="5"/>
  <c r="DT40" i="5"/>
  <c r="DU39" i="5"/>
  <c r="DU30" i="5"/>
  <c r="DW8" i="5"/>
  <c r="DW11" i="5" s="1"/>
  <c r="DS31" i="5"/>
  <c r="DS34" i="5" s="1"/>
  <c r="DT51" i="5"/>
  <c r="DT52" i="5"/>
  <c r="DU95" i="5"/>
  <c r="DT31" i="5"/>
  <c r="DT34" i="5" s="1"/>
  <c r="DW75" i="5" l="1"/>
  <c r="DW66" i="5" s="1"/>
  <c r="DW61" i="5"/>
  <c r="DW64" i="5"/>
  <c r="DU63" i="5"/>
  <c r="DW88" i="5"/>
  <c r="DW62" i="5" s="1"/>
  <c r="DV47" i="5"/>
  <c r="DW86" i="5"/>
  <c r="DW12" i="5"/>
  <c r="DW33" i="5" s="1"/>
  <c r="DW29" i="5"/>
  <c r="DW42" i="5"/>
  <c r="DU41" i="5"/>
  <c r="DU40" i="5"/>
  <c r="DV39" i="5"/>
  <c r="DV30" i="5"/>
  <c r="DX8" i="5"/>
  <c r="DX11" i="5" s="1"/>
  <c r="DU51" i="5"/>
  <c r="DU52" i="5"/>
  <c r="DU31" i="5"/>
  <c r="DU34" i="5" s="1"/>
  <c r="DW32" i="5" l="1"/>
  <c r="DX75" i="5"/>
  <c r="DX66" i="5" s="1"/>
  <c r="DX64" i="5"/>
  <c r="DX61" i="5"/>
  <c r="DW47" i="5"/>
  <c r="DX88" i="5"/>
  <c r="DX62" i="5" s="1"/>
  <c r="DX86" i="5"/>
  <c r="DX12" i="5"/>
  <c r="DX33" i="5" s="1"/>
  <c r="DX29" i="5"/>
  <c r="DX32" i="5" s="1"/>
  <c r="DX42" i="5"/>
  <c r="DV41" i="5"/>
  <c r="DV40" i="5"/>
  <c r="DW39" i="5"/>
  <c r="DW30" i="5"/>
  <c r="DY8" i="5"/>
  <c r="DY11" i="5" s="1"/>
  <c r="DW95" i="5"/>
  <c r="DV31" i="5"/>
  <c r="DV34" i="5" s="1"/>
  <c r="DY75" i="5" l="1"/>
  <c r="DY66" i="5" s="1"/>
  <c r="DY64" i="5"/>
  <c r="DY61" i="5"/>
  <c r="DW63" i="5"/>
  <c r="DX47" i="5"/>
  <c r="DY88" i="5"/>
  <c r="DY62" i="5" s="1"/>
  <c r="DY86" i="5"/>
  <c r="DY12" i="5"/>
  <c r="DY33" i="5" s="1"/>
  <c r="DY29" i="5"/>
  <c r="DY42" i="5"/>
  <c r="DW40" i="5"/>
  <c r="DW41" i="5"/>
  <c r="DX39" i="5"/>
  <c r="DX30" i="5"/>
  <c r="DZ8" i="5"/>
  <c r="DZ11" i="5" s="1"/>
  <c r="DW51" i="5"/>
  <c r="DW52" i="5"/>
  <c r="DX95" i="5"/>
  <c r="DW31" i="5"/>
  <c r="DW34" i="5" s="1"/>
  <c r="DY32" i="5" l="1"/>
  <c r="DZ75" i="5"/>
  <c r="DZ66" i="5" s="1"/>
  <c r="DZ61" i="5"/>
  <c r="DZ64" i="5"/>
  <c r="DX63" i="5"/>
  <c r="DY47" i="5"/>
  <c r="DZ88" i="5"/>
  <c r="DZ62" i="5" s="1"/>
  <c r="DZ86" i="5"/>
  <c r="DZ12" i="5"/>
  <c r="DZ33" i="5" s="1"/>
  <c r="DZ29" i="5"/>
  <c r="DZ32" i="5" s="1"/>
  <c r="DZ42" i="5"/>
  <c r="DX40" i="5"/>
  <c r="DX41" i="5"/>
  <c r="DY39" i="5"/>
  <c r="DY30" i="5"/>
  <c r="EA8" i="5"/>
  <c r="EA11" i="5" s="1"/>
  <c r="DY95" i="5"/>
  <c r="DX52" i="5"/>
  <c r="DX51" i="5"/>
  <c r="EA75" i="5" l="1"/>
  <c r="EA66" i="5" s="1"/>
  <c r="EA61" i="5"/>
  <c r="EA64" i="5"/>
  <c r="DY63" i="5"/>
  <c r="EA88" i="5"/>
  <c r="EA62" i="5" s="1"/>
  <c r="DZ47" i="5"/>
  <c r="EA86" i="5"/>
  <c r="EA12" i="5"/>
  <c r="EA33" i="5" s="1"/>
  <c r="EA29" i="5"/>
  <c r="EA42" i="5"/>
  <c r="DY41" i="5"/>
  <c r="DY40" i="5"/>
  <c r="DZ39" i="5"/>
  <c r="DZ30" i="5"/>
  <c r="EB8" i="5"/>
  <c r="EB11" i="5" s="1"/>
  <c r="DY51" i="5"/>
  <c r="DY52" i="5"/>
  <c r="DZ95" i="5"/>
  <c r="DX31" i="5"/>
  <c r="DX34" i="5" s="1"/>
  <c r="EA32" i="5" l="1"/>
  <c r="EB75" i="5"/>
  <c r="EB66" i="5" s="1"/>
  <c r="EB61" i="5"/>
  <c r="EB64" i="5"/>
  <c r="DZ63" i="5"/>
  <c r="EB88" i="5"/>
  <c r="EB62" i="5" s="1"/>
  <c r="EA47" i="5"/>
  <c r="EB86" i="5"/>
  <c r="EB12" i="5"/>
  <c r="EB33" i="5" s="1"/>
  <c r="EB29" i="5"/>
  <c r="EB32" i="5" s="1"/>
  <c r="EB42" i="5"/>
  <c r="DZ41" i="5"/>
  <c r="DZ40" i="5"/>
  <c r="EA39" i="5"/>
  <c r="EA30" i="5"/>
  <c r="EC8" i="5"/>
  <c r="EC11" i="5" s="1"/>
  <c r="DZ52" i="5"/>
  <c r="DZ51" i="5"/>
  <c r="DY31" i="5"/>
  <c r="DY34" i="5" s="1"/>
  <c r="EA95" i="5"/>
  <c r="EC75" i="5" l="1"/>
  <c r="EC66" i="5" s="1"/>
  <c r="EC61" i="5"/>
  <c r="EC64" i="5"/>
  <c r="EA63" i="5"/>
  <c r="EC88" i="5"/>
  <c r="EC62" i="5" s="1"/>
  <c r="EB47" i="5"/>
  <c r="EC86" i="5"/>
  <c r="EC12" i="5"/>
  <c r="EC33" i="5" s="1"/>
  <c r="EC29" i="5"/>
  <c r="EC42" i="5"/>
  <c r="EA40" i="5"/>
  <c r="EA41" i="5"/>
  <c r="EB39" i="5"/>
  <c r="EB30" i="5"/>
  <c r="ED8" i="5"/>
  <c r="ED11" i="5" s="1"/>
  <c r="DZ31" i="5"/>
  <c r="DZ34" i="5" s="1"/>
  <c r="EB95" i="5"/>
  <c r="EA52" i="5"/>
  <c r="EA51" i="5"/>
  <c r="EC32" i="5" l="1"/>
  <c r="ED75" i="5"/>
  <c r="ED66" i="5" s="1"/>
  <c r="ED61" i="5"/>
  <c r="ED64" i="5"/>
  <c r="EB63" i="5"/>
  <c r="ED88" i="5"/>
  <c r="ED62" i="5" s="1"/>
  <c r="EC47" i="5"/>
  <c r="ED86" i="5"/>
  <c r="ED12" i="5"/>
  <c r="ED33" i="5" s="1"/>
  <c r="ED29" i="5"/>
  <c r="ED32" i="5" s="1"/>
  <c r="ED42" i="5"/>
  <c r="EB40" i="5"/>
  <c r="EB41" i="5"/>
  <c r="EC39" i="5"/>
  <c r="EC30" i="5"/>
  <c r="EE8" i="5"/>
  <c r="EE11" i="5" s="1"/>
  <c r="EB52" i="5"/>
  <c r="EB51" i="5"/>
  <c r="EC95" i="5"/>
  <c r="EA31" i="5"/>
  <c r="EA34" i="5" s="1"/>
  <c r="EE75" i="5" l="1"/>
  <c r="EE66" i="5" s="1"/>
  <c r="EE61" i="5"/>
  <c r="EE64" i="5"/>
  <c r="EC63" i="5"/>
  <c r="EE88" i="5"/>
  <c r="EE62" i="5" s="1"/>
  <c r="ED47" i="5"/>
  <c r="EE86" i="5"/>
  <c r="EE12" i="5"/>
  <c r="EE33" i="5" s="1"/>
  <c r="EE29" i="5"/>
  <c r="EE32" i="5" s="1"/>
  <c r="EE42" i="5"/>
  <c r="EC41" i="5"/>
  <c r="EC40" i="5"/>
  <c r="ED39" i="5"/>
  <c r="ED30" i="5"/>
  <c r="EF8" i="5"/>
  <c r="EF11" i="5" s="1"/>
  <c r="EB31" i="5"/>
  <c r="EB34" i="5" s="1"/>
  <c r="EC52" i="5"/>
  <c r="EC51" i="5"/>
  <c r="ED95" i="5"/>
  <c r="EF75" i="5" l="1"/>
  <c r="EF66" i="5" s="1"/>
  <c r="EF61" i="5"/>
  <c r="EF64" i="5"/>
  <c r="ED63" i="5"/>
  <c r="EF88" i="5"/>
  <c r="EF62" i="5" s="1"/>
  <c r="EE47" i="5"/>
  <c r="EF86" i="5"/>
  <c r="EF12" i="5"/>
  <c r="EF33" i="5" s="1"/>
  <c r="EF29" i="5"/>
  <c r="EF32" i="5" s="1"/>
  <c r="EF42" i="5"/>
  <c r="ED40" i="5"/>
  <c r="ED41" i="5"/>
  <c r="EE39" i="5"/>
  <c r="EE30" i="5"/>
  <c r="EG8" i="5"/>
  <c r="EG11" i="5" s="1"/>
  <c r="ED51" i="5"/>
  <c r="ED52" i="5"/>
  <c r="EE95" i="5"/>
  <c r="EC31" i="5"/>
  <c r="EC34" i="5" s="1"/>
  <c r="EG75" i="5" l="1"/>
  <c r="EG66" i="5" s="1"/>
  <c r="EG61" i="5"/>
  <c r="EG64" i="5"/>
  <c r="EE63" i="5"/>
  <c r="EG88" i="5"/>
  <c r="EG62" i="5" s="1"/>
  <c r="EF47" i="5"/>
  <c r="EG86" i="5"/>
  <c r="EG12" i="5"/>
  <c r="EG33" i="5" s="1"/>
  <c r="EG29" i="5"/>
  <c r="EG32" i="5" s="1"/>
  <c r="EG42" i="5"/>
  <c r="EE41" i="5"/>
  <c r="EE40" i="5"/>
  <c r="EF39" i="5"/>
  <c r="EF30" i="5"/>
  <c r="EH8" i="5"/>
  <c r="EH11" i="5" s="1"/>
  <c r="ED31" i="5"/>
  <c r="ED34" i="5" s="1"/>
  <c r="EE52" i="5"/>
  <c r="EE51" i="5"/>
  <c r="EF95" i="5"/>
  <c r="EH75" i="5" l="1"/>
  <c r="EH66" i="5" s="1"/>
  <c r="EH61" i="5"/>
  <c r="EH64" i="5"/>
  <c r="EF63" i="5"/>
  <c r="EG47" i="5"/>
  <c r="EH88" i="5"/>
  <c r="EH62" i="5" s="1"/>
  <c r="EH86" i="5"/>
  <c r="EH12" i="5"/>
  <c r="EH33" i="5" s="1"/>
  <c r="EH29" i="5"/>
  <c r="EH32" i="5" s="1"/>
  <c r="EH42" i="5"/>
  <c r="EF40" i="5"/>
  <c r="EF41" i="5"/>
  <c r="EG39" i="5"/>
  <c r="EG30" i="5"/>
  <c r="EI8" i="5"/>
  <c r="EI11" i="5" s="1"/>
  <c r="EF51" i="5"/>
  <c r="EF52" i="5"/>
  <c r="EG95" i="5"/>
  <c r="EE31" i="5"/>
  <c r="EE34" i="5" s="1"/>
  <c r="EI75" i="5" l="1"/>
  <c r="EI66" i="5" s="1"/>
  <c r="EI61" i="5"/>
  <c r="EI64" i="5"/>
  <c r="EG63" i="5"/>
  <c r="EI88" i="5"/>
  <c r="EI62" i="5" s="1"/>
  <c r="EH47" i="5"/>
  <c r="EI86" i="5"/>
  <c r="EI12" i="5"/>
  <c r="EI33" i="5" s="1"/>
  <c r="EI29" i="5"/>
  <c r="EI42" i="5"/>
  <c r="EG40" i="5"/>
  <c r="EG41" i="5"/>
  <c r="EH39" i="5"/>
  <c r="EH30" i="5"/>
  <c r="EJ8" i="5"/>
  <c r="EJ11" i="5" s="1"/>
  <c r="EG52" i="5"/>
  <c r="EG51" i="5"/>
  <c r="EH95" i="5"/>
  <c r="EF31" i="5"/>
  <c r="EF34" i="5" s="1"/>
  <c r="EI32" i="5" l="1"/>
  <c r="EJ75" i="5"/>
  <c r="EJ66" i="5" s="1"/>
  <c r="EJ61" i="5"/>
  <c r="EJ64" i="5"/>
  <c r="EH63" i="5"/>
  <c r="EI47" i="5"/>
  <c r="EJ88" i="5"/>
  <c r="EJ62" i="5" s="1"/>
  <c r="EJ86" i="5"/>
  <c r="EJ12" i="5"/>
  <c r="EJ33" i="5" s="1"/>
  <c r="EJ29" i="5"/>
  <c r="EJ32" i="5" s="1"/>
  <c r="EJ42" i="5"/>
  <c r="EH40" i="5"/>
  <c r="EH41" i="5"/>
  <c r="EI39" i="5"/>
  <c r="EI30" i="5"/>
  <c r="EK8" i="5"/>
  <c r="EK11" i="5" s="1"/>
  <c r="EG31" i="5"/>
  <c r="EG34" i="5" s="1"/>
  <c r="EH52" i="5"/>
  <c r="EH51" i="5"/>
  <c r="EI95" i="5"/>
  <c r="EH31" i="5"/>
  <c r="EH34" i="5" s="1"/>
  <c r="EK75" i="5" l="1"/>
  <c r="EK66" i="5" s="1"/>
  <c r="EK61" i="5"/>
  <c r="EK64" i="5"/>
  <c r="EI63" i="5"/>
  <c r="EK88" i="5"/>
  <c r="EK62" i="5" s="1"/>
  <c r="EJ47" i="5"/>
  <c r="EK86" i="5"/>
  <c r="EK12" i="5"/>
  <c r="EK33" i="5" s="1"/>
  <c r="EK29" i="5"/>
  <c r="EK42" i="5"/>
  <c r="EI40" i="5"/>
  <c r="EI41" i="5"/>
  <c r="EJ39" i="5"/>
  <c r="EJ30" i="5"/>
  <c r="EL8" i="5"/>
  <c r="EL11" i="5" s="1"/>
  <c r="EI51" i="5"/>
  <c r="EI52" i="5"/>
  <c r="EJ95" i="5"/>
  <c r="EK32" i="5" l="1"/>
  <c r="EL75" i="5"/>
  <c r="EL66" i="5" s="1"/>
  <c r="EL64" i="5"/>
  <c r="EL61" i="5"/>
  <c r="EJ63" i="5"/>
  <c r="EK47" i="5"/>
  <c r="EL88" i="5"/>
  <c r="EL62" i="5" s="1"/>
  <c r="EL86" i="5"/>
  <c r="EL12" i="5"/>
  <c r="EL33" i="5" s="1"/>
  <c r="EL29" i="5"/>
  <c r="EL32" i="5" s="1"/>
  <c r="EL42" i="5"/>
  <c r="EJ40" i="5"/>
  <c r="EJ41" i="5"/>
  <c r="EK39" i="5"/>
  <c r="EK30" i="5"/>
  <c r="EM8" i="5"/>
  <c r="EM11" i="5" s="1"/>
  <c r="EI31" i="5"/>
  <c r="EI34" i="5" s="1"/>
  <c r="EJ52" i="5"/>
  <c r="EJ51" i="5"/>
  <c r="EK95" i="5"/>
  <c r="EM75" i="5" l="1"/>
  <c r="EM66" i="5" s="1"/>
  <c r="EM61" i="5"/>
  <c r="EM64" i="5"/>
  <c r="EK63" i="5"/>
  <c r="EM88" i="5"/>
  <c r="EM62" i="5" s="1"/>
  <c r="EL47" i="5"/>
  <c r="EM86" i="5"/>
  <c r="EM12" i="5"/>
  <c r="EM33" i="5" s="1"/>
  <c r="EM29" i="5"/>
  <c r="EM42" i="5"/>
  <c r="EK40" i="5"/>
  <c r="EK41" i="5"/>
  <c r="EL39" i="5"/>
  <c r="EL30" i="5"/>
  <c r="EN8" i="5"/>
  <c r="EN11" i="5" s="1"/>
  <c r="EJ31" i="5"/>
  <c r="EJ34" i="5" s="1"/>
  <c r="EL95" i="5"/>
  <c r="EK51" i="5"/>
  <c r="EK52" i="5"/>
  <c r="EM32" i="5" l="1"/>
  <c r="EN75" i="5"/>
  <c r="EN66" i="5" s="1"/>
  <c r="EN61" i="5"/>
  <c r="EN64" i="5"/>
  <c r="EL63" i="5"/>
  <c r="EN88" i="5"/>
  <c r="EN62" i="5" s="1"/>
  <c r="EM47" i="5"/>
  <c r="EN86" i="5"/>
  <c r="EN12" i="5"/>
  <c r="EN33" i="5" s="1"/>
  <c r="EN29" i="5"/>
  <c r="EN32" i="5" s="1"/>
  <c r="EN42" i="5"/>
  <c r="EL40" i="5"/>
  <c r="EL41" i="5"/>
  <c r="EM39" i="5"/>
  <c r="EM30" i="5"/>
  <c r="EO8" i="5"/>
  <c r="EO11" i="5" s="1"/>
  <c r="EK31" i="5"/>
  <c r="EK34" i="5" s="1"/>
  <c r="EL51" i="5"/>
  <c r="EL52" i="5"/>
  <c r="EM95" i="5"/>
  <c r="EO75" i="5" l="1"/>
  <c r="EO66" i="5" s="1"/>
  <c r="EO64" i="5"/>
  <c r="EO61" i="5"/>
  <c r="EM63" i="5"/>
  <c r="EO88" i="5"/>
  <c r="EO62" i="5" s="1"/>
  <c r="EN47" i="5"/>
  <c r="EO86" i="5"/>
  <c r="EO12" i="5"/>
  <c r="EO33" i="5" s="1"/>
  <c r="EO29" i="5"/>
  <c r="EO42" i="5"/>
  <c r="EM40" i="5"/>
  <c r="EM41" i="5"/>
  <c r="EN39" i="5"/>
  <c r="EN30" i="5"/>
  <c r="EP8" i="5"/>
  <c r="EP11" i="5" s="1"/>
  <c r="EL31" i="5"/>
  <c r="EL34" i="5" s="1"/>
  <c r="EM51" i="5"/>
  <c r="EM52" i="5"/>
  <c r="EN95" i="5"/>
  <c r="EO32" i="5" l="1"/>
  <c r="EP75" i="5"/>
  <c r="EP66" i="5" s="1"/>
  <c r="EP64" i="5"/>
  <c r="EP61" i="5"/>
  <c r="EN63" i="5"/>
  <c r="EP88" i="5"/>
  <c r="EP62" i="5" s="1"/>
  <c r="EO47" i="5"/>
  <c r="EP86" i="5"/>
  <c r="EP12" i="5"/>
  <c r="EP33" i="5" s="1"/>
  <c r="EP29" i="5"/>
  <c r="EP32" i="5" s="1"/>
  <c r="EP42" i="5"/>
  <c r="EN40" i="5"/>
  <c r="EN41" i="5"/>
  <c r="EO39" i="5"/>
  <c r="EO30" i="5"/>
  <c r="EQ8" i="5"/>
  <c r="EQ11" i="5" s="1"/>
  <c r="EM31" i="5"/>
  <c r="EM34" i="5" s="1"/>
  <c r="EN51" i="5"/>
  <c r="EN52" i="5"/>
  <c r="EO95" i="5"/>
  <c r="EQ75" i="5" l="1"/>
  <c r="EQ66" i="5" s="1"/>
  <c r="EQ64" i="5"/>
  <c r="EQ61" i="5"/>
  <c r="EO63" i="5"/>
  <c r="EQ88" i="5"/>
  <c r="EQ62" i="5" s="1"/>
  <c r="EP47" i="5"/>
  <c r="EQ86" i="5"/>
  <c r="EQ12" i="5"/>
  <c r="EQ33" i="5" s="1"/>
  <c r="EQ29" i="5"/>
  <c r="EQ32" i="5" s="1"/>
  <c r="EQ42" i="5"/>
  <c r="EO40" i="5"/>
  <c r="EO41" i="5"/>
  <c r="EP39" i="5"/>
  <c r="EP30" i="5"/>
  <c r="ER8" i="5"/>
  <c r="ER11" i="5" s="1"/>
  <c r="EN31" i="5"/>
  <c r="EN34" i="5" s="1"/>
  <c r="EP95" i="5"/>
  <c r="EO51" i="5"/>
  <c r="EO52" i="5"/>
  <c r="ER75" i="5" l="1"/>
  <c r="ER66" i="5" s="1"/>
  <c r="ER61" i="5"/>
  <c r="ER64" i="5"/>
  <c r="EP63" i="5"/>
  <c r="EQ47" i="5"/>
  <c r="ER88" i="5"/>
  <c r="ER62" i="5" s="1"/>
  <c r="ER86" i="5"/>
  <c r="ER12" i="5"/>
  <c r="ER33" i="5" s="1"/>
  <c r="ER29" i="5"/>
  <c r="ER32" i="5" s="1"/>
  <c r="ER42" i="5"/>
  <c r="EP41" i="5"/>
  <c r="EP40" i="5"/>
  <c r="EQ39" i="5"/>
  <c r="EQ30" i="5"/>
  <c r="ES8" i="5"/>
  <c r="ES11" i="5" s="1"/>
  <c r="EO31" i="5"/>
  <c r="EO34" i="5" s="1"/>
  <c r="EQ95" i="5"/>
  <c r="EP51" i="5"/>
  <c r="EP52" i="5"/>
  <c r="ES75" i="5" l="1"/>
  <c r="ES66" i="5" s="1"/>
  <c r="ES61" i="5"/>
  <c r="ES64" i="5"/>
  <c r="EQ63" i="5"/>
  <c r="ER47" i="5"/>
  <c r="ES88" i="5"/>
  <c r="ES62" i="5" s="1"/>
  <c r="ES86" i="5"/>
  <c r="ES12" i="5"/>
  <c r="ES33" i="5" s="1"/>
  <c r="ES29" i="5"/>
  <c r="ES32" i="5" s="1"/>
  <c r="ES42" i="5"/>
  <c r="EQ40" i="5"/>
  <c r="EQ41" i="5"/>
  <c r="ER39" i="5"/>
  <c r="ER30" i="5"/>
  <c r="ET8" i="5"/>
  <c r="ET11" i="5" s="1"/>
  <c r="EQ51" i="5"/>
  <c r="EQ52" i="5"/>
  <c r="ER95" i="5"/>
  <c r="EP31" i="5"/>
  <c r="EP34" i="5" s="1"/>
  <c r="ET75" i="5" l="1"/>
  <c r="ET66" i="5" s="1"/>
  <c r="ET64" i="5"/>
  <c r="ET61" i="5"/>
  <c r="ER63" i="5"/>
  <c r="ET88" i="5"/>
  <c r="ET62" i="5" s="1"/>
  <c r="ET86" i="5"/>
  <c r="ES47" i="5"/>
  <c r="ET12" i="5"/>
  <c r="ET33" i="5" s="1"/>
  <c r="ET29" i="5"/>
  <c r="ET32" i="5" s="1"/>
  <c r="ET42" i="5"/>
  <c r="ER41" i="5"/>
  <c r="ER40" i="5"/>
  <c r="ES39" i="5"/>
  <c r="ES30" i="5"/>
  <c r="EU8" i="5"/>
  <c r="EU11" i="5" s="1"/>
  <c r="ER52" i="5"/>
  <c r="ER51" i="5"/>
  <c r="ES95" i="5"/>
  <c r="EQ31" i="5"/>
  <c r="EQ34" i="5" s="1"/>
  <c r="EU75" i="5" l="1"/>
  <c r="EU66" i="5" s="1"/>
  <c r="EU64" i="5"/>
  <c r="EU61" i="5"/>
  <c r="ES63" i="5"/>
  <c r="ET47" i="5"/>
  <c r="EU88" i="5"/>
  <c r="EU62" i="5" s="1"/>
  <c r="EU86" i="5"/>
  <c r="EU12" i="5"/>
  <c r="EU33" i="5" s="1"/>
  <c r="EU29" i="5"/>
  <c r="EU42" i="5"/>
  <c r="ES41" i="5"/>
  <c r="ES40" i="5"/>
  <c r="ET39" i="5"/>
  <c r="ET30" i="5"/>
  <c r="EV8" i="5"/>
  <c r="EV11" i="5" s="1"/>
  <c r="ET95" i="5"/>
  <c r="ER31" i="5"/>
  <c r="ER34" i="5" s="1"/>
  <c r="ES51" i="5"/>
  <c r="ES52" i="5"/>
  <c r="EU32" i="5" l="1"/>
  <c r="EV75" i="5"/>
  <c r="EV66" i="5" s="1"/>
  <c r="EV61" i="5"/>
  <c r="EV64" i="5"/>
  <c r="ET63" i="5"/>
  <c r="EU47" i="5"/>
  <c r="EV88" i="5"/>
  <c r="EV62" i="5" s="1"/>
  <c r="EV86" i="5"/>
  <c r="EV12" i="5"/>
  <c r="EV33" i="5" s="1"/>
  <c r="EV29" i="5"/>
  <c r="EV32" i="5" s="1"/>
  <c r="EV42" i="5"/>
  <c r="ET40" i="5"/>
  <c r="ET41" i="5"/>
  <c r="EU39" i="5"/>
  <c r="EU30" i="5"/>
  <c r="EW8" i="5"/>
  <c r="EW11" i="5" s="1"/>
  <c r="ES31" i="5"/>
  <c r="ES34" i="5" s="1"/>
  <c r="EU95" i="5"/>
  <c r="EW75" i="5" l="1"/>
  <c r="EW66" i="5" s="1"/>
  <c r="EW61" i="5"/>
  <c r="EW64" i="5"/>
  <c r="EU63" i="5"/>
  <c r="EW88" i="5"/>
  <c r="EW62" i="5" s="1"/>
  <c r="EV47" i="5"/>
  <c r="EW86" i="5"/>
  <c r="EW12" i="5"/>
  <c r="EW33" i="5" s="1"/>
  <c r="EW29" i="5"/>
  <c r="EW42" i="5"/>
  <c r="EU40" i="5"/>
  <c r="EU41" i="5"/>
  <c r="EV39" i="5"/>
  <c r="EV30" i="5"/>
  <c r="EX8" i="5"/>
  <c r="EX11" i="5" s="1"/>
  <c r="ET31" i="5"/>
  <c r="ET34" i="5" s="1"/>
  <c r="EU51" i="5"/>
  <c r="EU52" i="5"/>
  <c r="EV95" i="5"/>
  <c r="EW32" i="5" l="1"/>
  <c r="EX75" i="5"/>
  <c r="EX66" i="5" s="1"/>
  <c r="EX64" i="5"/>
  <c r="EX61" i="5"/>
  <c r="EV63" i="5"/>
  <c r="EX88" i="5"/>
  <c r="EX62" i="5" s="1"/>
  <c r="EW47" i="5"/>
  <c r="EX86" i="5"/>
  <c r="EX12" i="5"/>
  <c r="EX33" i="5" s="1"/>
  <c r="EX29" i="5"/>
  <c r="EX32" i="5" s="1"/>
  <c r="EX42" i="5"/>
  <c r="EV41" i="5"/>
  <c r="EV40" i="5"/>
  <c r="EW39" i="5"/>
  <c r="EW30" i="5"/>
  <c r="EY8" i="5"/>
  <c r="EY11" i="5" s="1"/>
  <c r="EV51" i="5"/>
  <c r="EV52" i="5"/>
  <c r="EW95" i="5"/>
  <c r="EU31" i="5"/>
  <c r="EU34" i="5" s="1"/>
  <c r="EY75" i="5" l="1"/>
  <c r="EY66" i="5" s="1"/>
  <c r="EY61" i="5"/>
  <c r="EY64" i="5"/>
  <c r="EW63" i="5"/>
  <c r="EY88" i="5"/>
  <c r="EY62" i="5" s="1"/>
  <c r="EX47" i="5"/>
  <c r="EY86" i="5"/>
  <c r="EY12" i="5"/>
  <c r="EY33" i="5" s="1"/>
  <c r="EY29" i="5"/>
  <c r="EY42" i="5"/>
  <c r="EW40" i="5"/>
  <c r="EW41" i="5"/>
  <c r="EX39" i="5"/>
  <c r="EX30" i="5"/>
  <c r="EZ8" i="5"/>
  <c r="EZ11" i="5" s="1"/>
  <c r="EW52" i="5"/>
  <c r="EW51" i="5"/>
  <c r="EX95" i="5"/>
  <c r="EV31" i="5"/>
  <c r="EV34" i="5" s="1"/>
  <c r="EY32" i="5" l="1"/>
  <c r="EZ75" i="5"/>
  <c r="EZ66" i="5" s="1"/>
  <c r="EZ64" i="5"/>
  <c r="EZ61" i="5"/>
  <c r="EX63" i="5"/>
  <c r="EZ88" i="5"/>
  <c r="EZ62" i="5" s="1"/>
  <c r="EY47" i="5"/>
  <c r="EZ86" i="5"/>
  <c r="EZ12" i="5"/>
  <c r="EZ33" i="5" s="1"/>
  <c r="EZ29" i="5"/>
  <c r="EZ32" i="5" s="1"/>
  <c r="EZ42" i="5"/>
  <c r="EX41" i="5"/>
  <c r="EX40" i="5"/>
  <c r="EY39" i="5"/>
  <c r="EY30" i="5"/>
  <c r="FA8" i="5"/>
  <c r="FA11" i="5" s="1"/>
  <c r="EX52" i="5"/>
  <c r="EX51" i="5"/>
  <c r="EW31" i="5"/>
  <c r="EW34" i="5" s="1"/>
  <c r="EY95" i="5"/>
  <c r="FA75" i="5" l="1"/>
  <c r="FA66" i="5" s="1"/>
  <c r="FA61" i="5"/>
  <c r="FA64" i="5"/>
  <c r="EY63" i="5"/>
  <c r="FA88" i="5"/>
  <c r="FA62" i="5" s="1"/>
  <c r="EZ47" i="5"/>
  <c r="FA86" i="5"/>
  <c r="FA12" i="5"/>
  <c r="FA33" i="5" s="1"/>
  <c r="FA29" i="5"/>
  <c r="FA42" i="5"/>
  <c r="EY41" i="5"/>
  <c r="EY40" i="5"/>
  <c r="EZ39" i="5"/>
  <c r="EZ30" i="5"/>
  <c r="FB8" i="5"/>
  <c r="FB11" i="5" s="1"/>
  <c r="EX31" i="5"/>
  <c r="EX34" i="5" s="1"/>
  <c r="EY51" i="5"/>
  <c r="EY52" i="5"/>
  <c r="EZ95" i="5"/>
  <c r="FA32" i="5" l="1"/>
  <c r="FB75" i="5"/>
  <c r="FB66" i="5" s="1"/>
  <c r="FB61" i="5"/>
  <c r="FB64" i="5"/>
  <c r="EZ63" i="5"/>
  <c r="FB88" i="5"/>
  <c r="FB62" i="5" s="1"/>
  <c r="FB86" i="5"/>
  <c r="FA47" i="5"/>
  <c r="FB12" i="5"/>
  <c r="FB33" i="5" s="1"/>
  <c r="FB29" i="5"/>
  <c r="FB32" i="5" s="1"/>
  <c r="FB42" i="5"/>
  <c r="EZ40" i="5"/>
  <c r="EZ41" i="5"/>
  <c r="FA39" i="5"/>
  <c r="FA30" i="5"/>
  <c r="FC8" i="5"/>
  <c r="FC11" i="5" s="1"/>
  <c r="EY31" i="5"/>
  <c r="EY34" i="5" s="1"/>
  <c r="FA95" i="5"/>
  <c r="EZ52" i="5"/>
  <c r="EZ51" i="5"/>
  <c r="FB47" i="5" l="1"/>
  <c r="FC75" i="5"/>
  <c r="FC66" i="5" s="1"/>
  <c r="FC64" i="5"/>
  <c r="FC61" i="5"/>
  <c r="FA63" i="5"/>
  <c r="FC88" i="5"/>
  <c r="FC62" i="5" s="1"/>
  <c r="FC86" i="5"/>
  <c r="FC12" i="5"/>
  <c r="FC33" i="5" s="1"/>
  <c r="FC29" i="5"/>
  <c r="FC32" i="5" s="1"/>
  <c r="FC42" i="5"/>
  <c r="FA40" i="5"/>
  <c r="FA41" i="5"/>
  <c r="FB39" i="5"/>
  <c r="FB30" i="5"/>
  <c r="FD8" i="5"/>
  <c r="FD11" i="5" s="1"/>
  <c r="EZ31" i="5"/>
  <c r="EZ34" i="5" s="1"/>
  <c r="FA51" i="5"/>
  <c r="FA52" i="5"/>
  <c r="FB95" i="5"/>
  <c r="FD75" i="5" l="1"/>
  <c r="FD66" i="5" s="1"/>
  <c r="FD61" i="5"/>
  <c r="FD64" i="5"/>
  <c r="FB63" i="5"/>
  <c r="FC47" i="5"/>
  <c r="FD88" i="5"/>
  <c r="FD62" i="5" s="1"/>
  <c r="FD86" i="5"/>
  <c r="FD12" i="5"/>
  <c r="FD33" i="5" s="1"/>
  <c r="FD29" i="5"/>
  <c r="FD32" i="5" s="1"/>
  <c r="FD42" i="5"/>
  <c r="FB41" i="5"/>
  <c r="FB40" i="5"/>
  <c r="FC39" i="5"/>
  <c r="FC30" i="5"/>
  <c r="FE8" i="5"/>
  <c r="FE11" i="5" s="1"/>
  <c r="FB51" i="5"/>
  <c r="FB52" i="5"/>
  <c r="FA31" i="5"/>
  <c r="FA34" i="5" s="1"/>
  <c r="FC95" i="5"/>
  <c r="FE75" i="5" l="1"/>
  <c r="FE66" i="5" s="1"/>
  <c r="FE61" i="5"/>
  <c r="FE64" i="5"/>
  <c r="FC63" i="5"/>
  <c r="FD47" i="5"/>
  <c r="FE88" i="5"/>
  <c r="FE62" i="5" s="1"/>
  <c r="FE86" i="5"/>
  <c r="FE12" i="5"/>
  <c r="FE33" i="5" s="1"/>
  <c r="FE29" i="5"/>
  <c r="FE32" i="5" s="1"/>
  <c r="FE42" i="5"/>
  <c r="FC41" i="5"/>
  <c r="FC40" i="5"/>
  <c r="FD39" i="5"/>
  <c r="FD30" i="5"/>
  <c r="FF8" i="5"/>
  <c r="FF11" i="5" s="1"/>
  <c r="FC51" i="5"/>
  <c r="FC52" i="5"/>
  <c r="FD95" i="5"/>
  <c r="FB31" i="5"/>
  <c r="FB34" i="5" s="1"/>
  <c r="FF75" i="5" l="1"/>
  <c r="FF66" i="5" s="1"/>
  <c r="FF64" i="5"/>
  <c r="FF61" i="5"/>
  <c r="FD63" i="5"/>
  <c r="FE47" i="5"/>
  <c r="FF88" i="5"/>
  <c r="FF62" i="5" s="1"/>
  <c r="FF86" i="5"/>
  <c r="FF12" i="5"/>
  <c r="FF33" i="5" s="1"/>
  <c r="FF29" i="5"/>
  <c r="FF32" i="5" s="1"/>
  <c r="FF42" i="5"/>
  <c r="FD41" i="5"/>
  <c r="FD40" i="5"/>
  <c r="FE39" i="5"/>
  <c r="FE30" i="5"/>
  <c r="FG8" i="5"/>
  <c r="FG11" i="5" s="1"/>
  <c r="FE95" i="5"/>
  <c r="FD51" i="5"/>
  <c r="FD52" i="5"/>
  <c r="FC31" i="5"/>
  <c r="FC34" i="5" s="1"/>
  <c r="FG75" i="5" l="1"/>
  <c r="FG66" i="5" s="1"/>
  <c r="FG61" i="5"/>
  <c r="FG64" i="5"/>
  <c r="FE63" i="5"/>
  <c r="FF47" i="5"/>
  <c r="FG88" i="5"/>
  <c r="FG62" i="5" s="1"/>
  <c r="FG86" i="5"/>
  <c r="FG12" i="5"/>
  <c r="FG33" i="5" s="1"/>
  <c r="FG29" i="5"/>
  <c r="FG42" i="5"/>
  <c r="FE41" i="5"/>
  <c r="FE40" i="5"/>
  <c r="FF39" i="5"/>
  <c r="FF30" i="5"/>
  <c r="FH8" i="5"/>
  <c r="FH11" i="5" s="1"/>
  <c r="FD31" i="5"/>
  <c r="FD34" i="5" s="1"/>
  <c r="FE51" i="5"/>
  <c r="FE52" i="5"/>
  <c r="FF95" i="5"/>
  <c r="FG32" i="5" l="1"/>
  <c r="FH75" i="5"/>
  <c r="FH66" i="5" s="1"/>
  <c r="FH61" i="5"/>
  <c r="FH64" i="5"/>
  <c r="FF63" i="5"/>
  <c r="FH88" i="5"/>
  <c r="FH62" i="5" s="1"/>
  <c r="FG47" i="5"/>
  <c r="FH86" i="5"/>
  <c r="FH12" i="5"/>
  <c r="FH33" i="5" s="1"/>
  <c r="FH29" i="5"/>
  <c r="FH32" i="5" s="1"/>
  <c r="FH42" i="5"/>
  <c r="FF41" i="5"/>
  <c r="FF40" i="5"/>
  <c r="FG39" i="5"/>
  <c r="FG30" i="5"/>
  <c r="FI8" i="5"/>
  <c r="FI11" i="5" s="1"/>
  <c r="FF52" i="5"/>
  <c r="FF51" i="5"/>
  <c r="FG95" i="5"/>
  <c r="FE31" i="5"/>
  <c r="FE34" i="5" s="1"/>
  <c r="FI75" i="5" l="1"/>
  <c r="FI66" i="5" s="1"/>
  <c r="FI64" i="5"/>
  <c r="FI61" i="5"/>
  <c r="FG63" i="5"/>
  <c r="FH47" i="5"/>
  <c r="FI88" i="5"/>
  <c r="FI62" i="5" s="1"/>
  <c r="FI86" i="5"/>
  <c r="FI12" i="5"/>
  <c r="FI33" i="5" s="1"/>
  <c r="FI29" i="5"/>
  <c r="FI42" i="5"/>
  <c r="FG41" i="5"/>
  <c r="FG40" i="5"/>
  <c r="FH39" i="5"/>
  <c r="FH30" i="5"/>
  <c r="FJ8" i="5"/>
  <c r="FJ11" i="5" s="1"/>
  <c r="FG52" i="5"/>
  <c r="FG51" i="5"/>
  <c r="FH95" i="5"/>
  <c r="FF31" i="5"/>
  <c r="FF34" i="5" s="1"/>
  <c r="FI32" i="5" l="1"/>
  <c r="FJ75" i="5"/>
  <c r="FJ66" i="5" s="1"/>
  <c r="FJ64" i="5"/>
  <c r="FJ61" i="5"/>
  <c r="FH63" i="5"/>
  <c r="FJ88" i="5"/>
  <c r="FJ62" i="5" s="1"/>
  <c r="FI47" i="5"/>
  <c r="FJ86" i="5"/>
  <c r="FJ12" i="5"/>
  <c r="FJ33" i="5" s="1"/>
  <c r="FJ29" i="5"/>
  <c r="FJ32" i="5" s="1"/>
  <c r="FJ42" i="5"/>
  <c r="FH40" i="5"/>
  <c r="FH41" i="5"/>
  <c r="FI39" i="5"/>
  <c r="FI30" i="5"/>
  <c r="FK8" i="5"/>
  <c r="FK11" i="5" s="1"/>
  <c r="FG31" i="5"/>
  <c r="FG34" i="5" s="1"/>
  <c r="FI95" i="5"/>
  <c r="FH51" i="5"/>
  <c r="FH52" i="5"/>
  <c r="FK75" i="5" l="1"/>
  <c r="FK66" i="5" s="1"/>
  <c r="FK64" i="5"/>
  <c r="FK61" i="5"/>
  <c r="FI63" i="5"/>
  <c r="FK88" i="5"/>
  <c r="FK62" i="5" s="1"/>
  <c r="FJ47" i="5"/>
  <c r="FK86" i="5"/>
  <c r="FK12" i="5"/>
  <c r="FK33" i="5" s="1"/>
  <c r="FK29" i="5"/>
  <c r="FK42" i="5"/>
  <c r="FI40" i="5"/>
  <c r="FI41" i="5"/>
  <c r="FJ39" i="5"/>
  <c r="FJ30" i="5"/>
  <c r="FL8" i="5"/>
  <c r="FL11" i="5" s="1"/>
  <c r="FJ95" i="5"/>
  <c r="FI52" i="5"/>
  <c r="FI51" i="5"/>
  <c r="FH31" i="5"/>
  <c r="FH34" i="5" s="1"/>
  <c r="FK32" i="5" l="1"/>
  <c r="FL75" i="5"/>
  <c r="FL66" i="5" s="1"/>
  <c r="FL61" i="5"/>
  <c r="FL64" i="5"/>
  <c r="FJ63" i="5"/>
  <c r="FL88" i="5"/>
  <c r="FL62" i="5" s="1"/>
  <c r="FK47" i="5"/>
  <c r="FL86" i="5"/>
  <c r="FL12" i="5"/>
  <c r="FL33" i="5" s="1"/>
  <c r="FL29" i="5"/>
  <c r="FL32" i="5" s="1"/>
  <c r="FL42" i="5"/>
  <c r="FJ40" i="5"/>
  <c r="FJ41" i="5"/>
  <c r="FK39" i="5"/>
  <c r="FK30" i="5"/>
  <c r="FM8" i="5"/>
  <c r="FM11" i="5" s="1"/>
  <c r="FJ51" i="5"/>
  <c r="FJ52" i="5"/>
  <c r="FK95" i="5"/>
  <c r="FI31" i="5"/>
  <c r="FI34" i="5" s="1"/>
  <c r="FM75" i="5" l="1"/>
  <c r="FM66" i="5" s="1"/>
  <c r="FM64" i="5"/>
  <c r="FM61" i="5"/>
  <c r="FK63" i="5"/>
  <c r="FM88" i="5"/>
  <c r="FM62" i="5" s="1"/>
  <c r="FL47" i="5"/>
  <c r="FM86" i="5"/>
  <c r="FM12" i="5"/>
  <c r="FM33" i="5" s="1"/>
  <c r="FM29" i="5"/>
  <c r="FM42" i="5"/>
  <c r="FK40" i="5"/>
  <c r="FK41" i="5"/>
  <c r="FL39" i="5"/>
  <c r="FL30" i="5"/>
  <c r="FN8" i="5"/>
  <c r="FN11" i="5" s="1"/>
  <c r="FK51" i="5"/>
  <c r="FK52" i="5"/>
  <c r="FL95" i="5"/>
  <c r="FJ31" i="5"/>
  <c r="FJ34" i="5" s="1"/>
  <c r="FM32" i="5" l="1"/>
  <c r="FM47" i="5"/>
  <c r="FN75" i="5"/>
  <c r="FN66" i="5" s="1"/>
  <c r="FN61" i="5"/>
  <c r="FN64" i="5"/>
  <c r="FL63" i="5"/>
  <c r="FN88" i="5"/>
  <c r="FN62" i="5" s="1"/>
  <c r="FN86" i="5"/>
  <c r="FN12" i="5"/>
  <c r="FN33" i="5" s="1"/>
  <c r="FN29" i="5"/>
  <c r="FN32" i="5" s="1"/>
  <c r="FN42" i="5"/>
  <c r="FL40" i="5"/>
  <c r="FL41" i="5"/>
  <c r="FM39" i="5"/>
  <c r="FM30" i="5"/>
  <c r="FO8" i="5"/>
  <c r="FO11" i="5" s="1"/>
  <c r="FL52" i="5"/>
  <c r="FL51" i="5"/>
  <c r="FM95" i="5"/>
  <c r="FK31" i="5"/>
  <c r="FK34" i="5" s="1"/>
  <c r="FO75" i="5" l="1"/>
  <c r="FO66" i="5" s="1"/>
  <c r="FO61" i="5"/>
  <c r="FO64" i="5"/>
  <c r="FM63" i="5"/>
  <c r="FN47" i="5"/>
  <c r="FO88" i="5"/>
  <c r="FO62" i="5" s="1"/>
  <c r="FO86" i="5"/>
  <c r="FO12" i="5"/>
  <c r="FO33" i="5" s="1"/>
  <c r="FO29" i="5"/>
  <c r="FO32" i="5" s="1"/>
  <c r="FO42" i="5"/>
  <c r="FM40" i="5"/>
  <c r="FM41" i="5"/>
  <c r="FN39" i="5"/>
  <c r="FN30" i="5"/>
  <c r="FP8" i="5"/>
  <c r="FP11" i="5" s="1"/>
  <c r="FM52" i="5"/>
  <c r="FM51" i="5"/>
  <c r="FN95" i="5"/>
  <c r="FL31" i="5"/>
  <c r="FL34" i="5" s="1"/>
  <c r="FP75" i="5" l="1"/>
  <c r="FP66" i="5" s="1"/>
  <c r="FP61" i="5"/>
  <c r="FP64" i="5"/>
  <c r="FN63" i="5"/>
  <c r="FO47" i="5"/>
  <c r="FP88" i="5"/>
  <c r="FP62" i="5" s="1"/>
  <c r="FP86" i="5"/>
  <c r="FP12" i="5"/>
  <c r="FP33" i="5" s="1"/>
  <c r="FP29" i="5"/>
  <c r="FP32" i="5" s="1"/>
  <c r="FP42" i="5"/>
  <c r="FN41" i="5"/>
  <c r="FN40" i="5"/>
  <c r="FO39" i="5"/>
  <c r="FO30" i="5"/>
  <c r="FQ8" i="5"/>
  <c r="FQ11" i="5" s="1"/>
  <c r="FM31" i="5"/>
  <c r="FM34" i="5" s="1"/>
  <c r="FN51" i="5"/>
  <c r="FN52" i="5"/>
  <c r="FO95" i="5"/>
  <c r="FQ75" i="5" l="1"/>
  <c r="FQ66" i="5" s="1"/>
  <c r="FQ64" i="5"/>
  <c r="FQ61" i="5"/>
  <c r="FO63" i="5"/>
  <c r="FQ88" i="5"/>
  <c r="FQ62" i="5" s="1"/>
  <c r="FP47" i="5"/>
  <c r="FQ86" i="5"/>
  <c r="FQ12" i="5"/>
  <c r="FQ33" i="5" s="1"/>
  <c r="FQ29" i="5"/>
  <c r="FQ32" i="5" s="1"/>
  <c r="FQ42" i="5"/>
  <c r="FO41" i="5"/>
  <c r="FO40" i="5"/>
  <c r="FP39" i="5"/>
  <c r="FP30" i="5"/>
  <c r="FR8" i="5"/>
  <c r="FR11" i="5" s="1"/>
  <c r="FO51" i="5"/>
  <c r="FO52" i="5"/>
  <c r="FP95" i="5"/>
  <c r="FN31" i="5"/>
  <c r="FN34" i="5" s="1"/>
  <c r="FQ47" i="5" l="1"/>
  <c r="FR75" i="5"/>
  <c r="FR66" i="5" s="1"/>
  <c r="FR61" i="5"/>
  <c r="FR64" i="5"/>
  <c r="FP63" i="5"/>
  <c r="FR88" i="5"/>
  <c r="FR62" i="5" s="1"/>
  <c r="FR86" i="5"/>
  <c r="FR12" i="5"/>
  <c r="FR33" i="5" s="1"/>
  <c r="FR29" i="5"/>
  <c r="FR32" i="5" s="1"/>
  <c r="FR42" i="5"/>
  <c r="FP41" i="5"/>
  <c r="FP40" i="5"/>
  <c r="FQ39" i="5"/>
  <c r="FQ30" i="5"/>
  <c r="FS8" i="5"/>
  <c r="FS11" i="5" s="1"/>
  <c r="FQ95" i="5"/>
  <c r="FP52" i="5"/>
  <c r="FP51" i="5"/>
  <c r="FO31" i="5"/>
  <c r="FO34" i="5" s="1"/>
  <c r="FS75" i="5" l="1"/>
  <c r="FS66" i="5" s="1"/>
  <c r="FS64" i="5"/>
  <c r="FS61" i="5"/>
  <c r="FQ63" i="5"/>
  <c r="FR47" i="5"/>
  <c r="FS88" i="5"/>
  <c r="FS62" i="5" s="1"/>
  <c r="FS86" i="5"/>
  <c r="FS12" i="5"/>
  <c r="FS33" i="5" s="1"/>
  <c r="FS29" i="5"/>
  <c r="FS42" i="5"/>
  <c r="FQ41" i="5"/>
  <c r="FQ40" i="5"/>
  <c r="FR39" i="5"/>
  <c r="FR30" i="5"/>
  <c r="FT8" i="5"/>
  <c r="FT11" i="5" s="1"/>
  <c r="FQ51" i="5"/>
  <c r="FQ52" i="5"/>
  <c r="FR95" i="5"/>
  <c r="FP31" i="5"/>
  <c r="FP34" i="5" s="1"/>
  <c r="FS32" i="5" l="1"/>
  <c r="FT75" i="5"/>
  <c r="FT66" i="5" s="1"/>
  <c r="FT64" i="5"/>
  <c r="FT61" i="5"/>
  <c r="FR63" i="5"/>
  <c r="FT88" i="5"/>
  <c r="FT62" i="5" s="1"/>
  <c r="FS47" i="5"/>
  <c r="FT86" i="5"/>
  <c r="FT12" i="5"/>
  <c r="FT33" i="5" s="1"/>
  <c r="FT29" i="5"/>
  <c r="FT32" i="5" s="1"/>
  <c r="FT42" i="5"/>
  <c r="FR40" i="5"/>
  <c r="FR41" i="5"/>
  <c r="FS39" i="5"/>
  <c r="FS30" i="5"/>
  <c r="FU8" i="5"/>
  <c r="FU11" i="5" s="1"/>
  <c r="FR51" i="5"/>
  <c r="FR52" i="5"/>
  <c r="FS95" i="5"/>
  <c r="FQ31" i="5"/>
  <c r="FQ34" i="5" s="1"/>
  <c r="FU75" i="5" l="1"/>
  <c r="FU66" i="5" s="1"/>
  <c r="FU61" i="5"/>
  <c r="FU64" i="5"/>
  <c r="FS63" i="5"/>
  <c r="FT47" i="5"/>
  <c r="FU88" i="5"/>
  <c r="FU62" i="5" s="1"/>
  <c r="FU86" i="5"/>
  <c r="FU12" i="5"/>
  <c r="FU33" i="5" s="1"/>
  <c r="FU29" i="5"/>
  <c r="FU42" i="5"/>
  <c r="FS40" i="5"/>
  <c r="FS41" i="5"/>
  <c r="FT39" i="5"/>
  <c r="FT30" i="5"/>
  <c r="FV8" i="5"/>
  <c r="FV11" i="5" s="1"/>
  <c r="FS51" i="5"/>
  <c r="FS52" i="5"/>
  <c r="FT95" i="5"/>
  <c r="FR31" i="5"/>
  <c r="FR34" i="5" s="1"/>
  <c r="FU32" i="5" l="1"/>
  <c r="FV75" i="5"/>
  <c r="FV66" i="5" s="1"/>
  <c r="FV61" i="5"/>
  <c r="FV64" i="5"/>
  <c r="FT63" i="5"/>
  <c r="FV88" i="5"/>
  <c r="FV62" i="5" s="1"/>
  <c r="FU47" i="5"/>
  <c r="FV86" i="5"/>
  <c r="FV12" i="5"/>
  <c r="FV33" i="5" s="1"/>
  <c r="FV29" i="5"/>
  <c r="FV32" i="5" s="1"/>
  <c r="FV42" i="5"/>
  <c r="FT40" i="5"/>
  <c r="FT41" i="5"/>
  <c r="FU39" i="5"/>
  <c r="FU30" i="5"/>
  <c r="FW8" i="5"/>
  <c r="FW11" i="5" s="1"/>
  <c r="FT51" i="5"/>
  <c r="FT52" i="5"/>
  <c r="FU95" i="5"/>
  <c r="FS31" i="5"/>
  <c r="FS34" i="5" s="1"/>
  <c r="FW75" i="5" l="1"/>
  <c r="FW66" i="5" s="1"/>
  <c r="FW61" i="5"/>
  <c r="FW64" i="5"/>
  <c r="FU63" i="5"/>
  <c r="FV47" i="5"/>
  <c r="FW88" i="5"/>
  <c r="FW62" i="5" s="1"/>
  <c r="FW86" i="5"/>
  <c r="FW12" i="5"/>
  <c r="FW33" i="5" s="1"/>
  <c r="FW29" i="5"/>
  <c r="FW42" i="5"/>
  <c r="FU40" i="5"/>
  <c r="FU41" i="5"/>
  <c r="FV39" i="5"/>
  <c r="FV30" i="5"/>
  <c r="FX8" i="5"/>
  <c r="FX11" i="5" s="1"/>
  <c r="FU52" i="5"/>
  <c r="FU51" i="5"/>
  <c r="FV95" i="5"/>
  <c r="FT31" i="5"/>
  <c r="FT34" i="5" s="1"/>
  <c r="FU31" i="5"/>
  <c r="FU34" i="5" s="1"/>
  <c r="FW32" i="5" l="1"/>
  <c r="FX75" i="5"/>
  <c r="FX66" i="5" s="1"/>
  <c r="FX61" i="5"/>
  <c r="FX64" i="5"/>
  <c r="FV63" i="5"/>
  <c r="FX88" i="5"/>
  <c r="FX62" i="5" s="1"/>
  <c r="FW47" i="5"/>
  <c r="FX86" i="5"/>
  <c r="FX12" i="5"/>
  <c r="FX33" i="5" s="1"/>
  <c r="FX29" i="5"/>
  <c r="FX32" i="5" s="1"/>
  <c r="FX42" i="5"/>
  <c r="FV40" i="5"/>
  <c r="FV41" i="5"/>
  <c r="FW39" i="5"/>
  <c r="FW30" i="5"/>
  <c r="FY8" i="5"/>
  <c r="FY11" i="5" s="1"/>
  <c r="FV52" i="5"/>
  <c r="FV51" i="5"/>
  <c r="FW95" i="5"/>
  <c r="FY75" i="5" l="1"/>
  <c r="FY66" i="5" s="1"/>
  <c r="FY61" i="5"/>
  <c r="FY64" i="5"/>
  <c r="FW63" i="5"/>
  <c r="FY88" i="5"/>
  <c r="FY62" i="5" s="1"/>
  <c r="FX47" i="5"/>
  <c r="FY86" i="5"/>
  <c r="FY12" i="5"/>
  <c r="FY33" i="5" s="1"/>
  <c r="FY29" i="5"/>
  <c r="FY42" i="5"/>
  <c r="FW41" i="5"/>
  <c r="FW40" i="5"/>
  <c r="FX39" i="5"/>
  <c r="FX30" i="5"/>
  <c r="FZ8" i="5"/>
  <c r="FZ11" i="5" s="1"/>
  <c r="FW51" i="5"/>
  <c r="FW52" i="5"/>
  <c r="FX95" i="5"/>
  <c r="FV31" i="5"/>
  <c r="FV34" i="5" s="1"/>
  <c r="FY32" i="5" l="1"/>
  <c r="FZ75" i="5"/>
  <c r="FZ66" i="5" s="1"/>
  <c r="FZ64" i="5"/>
  <c r="FZ61" i="5"/>
  <c r="FX63" i="5"/>
  <c r="FY47" i="5"/>
  <c r="FZ88" i="5"/>
  <c r="FZ62" i="5" s="1"/>
  <c r="FZ86" i="5"/>
  <c r="FZ12" i="5"/>
  <c r="FZ33" i="5" s="1"/>
  <c r="FZ29" i="5"/>
  <c r="FZ32" i="5" s="1"/>
  <c r="FZ42" i="5"/>
  <c r="FX41" i="5"/>
  <c r="FX40" i="5"/>
  <c r="FY39" i="5"/>
  <c r="FY30" i="5"/>
  <c r="GA8" i="5"/>
  <c r="GA11" i="5" s="1"/>
  <c r="FX51" i="5"/>
  <c r="FX52" i="5"/>
  <c r="FY95" i="5"/>
  <c r="FW31" i="5"/>
  <c r="FW34" i="5" s="1"/>
  <c r="GA75" i="5" l="1"/>
  <c r="GA66" i="5" s="1"/>
  <c r="GA61" i="5"/>
  <c r="GA64" i="5"/>
  <c r="FY63" i="5"/>
  <c r="FZ47" i="5"/>
  <c r="GA88" i="5"/>
  <c r="GA62" i="5" s="1"/>
  <c r="GA86" i="5"/>
  <c r="GA12" i="5"/>
  <c r="GA33" i="5" s="1"/>
  <c r="GA29" i="5"/>
  <c r="GA32" i="5" s="1"/>
  <c r="GA42" i="5"/>
  <c r="FY40" i="5"/>
  <c r="FY41" i="5"/>
  <c r="FZ39" i="5"/>
  <c r="FZ30" i="5"/>
  <c r="GB8" i="5"/>
  <c r="GB11" i="5" s="1"/>
  <c r="FY51" i="5"/>
  <c r="FY52" i="5"/>
  <c r="FZ95" i="5"/>
  <c r="FX31" i="5"/>
  <c r="FX34" i="5" s="1"/>
  <c r="GB75" i="5" l="1"/>
  <c r="GB66" i="5" s="1"/>
  <c r="GB64" i="5"/>
  <c r="GB61" i="5"/>
  <c r="FZ63" i="5"/>
  <c r="GB88" i="5"/>
  <c r="GB62" i="5" s="1"/>
  <c r="GA47" i="5"/>
  <c r="GB86" i="5"/>
  <c r="GB12" i="5"/>
  <c r="GB33" i="5" s="1"/>
  <c r="GB29" i="5"/>
  <c r="GB32" i="5" s="1"/>
  <c r="GB42" i="5"/>
  <c r="FZ40" i="5"/>
  <c r="FZ41" i="5"/>
  <c r="GA39" i="5"/>
  <c r="GA30" i="5"/>
  <c r="GC8" i="5"/>
  <c r="GC11" i="5" s="1"/>
  <c r="FZ52" i="5"/>
  <c r="FZ51" i="5"/>
  <c r="GA95" i="5"/>
  <c r="FY31" i="5"/>
  <c r="FY34" i="5" s="1"/>
  <c r="GC75" i="5" l="1"/>
  <c r="GC66" i="5" s="1"/>
  <c r="GC61" i="5"/>
  <c r="GC64" i="5"/>
  <c r="GA63" i="5"/>
  <c r="GC88" i="5"/>
  <c r="GC62" i="5" s="1"/>
  <c r="GB47" i="5"/>
  <c r="GC86" i="5"/>
  <c r="GC12" i="5"/>
  <c r="GC33" i="5" s="1"/>
  <c r="GC29" i="5"/>
  <c r="GC32" i="5" s="1"/>
  <c r="GC42" i="5"/>
  <c r="GA40" i="5"/>
  <c r="GA41" i="5"/>
  <c r="GB39" i="5"/>
  <c r="GB30" i="5"/>
  <c r="GD8" i="5"/>
  <c r="GE8" i="5" s="1"/>
  <c r="GB95" i="5"/>
  <c r="GA51" i="5"/>
  <c r="GA52" i="5"/>
  <c r="FZ31" i="5"/>
  <c r="FZ34" i="5" s="1"/>
  <c r="GE11" i="5" l="1"/>
  <c r="GF8" i="5"/>
  <c r="GD11" i="5"/>
  <c r="GD29" i="5" s="1"/>
  <c r="GD75" i="5"/>
  <c r="GD66" i="5" s="1"/>
  <c r="GD64" i="5"/>
  <c r="GD61" i="5"/>
  <c r="GB63" i="5"/>
  <c r="GD88" i="5"/>
  <c r="GD62" i="5" s="1"/>
  <c r="GD86" i="5"/>
  <c r="GC47" i="5"/>
  <c r="GD12" i="5"/>
  <c r="GD33" i="5" s="1"/>
  <c r="GD42" i="5"/>
  <c r="GE42" i="5" s="1"/>
  <c r="GB41" i="5"/>
  <c r="GB40" i="5"/>
  <c r="GC39" i="5"/>
  <c r="GC30" i="5"/>
  <c r="GB52" i="5"/>
  <c r="GB51" i="5"/>
  <c r="GC95" i="5"/>
  <c r="GA31" i="5"/>
  <c r="GA34" i="5" s="1"/>
  <c r="GF11" i="5" l="1"/>
  <c r="GG8" i="5"/>
  <c r="GF42" i="5"/>
  <c r="H16" i="6"/>
  <c r="H14" i="14" s="1"/>
  <c r="I16" i="6"/>
  <c r="I14" i="14" s="1"/>
  <c r="J16" i="6"/>
  <c r="J14" i="14" s="1"/>
  <c r="K16" i="6"/>
  <c r="K14" i="14" s="1"/>
  <c r="L16" i="6"/>
  <c r="L14" i="14" s="1"/>
  <c r="M16" i="6"/>
  <c r="M14" i="14" s="1"/>
  <c r="N16" i="6"/>
  <c r="N14" i="14" s="1"/>
  <c r="O16" i="6"/>
  <c r="O14" i="14" s="1"/>
  <c r="P16" i="6"/>
  <c r="P14" i="14" s="1"/>
  <c r="Q16" i="6"/>
  <c r="Q14" i="14" s="1"/>
  <c r="R16" i="6"/>
  <c r="R14" i="14" s="1"/>
  <c r="S16" i="6"/>
  <c r="S14" i="14" s="1"/>
  <c r="T16" i="6"/>
  <c r="T14" i="14" s="1"/>
  <c r="U16" i="6"/>
  <c r="U14" i="14" s="1"/>
  <c r="GD32" i="5"/>
  <c r="GE29" i="5"/>
  <c r="R40" i="6"/>
  <c r="S40" i="6"/>
  <c r="T40" i="6"/>
  <c r="U40" i="6"/>
  <c r="R41" i="6"/>
  <c r="S41" i="6"/>
  <c r="T41" i="6"/>
  <c r="I40" i="6"/>
  <c r="J40" i="6"/>
  <c r="K40" i="6"/>
  <c r="L40" i="6"/>
  <c r="M40" i="6"/>
  <c r="N40" i="6"/>
  <c r="O40" i="6"/>
  <c r="P40" i="6"/>
  <c r="Q40" i="6"/>
  <c r="G41" i="6"/>
  <c r="I41" i="6"/>
  <c r="J41" i="6"/>
  <c r="L41" i="6"/>
  <c r="M41" i="6"/>
  <c r="N41" i="6"/>
  <c r="O41" i="6"/>
  <c r="Q41" i="6"/>
  <c r="GC63" i="5"/>
  <c r="GD47" i="5"/>
  <c r="GC40" i="5"/>
  <c r="GC41" i="5"/>
  <c r="GD30" i="5"/>
  <c r="GE30" i="5" s="1"/>
  <c r="GD39" i="5"/>
  <c r="GC52" i="5"/>
  <c r="GC51" i="5"/>
  <c r="GB31" i="5"/>
  <c r="GB34" i="5" s="1"/>
  <c r="GH8" i="5" l="1"/>
  <c r="GG11" i="5"/>
  <c r="GG42" i="5"/>
  <c r="N28" i="6"/>
  <c r="N21" i="14" s="1"/>
  <c r="U28" i="6"/>
  <c r="U21" i="14" s="1"/>
  <c r="G28" i="6"/>
  <c r="G21" i="14" s="1"/>
  <c r="T28" i="6"/>
  <c r="T21" i="14" s="1"/>
  <c r="H28" i="6"/>
  <c r="H21" i="14" s="1"/>
  <c r="S28" i="6"/>
  <c r="S21" i="14" s="1"/>
  <c r="I28" i="6"/>
  <c r="I21" i="14" s="1"/>
  <c r="J28" i="6"/>
  <c r="J21" i="14" s="1"/>
  <c r="R28" i="6"/>
  <c r="R21" i="14" s="1"/>
  <c r="K28" i="6"/>
  <c r="K21" i="14" s="1"/>
  <c r="Q28" i="6"/>
  <c r="Q21" i="14" s="1"/>
  <c r="L28" i="6"/>
  <c r="L21" i="14" s="1"/>
  <c r="P28" i="6"/>
  <c r="P21" i="14" s="1"/>
  <c r="O28" i="6"/>
  <c r="O21" i="14" s="1"/>
  <c r="M28" i="6"/>
  <c r="M21" i="14" s="1"/>
  <c r="GF30" i="5"/>
  <c r="N21" i="6"/>
  <c r="M21" i="6"/>
  <c r="O21" i="6"/>
  <c r="L21" i="6"/>
  <c r="P21" i="6"/>
  <c r="K21" i="6"/>
  <c r="Q21" i="6"/>
  <c r="J21" i="6"/>
  <c r="R21" i="6"/>
  <c r="I21" i="6"/>
  <c r="S21" i="6"/>
  <c r="T21" i="6"/>
  <c r="H21" i="6"/>
  <c r="U21" i="6"/>
  <c r="G21" i="6"/>
  <c r="GF29" i="5"/>
  <c r="GE32" i="5"/>
  <c r="GE31" i="5"/>
  <c r="GD40" i="5"/>
  <c r="GE40" i="5" s="1"/>
  <c r="GD41" i="5"/>
  <c r="GE41" i="5" s="1"/>
  <c r="GC31" i="5"/>
  <c r="GC34" i="5" s="1"/>
  <c r="GH42" i="5" l="1"/>
  <c r="GG30" i="5"/>
  <c r="GI8" i="5"/>
  <c r="GH11" i="5"/>
  <c r="GE34" i="5"/>
  <c r="GE37" i="5" s="1"/>
  <c r="GE43" i="5" s="1"/>
  <c r="GE45" i="5" s="1"/>
  <c r="GE48" i="5" s="1"/>
  <c r="GE54" i="5" s="1"/>
  <c r="GE103" i="5" s="1"/>
  <c r="G22" i="6"/>
  <c r="H22" i="6"/>
  <c r="I22" i="6"/>
  <c r="J22" i="6"/>
  <c r="K22" i="6"/>
  <c r="L22" i="6"/>
  <c r="M22" i="6"/>
  <c r="N22" i="6"/>
  <c r="O22" i="6"/>
  <c r="P22" i="6"/>
  <c r="Q22" i="6"/>
  <c r="R22" i="6"/>
  <c r="S22" i="6"/>
  <c r="T22" i="6"/>
  <c r="U22" i="6"/>
  <c r="U11" i="6"/>
  <c r="T11" i="6"/>
  <c r="S11" i="6"/>
  <c r="R11" i="6"/>
  <c r="Q11" i="6"/>
  <c r="P11" i="6"/>
  <c r="O11" i="6"/>
  <c r="N11" i="6"/>
  <c r="M11" i="6"/>
  <c r="L11" i="6"/>
  <c r="K11" i="6"/>
  <c r="J11" i="6"/>
  <c r="I11" i="6"/>
  <c r="H11" i="6"/>
  <c r="G11" i="6"/>
  <c r="G12" i="6" s="1"/>
  <c r="G12" i="14" s="1"/>
  <c r="GF40" i="5"/>
  <c r="GF41" i="5"/>
  <c r="GG41" i="5" s="1"/>
  <c r="GG29" i="5"/>
  <c r="GF32" i="5"/>
  <c r="GF31" i="5"/>
  <c r="GD31" i="5"/>
  <c r="GD34" i="5" s="1"/>
  <c r="GI42" i="5" l="1"/>
  <c r="GH30" i="5"/>
  <c r="GI11" i="5"/>
  <c r="GJ8" i="5"/>
  <c r="GG40" i="5"/>
  <c r="GH41" i="5"/>
  <c r="GF34" i="5"/>
  <c r="GF37" i="5" s="1"/>
  <c r="GF43" i="5" s="1"/>
  <c r="GF45" i="5" s="1"/>
  <c r="GF48" i="5" s="1"/>
  <c r="GF54" i="5" s="1"/>
  <c r="GF103" i="5" s="1"/>
  <c r="GH29" i="5"/>
  <c r="GG31" i="5"/>
  <c r="GG32" i="5"/>
  <c r="GJ42" i="5" l="1"/>
  <c r="GI30" i="5"/>
  <c r="GH40" i="5"/>
  <c r="GI41" i="5"/>
  <c r="GJ11" i="5"/>
  <c r="GK8" i="5"/>
  <c r="G20" i="6"/>
  <c r="H20" i="6"/>
  <c r="I20" i="6"/>
  <c r="J20" i="6"/>
  <c r="K20" i="6"/>
  <c r="L20" i="6"/>
  <c r="M20" i="6"/>
  <c r="N20" i="6"/>
  <c r="O20" i="6"/>
  <c r="P20" i="6"/>
  <c r="Q20" i="6"/>
  <c r="R20" i="6"/>
  <c r="S20" i="6"/>
  <c r="T20" i="6"/>
  <c r="U20" i="6"/>
  <c r="G23" i="6"/>
  <c r="H23" i="6"/>
  <c r="I23" i="6"/>
  <c r="J23" i="6"/>
  <c r="K23" i="6"/>
  <c r="L23" i="6"/>
  <c r="M23" i="6"/>
  <c r="N23" i="6"/>
  <c r="O23" i="6"/>
  <c r="P23" i="6"/>
  <c r="Q23" i="6"/>
  <c r="R23" i="6"/>
  <c r="S23" i="6"/>
  <c r="T23" i="6"/>
  <c r="U23" i="6"/>
  <c r="GH31" i="5"/>
  <c r="GH32" i="5"/>
  <c r="GI29" i="5"/>
  <c r="GG34" i="5"/>
  <c r="GG37" i="5" s="1"/>
  <c r="GK42" i="5" l="1"/>
  <c r="GJ30" i="5"/>
  <c r="GI40" i="5"/>
  <c r="GJ41" i="5"/>
  <c r="GK11" i="5"/>
  <c r="GL8" i="5"/>
  <c r="GJ29" i="5"/>
  <c r="GI32" i="5"/>
  <c r="GI31" i="5"/>
  <c r="GG43" i="5"/>
  <c r="GG45" i="5" s="1"/>
  <c r="GG48" i="5" s="1"/>
  <c r="GG54" i="5" s="1"/>
  <c r="GG103" i="5" s="1"/>
  <c r="GH34" i="5"/>
  <c r="GL42" i="5" l="1"/>
  <c r="GK30" i="5"/>
  <c r="GL30" i="5" s="1"/>
  <c r="GM30" i="5" s="1"/>
  <c r="V11" i="6" s="1"/>
  <c r="GJ40" i="5"/>
  <c r="GK41" i="5"/>
  <c r="GL11" i="5"/>
  <c r="GM8" i="5"/>
  <c r="GK29" i="5"/>
  <c r="GJ31" i="5"/>
  <c r="GJ32" i="5"/>
  <c r="GH37" i="5"/>
  <c r="GI34" i="5"/>
  <c r="GI37" i="5" s="1"/>
  <c r="GI43" i="5" s="1"/>
  <c r="GI45" i="5" s="1"/>
  <c r="GI48" i="5" s="1"/>
  <c r="GI54" i="5" s="1"/>
  <c r="GI103" i="5" s="1"/>
  <c r="GM42" i="5" l="1"/>
  <c r="GK40" i="5"/>
  <c r="GL40" i="5" s="1"/>
  <c r="GM40" i="5" s="1"/>
  <c r="V20" i="6"/>
  <c r="GL41" i="5"/>
  <c r="GM11" i="5"/>
  <c r="GJ34" i="5"/>
  <c r="GJ37" i="5" s="1"/>
  <c r="GJ43" i="5" s="1"/>
  <c r="GJ45" i="5" s="1"/>
  <c r="GJ48" i="5" s="1"/>
  <c r="GJ54" i="5" s="1"/>
  <c r="GJ103" i="5" s="1"/>
  <c r="GL29" i="5"/>
  <c r="GK31" i="5"/>
  <c r="GK32" i="5"/>
  <c r="GH43" i="5"/>
  <c r="GH45" i="5" s="1"/>
  <c r="GH48" i="5" s="1"/>
  <c r="GH54" i="5" s="1"/>
  <c r="GH103" i="5" s="1"/>
  <c r="V22" i="6" l="1"/>
  <c r="GM41" i="5"/>
  <c r="V23" i="6"/>
  <c r="GK34" i="5"/>
  <c r="GK37" i="5" s="1"/>
  <c r="GK43" i="5" s="1"/>
  <c r="GK45" i="5" s="1"/>
  <c r="GK48" i="5" s="1"/>
  <c r="GK54" i="5" s="1"/>
  <c r="GK103" i="5" s="1"/>
  <c r="GL32" i="5"/>
  <c r="GL31" i="5"/>
  <c r="GM29" i="5"/>
  <c r="GM32" i="5" l="1"/>
  <c r="GM31" i="5"/>
  <c r="GL34" i="5"/>
  <c r="GL37" i="5" s="1"/>
  <c r="GL43" i="5" s="1"/>
  <c r="GL45" i="5" s="1"/>
  <c r="GL48" i="5" s="1"/>
  <c r="GL54" i="5" s="1"/>
  <c r="GL103" i="5" s="1"/>
  <c r="GM34" i="5" l="1"/>
  <c r="GM37" i="5" s="1"/>
  <c r="GM43" i="5" s="1"/>
  <c r="GM45" i="5" s="1"/>
  <c r="GM48" i="5" s="1"/>
  <c r="GM54" i="5" s="1"/>
  <c r="GM103" i="5" s="1"/>
  <c r="V10" i="6" l="1"/>
  <c r="U10" i="6"/>
  <c r="T10" i="6"/>
  <c r="S10" i="6"/>
  <c r="R10" i="6"/>
  <c r="Q10" i="6"/>
  <c r="P10" i="6"/>
  <c r="O10" i="6"/>
  <c r="N10" i="6"/>
  <c r="M10" i="6"/>
  <c r="L10" i="6"/>
  <c r="K10" i="6"/>
  <c r="K12" i="6" s="1"/>
  <c r="K12" i="14" s="1"/>
  <c r="J10" i="6"/>
  <c r="I10" i="6"/>
  <c r="H10" i="6"/>
  <c r="V12" i="6" l="1"/>
  <c r="V12" i="14" s="1"/>
  <c r="V13" i="6"/>
  <c r="U12" i="6"/>
  <c r="U12" i="14" s="1"/>
  <c r="U13" i="6"/>
  <c r="T13" i="6"/>
  <c r="T12" i="6"/>
  <c r="T12" i="14" s="1"/>
  <c r="S13" i="6"/>
  <c r="S12" i="6"/>
  <c r="S12" i="14" s="1"/>
  <c r="R12" i="6"/>
  <c r="R12" i="14" s="1"/>
  <c r="R13" i="6"/>
  <c r="Q12" i="6"/>
  <c r="Q12" i="14" s="1"/>
  <c r="Q13" i="6"/>
  <c r="P13" i="6"/>
  <c r="P12" i="6"/>
  <c r="P12" i="14" s="1"/>
  <c r="O13" i="6"/>
  <c r="O12" i="6"/>
  <c r="O12" i="14" s="1"/>
  <c r="N13" i="6"/>
  <c r="N12" i="6"/>
  <c r="N12" i="14" s="1"/>
  <c r="M12" i="6"/>
  <c r="M12" i="14" s="1"/>
  <c r="M13" i="6"/>
  <c r="L13" i="6"/>
  <c r="L12" i="6"/>
  <c r="L12" i="14" s="1"/>
  <c r="J12" i="6"/>
  <c r="J12" i="14" s="1"/>
  <c r="J13" i="6"/>
  <c r="K13" i="6"/>
  <c r="I13" i="6"/>
  <c r="I12" i="6"/>
  <c r="I12" i="14" s="1"/>
  <c r="H13" i="6"/>
  <c r="H12" i="6"/>
  <c r="H12" i="14" s="1"/>
  <c r="V15" i="6"/>
  <c r="V13" i="14" s="1"/>
  <c r="U15" i="6"/>
  <c r="U13" i="14" s="1"/>
  <c r="T15" i="6"/>
  <c r="T13" i="14" s="1"/>
  <c r="S15" i="6"/>
  <c r="S13" i="14" s="1"/>
  <c r="R15" i="6"/>
  <c r="R13" i="14" s="1"/>
  <c r="Q15" i="6"/>
  <c r="Q13" i="14" s="1"/>
  <c r="P15" i="6"/>
  <c r="P13" i="14" s="1"/>
  <c r="O15" i="6"/>
  <c r="O13" i="14" s="1"/>
  <c r="N15" i="6"/>
  <c r="N13" i="14" s="1"/>
  <c r="M15" i="6"/>
  <c r="M13" i="14" s="1"/>
  <c r="L15" i="6"/>
  <c r="L13" i="14" s="1"/>
  <c r="K15" i="6"/>
  <c r="K13" i="14" s="1"/>
  <c r="J15" i="6"/>
  <c r="J13" i="14" s="1"/>
  <c r="I15" i="6"/>
  <c r="I13" i="14" s="1"/>
  <c r="H15" i="6"/>
  <c r="H13" i="14" s="1"/>
  <c r="G15" i="6"/>
  <c r="G13" i="14" s="1"/>
  <c r="K17" i="6" l="1"/>
  <c r="K15" i="14" s="1"/>
  <c r="G17" i="6"/>
  <c r="G15" i="14" s="1"/>
  <c r="V17" i="6"/>
  <c r="V15" i="14" s="1"/>
  <c r="U17" i="6"/>
  <c r="U15" i="14" s="1"/>
  <c r="T17" i="6"/>
  <c r="T15" i="14" s="1"/>
  <c r="S17" i="6"/>
  <c r="S15" i="14" s="1"/>
  <c r="R17" i="6"/>
  <c r="R15" i="14" s="1"/>
  <c r="Q17" i="6"/>
  <c r="Q15" i="14" s="1"/>
  <c r="P17" i="6"/>
  <c r="P15" i="14" s="1"/>
  <c r="O17" i="6"/>
  <c r="O15" i="14" s="1"/>
  <c r="N17" i="6"/>
  <c r="N15" i="14" s="1"/>
  <c r="M17" i="6"/>
  <c r="M15" i="14" s="1"/>
  <c r="L17" i="6"/>
  <c r="L15" i="14" s="1"/>
  <c r="J17" i="6"/>
  <c r="J15" i="14" s="1"/>
  <c r="I17" i="6"/>
  <c r="I15" i="14" s="1"/>
  <c r="H17" i="6"/>
  <c r="H15" i="14" s="1"/>
  <c r="V19" i="6" l="1"/>
  <c r="V24" i="6" s="1"/>
  <c r="V17" i="14" s="1"/>
  <c r="V26" i="6" l="1"/>
  <c r="BN51" i="5"/>
  <c r="BN52" i="5" s="1"/>
  <c r="V18" i="14" l="1"/>
  <c r="V29" i="6"/>
  <c r="V22" i="14" s="1"/>
  <c r="V29" i="14" l="1"/>
  <c r="V19" i="14"/>
  <c r="ET51" i="5" l="1"/>
  <c r="ET52" i="5" l="1"/>
  <c r="GD51" i="5" l="1"/>
  <c r="CX51" i="5"/>
  <c r="R31" i="6" l="1"/>
  <c r="S31" i="6"/>
  <c r="T31" i="6"/>
  <c r="U31" i="6"/>
  <c r="G31" i="6"/>
  <c r="H31" i="6"/>
  <c r="I31" i="6"/>
  <c r="J31" i="6"/>
  <c r="K31" i="6"/>
  <c r="L31" i="6"/>
  <c r="M31" i="6"/>
  <c r="N31" i="6"/>
  <c r="O31" i="6"/>
  <c r="Q31" i="6"/>
  <c r="GD52" i="5"/>
  <c r="CX52" i="5"/>
  <c r="R32" i="6" l="1"/>
  <c r="R33" i="6" s="1"/>
  <c r="S32" i="6"/>
  <c r="S33" i="6" s="1"/>
  <c r="T32" i="6"/>
  <c r="T33" i="6" s="1"/>
  <c r="U32" i="6"/>
  <c r="U33" i="6" s="1"/>
  <c r="G32" i="6"/>
  <c r="H32" i="6"/>
  <c r="I32" i="6"/>
  <c r="J32" i="6"/>
  <c r="K32" i="6"/>
  <c r="L32" i="6"/>
  <c r="M32" i="6"/>
  <c r="N32" i="6"/>
  <c r="O32" i="6"/>
  <c r="Q32" i="6"/>
  <c r="Q33" i="6" s="1"/>
  <c r="F45" i="5" l="1"/>
  <c r="F101" i="5" s="1"/>
  <c r="F48" i="5" l="1"/>
  <c r="F54" i="5" s="1"/>
  <c r="F33" i="6" s="1"/>
  <c r="F100" i="5"/>
  <c r="F103" i="5" l="1"/>
  <c r="FU37" i="5" l="1"/>
  <c r="FU43" i="5" s="1"/>
  <c r="FU45" i="5" s="1"/>
  <c r="DT37" i="5"/>
  <c r="DT43" i="5" s="1"/>
  <c r="DT45" i="5" s="1"/>
  <c r="AQ37" i="5"/>
  <c r="BN37" i="5"/>
  <c r="BN43" i="5" s="1"/>
  <c r="BN45" i="5" s="1"/>
  <c r="AK37" i="5"/>
  <c r="AK43" i="5" s="1"/>
  <c r="AK45" i="5" s="1"/>
  <c r="FV37" i="5"/>
  <c r="FV43" i="5" s="1"/>
  <c r="FV45" i="5" s="1"/>
  <c r="CP37" i="5"/>
  <c r="CP43" i="5" s="1"/>
  <c r="CP45" i="5" s="1"/>
  <c r="EG37" i="5"/>
  <c r="EG43" i="5" s="1"/>
  <c r="EG45" i="5" s="1"/>
  <c r="BS37" i="5"/>
  <c r="BS43" i="5" s="1"/>
  <c r="BS45" i="5" s="1"/>
  <c r="DK37" i="5"/>
  <c r="BR37" i="5"/>
  <c r="BR43" i="5" s="1"/>
  <c r="BR45" i="5" s="1"/>
  <c r="BC37" i="5"/>
  <c r="AT37" i="5"/>
  <c r="AT43" i="5" s="1"/>
  <c r="AT45" i="5" s="1"/>
  <c r="DI37" i="5"/>
  <c r="DI43" i="5" s="1"/>
  <c r="DI45" i="5" s="1"/>
  <c r="DV37" i="5"/>
  <c r="DV43" i="5" s="1"/>
  <c r="DV45" i="5" s="1"/>
  <c r="EI37" i="5"/>
  <c r="EV37" i="5"/>
  <c r="EV43" i="5" s="1"/>
  <c r="EV45" i="5" s="1"/>
  <c r="EP37" i="5"/>
  <c r="EP43" i="5" s="1"/>
  <c r="EP45" i="5" s="1"/>
  <c r="ES37" i="5"/>
  <c r="ES43" i="5" s="1"/>
  <c r="ES45" i="5" s="1"/>
  <c r="FP37" i="5"/>
  <c r="FP43" i="5" s="1"/>
  <c r="FP45" i="5" s="1"/>
  <c r="EK37" i="5"/>
  <c r="EK43" i="5" s="1"/>
  <c r="EK45" i="5" s="1"/>
  <c r="CE37" i="5"/>
  <c r="CE43" i="5" s="1"/>
  <c r="CE45" i="5" s="1"/>
  <c r="CA37" i="5"/>
  <c r="BV37" i="5"/>
  <c r="BV43" i="5" s="1"/>
  <c r="BV45" i="5" s="1"/>
  <c r="AV37" i="5"/>
  <c r="AV43" i="5" s="1"/>
  <c r="AV45" i="5" s="1"/>
  <c r="AR37" i="5"/>
  <c r="AR43" i="5" s="1"/>
  <c r="AR45" i="5" s="1"/>
  <c r="AF37" i="5"/>
  <c r="AF43" i="5" s="1"/>
  <c r="AF45" i="5" s="1"/>
  <c r="EZ37" i="5"/>
  <c r="EZ43" i="5" s="1"/>
  <c r="EZ45" i="5" s="1"/>
  <c r="FJ37" i="5"/>
  <c r="FJ43" i="5" s="1"/>
  <c r="FJ45" i="5" s="1"/>
  <c r="I37" i="5"/>
  <c r="I43" i="5" s="1"/>
  <c r="I45" i="5" s="1"/>
  <c r="FR37" i="5"/>
  <c r="FR43" i="5" s="1"/>
  <c r="FR45" i="5" s="1"/>
  <c r="CB37" i="5"/>
  <c r="CB43" i="5" s="1"/>
  <c r="CB45" i="5" s="1"/>
  <c r="N37" i="5"/>
  <c r="N43" i="5" s="1"/>
  <c r="N45" i="5" s="1"/>
  <c r="AX37" i="5"/>
  <c r="AX43" i="5" s="1"/>
  <c r="AX45" i="5" s="1"/>
  <c r="BI37" i="5"/>
  <c r="BI43" i="5" s="1"/>
  <c r="BI45" i="5" s="1"/>
  <c r="DO37" i="5"/>
  <c r="DO43" i="5" s="1"/>
  <c r="DO45" i="5" s="1"/>
  <c r="AO37" i="5"/>
  <c r="AO43" i="5" s="1"/>
  <c r="AO45" i="5" s="1"/>
  <c r="FM37" i="5"/>
  <c r="FM43" i="5" s="1"/>
  <c r="FM45" i="5" s="1"/>
  <c r="FG37" i="5"/>
  <c r="EY37" i="5"/>
  <c r="EY43" i="5" s="1"/>
  <c r="EY45" i="5" s="1"/>
  <c r="DZ37" i="5"/>
  <c r="DZ43" i="5" s="1"/>
  <c r="DZ45" i="5" s="1"/>
  <c r="BF37" i="5"/>
  <c r="BF43" i="5" s="1"/>
  <c r="BF45" i="5" s="1"/>
  <c r="DH37" i="5"/>
  <c r="DH43" i="5" s="1"/>
  <c r="DH45" i="5" s="1"/>
  <c r="R37" i="5"/>
  <c r="R43" i="5" s="1"/>
  <c r="R45" i="5" s="1"/>
  <c r="AH37" i="5"/>
  <c r="AH43" i="5" s="1"/>
  <c r="AH45" i="5" s="1"/>
  <c r="CK37" i="5"/>
  <c r="CK43" i="5" s="1"/>
  <c r="CK45" i="5" s="1"/>
  <c r="BO37" i="5"/>
  <c r="CX37" i="5"/>
  <c r="CX43" i="5" s="1"/>
  <c r="CX45" i="5" s="1"/>
  <c r="DC37" i="5"/>
  <c r="DC43" i="5" s="1"/>
  <c r="DC45" i="5" s="1"/>
  <c r="EL37" i="5"/>
  <c r="EL43" i="5" s="1"/>
  <c r="EL45" i="5" s="1"/>
  <c r="EF37" i="5"/>
  <c r="EF43" i="5" s="1"/>
  <c r="EF45" i="5" s="1"/>
  <c r="AG37" i="5"/>
  <c r="AG43" i="5" s="1"/>
  <c r="AG45" i="5" s="1"/>
  <c r="CS37" i="5"/>
  <c r="CS43" i="5" s="1"/>
  <c r="CS45" i="5" s="1"/>
  <c r="CJ37" i="5"/>
  <c r="CJ43" i="5" s="1"/>
  <c r="CJ45" i="5" s="1"/>
  <c r="AY37" i="5"/>
  <c r="AY43" i="5" s="1"/>
  <c r="AY45" i="5" s="1"/>
  <c r="FN37" i="5"/>
  <c r="FN43" i="5" s="1"/>
  <c r="FN45" i="5" s="1"/>
  <c r="CC37" i="5"/>
  <c r="CC43" i="5" s="1"/>
  <c r="CC45" i="5" s="1"/>
  <c r="DY37" i="5"/>
  <c r="DY43" i="5" s="1"/>
  <c r="DY45" i="5" s="1"/>
  <c r="FT37" i="5"/>
  <c r="FT43" i="5" s="1"/>
  <c r="FT45" i="5" s="1"/>
  <c r="S37" i="5"/>
  <c r="CH37" i="5"/>
  <c r="CH43" i="5" s="1"/>
  <c r="CH45" i="5" s="1"/>
  <c r="CG37" i="5"/>
  <c r="CG43" i="5" s="1"/>
  <c r="CG45" i="5" s="1"/>
  <c r="H37" i="5"/>
  <c r="H43" i="5" s="1"/>
  <c r="H45" i="5" s="1"/>
  <c r="FF37" i="5"/>
  <c r="FF43" i="5" s="1"/>
  <c r="FF45" i="5" s="1"/>
  <c r="DE37" i="5"/>
  <c r="DE43" i="5" s="1"/>
  <c r="DE45" i="5" s="1"/>
  <c r="AW37" i="5"/>
  <c r="AW43" i="5" s="1"/>
  <c r="AW45" i="5" s="1"/>
  <c r="Z37" i="5"/>
  <c r="Z43" i="5" s="1"/>
  <c r="Z45" i="5" s="1"/>
  <c r="EJ37" i="5"/>
  <c r="EJ43" i="5" s="1"/>
  <c r="EJ45" i="5" s="1"/>
  <c r="DD37" i="5"/>
  <c r="DD43" i="5" s="1"/>
  <c r="DD45" i="5" s="1"/>
  <c r="AD37" i="5"/>
  <c r="AD43" i="5" s="1"/>
  <c r="AD45" i="5" s="1"/>
  <c r="EC37" i="5"/>
  <c r="EC43" i="5" s="1"/>
  <c r="EC45" i="5" s="1"/>
  <c r="FL37" i="5"/>
  <c r="FL43" i="5" s="1"/>
  <c r="FL45" i="5" s="1"/>
  <c r="CU37" i="5"/>
  <c r="CU43" i="5" s="1"/>
  <c r="CU45" i="5" s="1"/>
  <c r="CN37" i="5"/>
  <c r="CN43" i="5" s="1"/>
  <c r="CN45" i="5" s="1"/>
  <c r="BD37" i="5"/>
  <c r="BD43" i="5" s="1"/>
  <c r="BD45" i="5" s="1"/>
  <c r="O37" i="5"/>
  <c r="O43" i="5" s="1"/>
  <c r="O45" i="5" s="1"/>
  <c r="V37" i="5"/>
  <c r="V43" i="5" s="1"/>
  <c r="V45" i="5" s="1"/>
  <c r="FS37" i="5"/>
  <c r="FK37" i="5"/>
  <c r="FK43" i="5" s="1"/>
  <c r="FK45" i="5" s="1"/>
  <c r="BK37" i="5"/>
  <c r="BK43" i="5" s="1"/>
  <c r="BK45" i="5" s="1"/>
  <c r="CF37" i="5"/>
  <c r="CF43" i="5" s="1"/>
  <c r="CF45" i="5" s="1"/>
  <c r="FY37" i="5"/>
  <c r="FY43" i="5" s="1"/>
  <c r="FY45" i="5" s="1"/>
  <c r="BZ37" i="5"/>
  <c r="BZ43" i="5" s="1"/>
  <c r="BZ45" i="5" s="1"/>
  <c r="T37" i="5"/>
  <c r="T43" i="5" s="1"/>
  <c r="T45" i="5" s="1"/>
  <c r="AJ37" i="5"/>
  <c r="AJ43" i="5" s="1"/>
  <c r="AJ45" i="5" s="1"/>
  <c r="DG37" i="5"/>
  <c r="DG43" i="5" s="1"/>
  <c r="DG45" i="5" s="1"/>
  <c r="ET37" i="5"/>
  <c r="ET43" i="5" s="1"/>
  <c r="ET45" i="5" s="1"/>
  <c r="EN37" i="5"/>
  <c r="EN43" i="5" s="1"/>
  <c r="EN45" i="5" s="1"/>
  <c r="BY37" i="5"/>
  <c r="BY43" i="5" s="1"/>
  <c r="BY45" i="5" s="1"/>
  <c r="BB37" i="5"/>
  <c r="BB43" i="5" s="1"/>
  <c r="BB45" i="5" s="1"/>
  <c r="FD37" i="5"/>
  <c r="FD43" i="5" s="1"/>
  <c r="FD45" i="5" s="1"/>
  <c r="AE37" i="5"/>
  <c r="CQ37" i="5"/>
  <c r="CQ43" i="5" s="1"/>
  <c r="CQ45" i="5" s="1"/>
  <c r="EU37" i="5"/>
  <c r="BQ37" i="5"/>
  <c r="BQ43" i="5" s="1"/>
  <c r="BQ45" i="5" s="1"/>
  <c r="AM37" i="5"/>
  <c r="AM43" i="5" s="1"/>
  <c r="AM45" i="5" s="1"/>
  <c r="FQ37" i="5"/>
  <c r="FQ43" i="5" s="1"/>
  <c r="FQ45" i="5" s="1"/>
  <c r="AN37" i="5"/>
  <c r="AN43" i="5" s="1"/>
  <c r="AN45" i="5" s="1"/>
  <c r="ER37" i="5"/>
  <c r="ER43" i="5" s="1"/>
  <c r="ER45" i="5" s="1"/>
  <c r="AP37" i="5"/>
  <c r="AP43" i="5" s="1"/>
  <c r="AP45" i="5" s="1"/>
  <c r="Y37" i="5"/>
  <c r="Y43" i="5" s="1"/>
  <c r="Y45" i="5" s="1"/>
  <c r="BW37" i="5"/>
  <c r="BW43" i="5" s="1"/>
  <c r="BW45" i="5" s="1"/>
  <c r="CI37" i="5"/>
  <c r="CI43" i="5" s="1"/>
  <c r="CI45" i="5" s="1"/>
  <c r="BL37" i="5"/>
  <c r="BL43" i="5" s="1"/>
  <c r="BL45" i="5" s="1"/>
  <c r="EH37" i="5"/>
  <c r="EH43" i="5" s="1"/>
  <c r="EH45" i="5" s="1"/>
  <c r="AL37" i="5"/>
  <c r="AL43" i="5" s="1"/>
  <c r="AL45" i="5" s="1"/>
  <c r="BJ37" i="5"/>
  <c r="BJ43" i="5" s="1"/>
  <c r="BJ45" i="5" s="1"/>
  <c r="BG37" i="5"/>
  <c r="BG43" i="5" s="1"/>
  <c r="BG45" i="5" s="1"/>
  <c r="FI37" i="5"/>
  <c r="FI43" i="5" s="1"/>
  <c r="FI45" i="5" s="1"/>
  <c r="DQ37" i="5"/>
  <c r="DQ43" i="5" s="1"/>
  <c r="DQ45" i="5" s="1"/>
  <c r="GC37" i="5"/>
  <c r="GC43" i="5" s="1"/>
  <c r="GC45" i="5" s="1"/>
  <c r="GA37" i="5"/>
  <c r="GA43" i="5" s="1"/>
  <c r="GA45" i="5" s="1"/>
  <c r="DR37" i="5"/>
  <c r="DR43" i="5" s="1"/>
  <c r="DR45" i="5" s="1"/>
  <c r="FA37" i="5"/>
  <c r="FA43" i="5" s="1"/>
  <c r="FA45" i="5" s="1"/>
  <c r="BA37" i="5"/>
  <c r="BA43" i="5" s="1"/>
  <c r="BA45" i="5" s="1"/>
  <c r="AS37" i="5"/>
  <c r="AS43" i="5" s="1"/>
  <c r="AS45" i="5" s="1"/>
  <c r="DF37" i="5"/>
  <c r="DF43" i="5" s="1"/>
  <c r="DF45" i="5" s="1"/>
  <c r="CT37" i="5"/>
  <c r="CT43" i="5" s="1"/>
  <c r="CT45" i="5" s="1"/>
  <c r="BP37" i="5"/>
  <c r="BP43" i="5" s="1"/>
  <c r="BP45" i="5" s="1"/>
  <c r="GB37" i="5"/>
  <c r="GB43" i="5" s="1"/>
  <c r="GB45" i="5" s="1"/>
  <c r="DL37" i="5"/>
  <c r="DL43" i="5" s="1"/>
  <c r="DL45" i="5" s="1"/>
  <c r="CM37" i="5"/>
  <c r="P37" i="5"/>
  <c r="P43" i="5" s="1"/>
  <c r="P45" i="5" s="1"/>
  <c r="GD37" i="5"/>
  <c r="GD43" i="5" s="1"/>
  <c r="GD45" i="5" s="1"/>
  <c r="CZ37" i="5"/>
  <c r="CZ43" i="5" s="1"/>
  <c r="CZ45" i="5" s="1"/>
  <c r="X37" i="5"/>
  <c r="X43" i="5" s="1"/>
  <c r="X45" i="5" s="1"/>
  <c r="EO37" i="5"/>
  <c r="EO43" i="5" s="1"/>
  <c r="EO45" i="5" s="1"/>
  <c r="FH37" i="5"/>
  <c r="FH43" i="5" s="1"/>
  <c r="FH45" i="5" s="1"/>
  <c r="AA37" i="5"/>
  <c r="AA43" i="5" s="1"/>
  <c r="AA45" i="5" s="1"/>
  <c r="DJ37" i="5"/>
  <c r="DJ43" i="5" s="1"/>
  <c r="DJ45" i="5" s="1"/>
  <c r="FX37" i="5"/>
  <c r="FX43" i="5" s="1"/>
  <c r="FX45" i="5" s="1"/>
  <c r="BH37" i="5"/>
  <c r="BH43" i="5" s="1"/>
  <c r="BH45" i="5" s="1"/>
  <c r="U37" i="5"/>
  <c r="U43" i="5" s="1"/>
  <c r="U45" i="5" s="1"/>
  <c r="EE37" i="5"/>
  <c r="EE43" i="5" s="1"/>
  <c r="EE45" i="5" s="1"/>
  <c r="DU37" i="5"/>
  <c r="DU43" i="5" s="1"/>
  <c r="DU45" i="5" s="1"/>
  <c r="DP37" i="5"/>
  <c r="DP43" i="5" s="1"/>
  <c r="DP45" i="5" s="1"/>
  <c r="FO37" i="5"/>
  <c r="FO43" i="5" s="1"/>
  <c r="FO45" i="5" s="1"/>
  <c r="CO37" i="5"/>
  <c r="CO43" i="5" s="1"/>
  <c r="CO45" i="5" s="1"/>
  <c r="DM37" i="5"/>
  <c r="DM43" i="5" s="1"/>
  <c r="DM45" i="5" s="1"/>
  <c r="M37" i="5"/>
  <c r="CL37" i="5"/>
  <c r="CL43" i="5" s="1"/>
  <c r="CL45" i="5" s="1"/>
  <c r="DN37" i="5"/>
  <c r="DN43" i="5" s="1"/>
  <c r="DN45" i="5" s="1"/>
  <c r="W37" i="5"/>
  <c r="W43" i="5" s="1"/>
  <c r="W45" i="5" s="1"/>
  <c r="EW37" i="5"/>
  <c r="EW43" i="5" s="1"/>
  <c r="EW45" i="5" s="1"/>
  <c r="DX37" i="5"/>
  <c r="DX43" i="5" s="1"/>
  <c r="DX45" i="5" s="1"/>
  <c r="FW37" i="5"/>
  <c r="FW43" i="5" s="1"/>
  <c r="FW45" i="5" s="1"/>
  <c r="FC37" i="5"/>
  <c r="FC43" i="5" s="1"/>
  <c r="FC45" i="5" s="1"/>
  <c r="CW37" i="5"/>
  <c r="CW43" i="5" s="1"/>
  <c r="CW45" i="5" s="1"/>
  <c r="EX37" i="5"/>
  <c r="EX43" i="5" s="1"/>
  <c r="EX45" i="5" s="1"/>
  <c r="AZ37" i="5"/>
  <c r="AZ43" i="5" s="1"/>
  <c r="AZ45" i="5" s="1"/>
  <c r="BT37" i="5"/>
  <c r="BT43" i="5" s="1"/>
  <c r="BT45" i="5" s="1"/>
  <c r="CR37" i="5"/>
  <c r="CR43" i="5" s="1"/>
  <c r="CR45" i="5" s="1"/>
  <c r="BU37" i="5"/>
  <c r="BU43" i="5" s="1"/>
  <c r="BU45" i="5" s="1"/>
  <c r="AC37" i="5"/>
  <c r="AC43" i="5" s="1"/>
  <c r="AC45" i="5" s="1"/>
  <c r="AU37" i="5"/>
  <c r="AU43" i="5" s="1"/>
  <c r="AU45" i="5" s="1"/>
  <c r="J37" i="5"/>
  <c r="J43" i="5" s="1"/>
  <c r="J45" i="5" s="1"/>
  <c r="ED37" i="5"/>
  <c r="ED43" i="5" s="1"/>
  <c r="ED45" i="5" s="1"/>
  <c r="EB37" i="5"/>
  <c r="EB43" i="5" s="1"/>
  <c r="EB45" i="5" s="1"/>
  <c r="BE37" i="5"/>
  <c r="BE43" i="5" s="1"/>
  <c r="BE45" i="5" s="1"/>
  <c r="DA37" i="5"/>
  <c r="DA43" i="5" s="1"/>
  <c r="DA45" i="5" s="1"/>
  <c r="DW37" i="5"/>
  <c r="CV37" i="5"/>
  <c r="CV43" i="5" s="1"/>
  <c r="CV45" i="5" s="1"/>
  <c r="FZ37" i="5"/>
  <c r="FZ43" i="5" s="1"/>
  <c r="FZ45" i="5" s="1"/>
  <c r="CD37" i="5"/>
  <c r="CD43" i="5" s="1"/>
  <c r="CD45" i="5" s="1"/>
  <c r="K37" i="5"/>
  <c r="K43" i="5" s="1"/>
  <c r="K45" i="5" s="1"/>
  <c r="DB37" i="5"/>
  <c r="DB43" i="5" s="1"/>
  <c r="DB45" i="5" s="1"/>
  <c r="FE37" i="5"/>
  <c r="FE43" i="5" s="1"/>
  <c r="FE45" i="5" s="1"/>
  <c r="L37" i="5"/>
  <c r="L43" i="5" s="1"/>
  <c r="L45" i="5" s="1"/>
  <c r="Q37" i="5"/>
  <c r="Q43" i="5" s="1"/>
  <c r="Q45" i="5" s="1"/>
  <c r="AI37" i="5"/>
  <c r="AI43" i="5" s="1"/>
  <c r="AI45" i="5" s="1"/>
  <c r="G37" i="5"/>
  <c r="G43" i="5" s="1"/>
  <c r="G45" i="5" s="1"/>
  <c r="DS37" i="5"/>
  <c r="DS43" i="5" s="1"/>
  <c r="DS45" i="5" s="1"/>
  <c r="FB37" i="5"/>
  <c r="FB43" i="5" s="1"/>
  <c r="FB45" i="5" s="1"/>
  <c r="BM37" i="5"/>
  <c r="BM43" i="5" s="1"/>
  <c r="BM45" i="5" s="1"/>
  <c r="CY37" i="5"/>
  <c r="EM37" i="5"/>
  <c r="EM43" i="5" s="1"/>
  <c r="EM45" i="5" s="1"/>
  <c r="AB37" i="5"/>
  <c r="AB43" i="5" s="1"/>
  <c r="AB45" i="5" s="1"/>
  <c r="EA37" i="5"/>
  <c r="EA43" i="5" s="1"/>
  <c r="EA45" i="5" s="1"/>
  <c r="EQ37" i="5"/>
  <c r="EQ43" i="5" s="1"/>
  <c r="EQ45" i="5" s="1"/>
  <c r="BX37" i="5"/>
  <c r="BX43" i="5" s="1"/>
  <c r="BX45" i="5" s="1"/>
  <c r="AQ43" i="5" l="1"/>
  <c r="AQ45" i="5" s="1"/>
  <c r="AQ48" i="5" s="1"/>
  <c r="AQ54" i="5" s="1"/>
  <c r="AQ103" i="5" s="1"/>
  <c r="J19" i="6"/>
  <c r="J24" i="6" s="1"/>
  <c r="J17" i="14" s="1"/>
  <c r="DK43" i="5"/>
  <c r="DK45" i="5" s="1"/>
  <c r="DK48" i="5" s="1"/>
  <c r="DK54" i="5" s="1"/>
  <c r="DK103" i="5" s="1"/>
  <c r="P19" i="6"/>
  <c r="P24" i="6" s="1"/>
  <c r="P17" i="14" s="1"/>
  <c r="BC43" i="5"/>
  <c r="BC45" i="5" s="1"/>
  <c r="BC48" i="5" s="1"/>
  <c r="BC54" i="5" s="1"/>
  <c r="BC103" i="5" s="1"/>
  <c r="K19" i="6"/>
  <c r="K24" i="6" s="1"/>
  <c r="K17" i="14" s="1"/>
  <c r="EI43" i="5"/>
  <c r="EI45" i="5" s="1"/>
  <c r="EI48" i="5" s="1"/>
  <c r="EI54" i="5" s="1"/>
  <c r="EI103" i="5" s="1"/>
  <c r="R19" i="6"/>
  <c r="R24" i="6" s="1"/>
  <c r="R17" i="14" s="1"/>
  <c r="CA43" i="5"/>
  <c r="CA45" i="5" s="1"/>
  <c r="CA48" i="5" s="1"/>
  <c r="CA54" i="5" s="1"/>
  <c r="CA103" i="5" s="1"/>
  <c r="M19" i="6"/>
  <c r="M24" i="6" s="1"/>
  <c r="M17" i="14" s="1"/>
  <c r="FG43" i="5"/>
  <c r="FG45" i="5" s="1"/>
  <c r="FG48" i="5" s="1"/>
  <c r="FG54" i="5" s="1"/>
  <c r="FG103" i="5" s="1"/>
  <c r="T19" i="6"/>
  <c r="T24" i="6" s="1"/>
  <c r="T17" i="14" s="1"/>
  <c r="BO43" i="5"/>
  <c r="BO45" i="5" s="1"/>
  <c r="BO48" i="5" s="1"/>
  <c r="BO54" i="5" s="1"/>
  <c r="BO103" i="5" s="1"/>
  <c r="L19" i="6"/>
  <c r="L24" i="6" s="1"/>
  <c r="L17" i="14" s="1"/>
  <c r="S43" i="5"/>
  <c r="S45" i="5" s="1"/>
  <c r="S48" i="5" s="1"/>
  <c r="S54" i="5" s="1"/>
  <c r="S103" i="5" s="1"/>
  <c r="H19" i="6"/>
  <c r="H24" i="6" s="1"/>
  <c r="H17" i="14" s="1"/>
  <c r="FS43" i="5"/>
  <c r="FS45" i="5" s="1"/>
  <c r="FS48" i="5" s="1"/>
  <c r="FS54" i="5" s="1"/>
  <c r="FS103" i="5" s="1"/>
  <c r="U19" i="6"/>
  <c r="U24" i="6" s="1"/>
  <c r="U17" i="14" s="1"/>
  <c r="AE43" i="5"/>
  <c r="AE45" i="5" s="1"/>
  <c r="I19" i="6"/>
  <c r="I24" i="6" s="1"/>
  <c r="I17" i="14" s="1"/>
  <c r="EU43" i="5"/>
  <c r="EU45" i="5" s="1"/>
  <c r="EU48" i="5" s="1"/>
  <c r="EU54" i="5" s="1"/>
  <c r="EU103" i="5" s="1"/>
  <c r="S19" i="6"/>
  <c r="S24" i="6" s="1"/>
  <c r="S17" i="14" s="1"/>
  <c r="CM43" i="5"/>
  <c r="CM45" i="5" s="1"/>
  <c r="CM48" i="5" s="1"/>
  <c r="CM54" i="5" s="1"/>
  <c r="CM103" i="5" s="1"/>
  <c r="N19" i="6"/>
  <c r="N24" i="6" s="1"/>
  <c r="N17" i="14" s="1"/>
  <c r="M43" i="5"/>
  <c r="M45" i="5" s="1"/>
  <c r="M48" i="5" s="1"/>
  <c r="M54" i="5" s="1"/>
  <c r="M103" i="5" s="1"/>
  <c r="G19" i="6"/>
  <c r="G24" i="6" s="1"/>
  <c r="G17" i="14" s="1"/>
  <c r="DW43" i="5"/>
  <c r="DW45" i="5" s="1"/>
  <c r="DW48" i="5" s="1"/>
  <c r="DW54" i="5" s="1"/>
  <c r="DW103" i="5" s="1"/>
  <c r="Q19" i="6"/>
  <c r="Q24" i="6" s="1"/>
  <c r="Q17" i="14" s="1"/>
  <c r="CY43" i="5"/>
  <c r="CY45" i="5" s="1"/>
  <c r="CY48" i="5" s="1"/>
  <c r="CY54" i="5" s="1"/>
  <c r="CY103" i="5" s="1"/>
  <c r="O19" i="6"/>
  <c r="O24" i="6" s="1"/>
  <c r="O17" i="14" s="1"/>
  <c r="FU48" i="5"/>
  <c r="FU54" i="5" s="1"/>
  <c r="FU103" i="5" s="1"/>
  <c r="DT48" i="5"/>
  <c r="DT54" i="5" s="1"/>
  <c r="DT103" i="5" s="1"/>
  <c r="BN48" i="5"/>
  <c r="BN54" i="5" s="1"/>
  <c r="BN103" i="5" s="1"/>
  <c r="AK48" i="5"/>
  <c r="AK54" i="5" s="1"/>
  <c r="AK103" i="5" s="1"/>
  <c r="FV48" i="5"/>
  <c r="FV54" i="5" s="1"/>
  <c r="FV103" i="5" s="1"/>
  <c r="CP48" i="5"/>
  <c r="CP54" i="5" s="1"/>
  <c r="CP103" i="5" s="1"/>
  <c r="EG48" i="5"/>
  <c r="EG54" i="5" s="1"/>
  <c r="EG103" i="5" s="1"/>
  <c r="BS48" i="5"/>
  <c r="BS54" i="5" s="1"/>
  <c r="BS103" i="5" s="1"/>
  <c r="BR48" i="5"/>
  <c r="BR54" i="5" s="1"/>
  <c r="BR103" i="5" s="1"/>
  <c r="AT48" i="5"/>
  <c r="AT54" i="5" s="1"/>
  <c r="AT103" i="5" s="1"/>
  <c r="DI48" i="5"/>
  <c r="DI54" i="5" s="1"/>
  <c r="DI103" i="5" s="1"/>
  <c r="DV48" i="5"/>
  <c r="EV48" i="5"/>
  <c r="EV54" i="5" s="1"/>
  <c r="EV103" i="5" s="1"/>
  <c r="EP48" i="5"/>
  <c r="EP54" i="5" s="1"/>
  <c r="EP103" i="5" s="1"/>
  <c r="ES48" i="5"/>
  <c r="ES54" i="5" s="1"/>
  <c r="ES103" i="5" s="1"/>
  <c r="FP48" i="5"/>
  <c r="FP54" i="5" s="1"/>
  <c r="FP103" i="5" s="1"/>
  <c r="EK48" i="5"/>
  <c r="EK54" i="5" s="1"/>
  <c r="EK103" i="5" s="1"/>
  <c r="CE48" i="5"/>
  <c r="CE54" i="5" s="1"/>
  <c r="CE103" i="5" s="1"/>
  <c r="BV48" i="5"/>
  <c r="BV54" i="5" s="1"/>
  <c r="BV103" i="5" s="1"/>
  <c r="AV48" i="5"/>
  <c r="AV54" i="5" s="1"/>
  <c r="AV103" i="5" s="1"/>
  <c r="AR48" i="5"/>
  <c r="AR54" i="5" s="1"/>
  <c r="AR103" i="5" s="1"/>
  <c r="AF48" i="5"/>
  <c r="AF54" i="5" s="1"/>
  <c r="AF103" i="5" s="1"/>
  <c r="EZ48" i="5"/>
  <c r="EZ54" i="5" s="1"/>
  <c r="EZ103" i="5" s="1"/>
  <c r="FJ48" i="5"/>
  <c r="FJ54" i="5" s="1"/>
  <c r="FJ103" i="5" s="1"/>
  <c r="I48" i="5"/>
  <c r="I54" i="5" s="1"/>
  <c r="I103" i="5" s="1"/>
  <c r="FR48" i="5"/>
  <c r="FR54" i="5" s="1"/>
  <c r="FR103" i="5" s="1"/>
  <c r="CB48" i="5"/>
  <c r="CB54" i="5" s="1"/>
  <c r="CB103" i="5" s="1"/>
  <c r="N48" i="5"/>
  <c r="N54" i="5" s="1"/>
  <c r="N103" i="5" s="1"/>
  <c r="AX48" i="5"/>
  <c r="AX54" i="5" s="1"/>
  <c r="AX103" i="5" s="1"/>
  <c r="BI48" i="5"/>
  <c r="BI54" i="5" s="1"/>
  <c r="BI103" i="5" s="1"/>
  <c r="DO48" i="5"/>
  <c r="DO54" i="5" s="1"/>
  <c r="DO103" i="5" s="1"/>
  <c r="AO48" i="5"/>
  <c r="AO54" i="5" s="1"/>
  <c r="AO103" i="5" s="1"/>
  <c r="FM48" i="5"/>
  <c r="FM54" i="5" s="1"/>
  <c r="FM103" i="5" s="1"/>
  <c r="EY48" i="5"/>
  <c r="EY54" i="5" s="1"/>
  <c r="EY103" i="5" s="1"/>
  <c r="DZ48" i="5"/>
  <c r="DZ54" i="5" s="1"/>
  <c r="DZ103" i="5" s="1"/>
  <c r="BF48" i="5"/>
  <c r="BF54" i="5" s="1"/>
  <c r="BF103" i="5" s="1"/>
  <c r="DH48" i="5"/>
  <c r="DH54" i="5" s="1"/>
  <c r="DH103" i="5" s="1"/>
  <c r="R48" i="5"/>
  <c r="R54" i="5" s="1"/>
  <c r="R103" i="5" s="1"/>
  <c r="AH48" i="5"/>
  <c r="AH54" i="5" s="1"/>
  <c r="AH103" i="5" s="1"/>
  <c r="CK48" i="5"/>
  <c r="CK54" i="5" s="1"/>
  <c r="CK103" i="5" s="1"/>
  <c r="CX48" i="5"/>
  <c r="CX54" i="5" s="1"/>
  <c r="CX103" i="5" s="1"/>
  <c r="DC48" i="5"/>
  <c r="DC54" i="5" s="1"/>
  <c r="DC103" i="5" s="1"/>
  <c r="EL48" i="5"/>
  <c r="EL54" i="5" s="1"/>
  <c r="EL103" i="5" s="1"/>
  <c r="EF48" i="5"/>
  <c r="EF54" i="5" s="1"/>
  <c r="EF103" i="5" s="1"/>
  <c r="AG48" i="5"/>
  <c r="AG54" i="5" s="1"/>
  <c r="AG103" i="5" s="1"/>
  <c r="CS48" i="5"/>
  <c r="CS54" i="5" s="1"/>
  <c r="CS103" i="5" s="1"/>
  <c r="CJ48" i="5"/>
  <c r="CJ54" i="5" s="1"/>
  <c r="CJ103" i="5" s="1"/>
  <c r="AY48" i="5"/>
  <c r="AY54" i="5" s="1"/>
  <c r="AY103" i="5" s="1"/>
  <c r="FN48" i="5"/>
  <c r="FN54" i="5" s="1"/>
  <c r="FN103" i="5" s="1"/>
  <c r="CC48" i="5"/>
  <c r="CC54" i="5" s="1"/>
  <c r="CC103" i="5" s="1"/>
  <c r="DY48" i="5"/>
  <c r="DY54" i="5" s="1"/>
  <c r="DY103" i="5" s="1"/>
  <c r="FT48" i="5"/>
  <c r="FT54" i="5" s="1"/>
  <c r="FT103" i="5" s="1"/>
  <c r="CH48" i="5"/>
  <c r="CH54" i="5" s="1"/>
  <c r="CH103" i="5" s="1"/>
  <c r="CG48" i="5"/>
  <c r="CG54" i="5" s="1"/>
  <c r="CG103" i="5" s="1"/>
  <c r="H48" i="5"/>
  <c r="H54" i="5" s="1"/>
  <c r="H103" i="5" s="1"/>
  <c r="FF48" i="5"/>
  <c r="FF54" i="5" s="1"/>
  <c r="FF103" i="5" s="1"/>
  <c r="DE48" i="5"/>
  <c r="DE54" i="5" s="1"/>
  <c r="DE103" i="5" s="1"/>
  <c r="AW48" i="5"/>
  <c r="AW54" i="5" s="1"/>
  <c r="AW103" i="5" s="1"/>
  <c r="Z48" i="5"/>
  <c r="Z54" i="5" s="1"/>
  <c r="Z103" i="5" s="1"/>
  <c r="EJ48" i="5"/>
  <c r="EJ54" i="5" s="1"/>
  <c r="EJ103" i="5" s="1"/>
  <c r="DD48" i="5"/>
  <c r="DD54" i="5" s="1"/>
  <c r="DD103" i="5" s="1"/>
  <c r="AD48" i="5"/>
  <c r="AD54" i="5" s="1"/>
  <c r="AD103" i="5" s="1"/>
  <c r="EC48" i="5"/>
  <c r="EC54" i="5" s="1"/>
  <c r="EC103" i="5" s="1"/>
  <c r="FL48" i="5"/>
  <c r="FL54" i="5" s="1"/>
  <c r="FL103" i="5" s="1"/>
  <c r="CU48" i="5"/>
  <c r="CU54" i="5" s="1"/>
  <c r="CU103" i="5" s="1"/>
  <c r="CN48" i="5"/>
  <c r="CN54" i="5" s="1"/>
  <c r="CN103" i="5" s="1"/>
  <c r="BD48" i="5"/>
  <c r="BD54" i="5" s="1"/>
  <c r="BD103" i="5" s="1"/>
  <c r="O48" i="5"/>
  <c r="O54" i="5" s="1"/>
  <c r="O103" i="5" s="1"/>
  <c r="V48" i="5"/>
  <c r="V54" i="5" s="1"/>
  <c r="V103" i="5" s="1"/>
  <c r="FK48" i="5"/>
  <c r="FK54" i="5" s="1"/>
  <c r="FK103" i="5" s="1"/>
  <c r="BK48" i="5"/>
  <c r="BK54" i="5" s="1"/>
  <c r="BK103" i="5" s="1"/>
  <c r="CF48" i="5"/>
  <c r="CF54" i="5" s="1"/>
  <c r="CF103" i="5" s="1"/>
  <c r="FY48" i="5"/>
  <c r="FY54" i="5" s="1"/>
  <c r="FY103" i="5" s="1"/>
  <c r="BZ48" i="5"/>
  <c r="BZ54" i="5" s="1"/>
  <c r="BZ103" i="5" s="1"/>
  <c r="T48" i="5"/>
  <c r="T54" i="5" s="1"/>
  <c r="T103" i="5" s="1"/>
  <c r="AJ48" i="5"/>
  <c r="AJ54" i="5" s="1"/>
  <c r="AJ103" i="5" s="1"/>
  <c r="DG48" i="5"/>
  <c r="DG54" i="5" s="1"/>
  <c r="DG103" i="5" s="1"/>
  <c r="ET48" i="5"/>
  <c r="ET54" i="5" s="1"/>
  <c r="ET103" i="5" s="1"/>
  <c r="EN48" i="5"/>
  <c r="EN54" i="5" s="1"/>
  <c r="EN103" i="5" s="1"/>
  <c r="BY48" i="5"/>
  <c r="BY54" i="5" s="1"/>
  <c r="BY103" i="5" s="1"/>
  <c r="BB48" i="5"/>
  <c r="BB54" i="5" s="1"/>
  <c r="BB103" i="5" s="1"/>
  <c r="FD48" i="5"/>
  <c r="FD54" i="5" s="1"/>
  <c r="FD103" i="5" s="1"/>
  <c r="CQ48" i="5"/>
  <c r="CQ54" i="5" s="1"/>
  <c r="CQ103" i="5" s="1"/>
  <c r="BQ48" i="5"/>
  <c r="BQ54" i="5" s="1"/>
  <c r="BQ103" i="5" s="1"/>
  <c r="AM48" i="5"/>
  <c r="AM54" i="5" s="1"/>
  <c r="AM103" i="5" s="1"/>
  <c r="FQ48" i="5"/>
  <c r="FQ54" i="5" s="1"/>
  <c r="FQ103" i="5" s="1"/>
  <c r="AN48" i="5"/>
  <c r="AN54" i="5" s="1"/>
  <c r="AN103" i="5" s="1"/>
  <c r="ER48" i="5"/>
  <c r="ER54" i="5" s="1"/>
  <c r="ER103" i="5" s="1"/>
  <c r="AP48" i="5"/>
  <c r="AP54" i="5" s="1"/>
  <c r="AP103" i="5" s="1"/>
  <c r="Y48" i="5"/>
  <c r="Y54" i="5" s="1"/>
  <c r="Y103" i="5" s="1"/>
  <c r="BW48" i="5"/>
  <c r="BW54" i="5" s="1"/>
  <c r="BW103" i="5" s="1"/>
  <c r="CI48" i="5"/>
  <c r="CI54" i="5" s="1"/>
  <c r="CI103" i="5" s="1"/>
  <c r="BL48" i="5"/>
  <c r="BL54" i="5" s="1"/>
  <c r="BL103" i="5" s="1"/>
  <c r="EH48" i="5"/>
  <c r="EH54" i="5" s="1"/>
  <c r="EH103" i="5" s="1"/>
  <c r="AL48" i="5"/>
  <c r="AL54" i="5" s="1"/>
  <c r="AL103" i="5" s="1"/>
  <c r="BJ48" i="5"/>
  <c r="BJ54" i="5" s="1"/>
  <c r="BJ103" i="5" s="1"/>
  <c r="BG48" i="5"/>
  <c r="BG54" i="5" s="1"/>
  <c r="BG103" i="5" s="1"/>
  <c r="FI48" i="5"/>
  <c r="FI54" i="5" s="1"/>
  <c r="FI103" i="5" s="1"/>
  <c r="DQ48" i="5"/>
  <c r="DQ54" i="5" s="1"/>
  <c r="DQ103" i="5" s="1"/>
  <c r="GC48" i="5"/>
  <c r="GC54" i="5" s="1"/>
  <c r="GC103" i="5" s="1"/>
  <c r="GA48" i="5"/>
  <c r="GA54" i="5" s="1"/>
  <c r="GA103" i="5" s="1"/>
  <c r="DR48" i="5"/>
  <c r="DR54" i="5" s="1"/>
  <c r="DR103" i="5" s="1"/>
  <c r="FA48" i="5"/>
  <c r="FA54" i="5" s="1"/>
  <c r="FA103" i="5" s="1"/>
  <c r="BA48" i="5"/>
  <c r="BA54" i="5" s="1"/>
  <c r="BA103" i="5" s="1"/>
  <c r="AS48" i="5"/>
  <c r="AS54" i="5" s="1"/>
  <c r="AS103" i="5" s="1"/>
  <c r="DF48" i="5"/>
  <c r="DF54" i="5" s="1"/>
  <c r="DF103" i="5" s="1"/>
  <c r="CT48" i="5"/>
  <c r="CT54" i="5" s="1"/>
  <c r="CT103" i="5" s="1"/>
  <c r="BP48" i="5"/>
  <c r="BP54" i="5" s="1"/>
  <c r="BP103" i="5" s="1"/>
  <c r="GB48" i="5"/>
  <c r="GB54" i="5" s="1"/>
  <c r="GB103" i="5" s="1"/>
  <c r="DL48" i="5"/>
  <c r="DL54" i="5" s="1"/>
  <c r="DL103" i="5" s="1"/>
  <c r="P48" i="5"/>
  <c r="P54" i="5" s="1"/>
  <c r="P103" i="5" s="1"/>
  <c r="GD48" i="5"/>
  <c r="GD54" i="5" s="1"/>
  <c r="GD103" i="5" s="1"/>
  <c r="CZ48" i="5"/>
  <c r="CZ54" i="5" s="1"/>
  <c r="CZ103" i="5" s="1"/>
  <c r="X48" i="5"/>
  <c r="X54" i="5" s="1"/>
  <c r="X103" i="5" s="1"/>
  <c r="EO48" i="5"/>
  <c r="EO54" i="5" s="1"/>
  <c r="EO103" i="5" s="1"/>
  <c r="FH48" i="5"/>
  <c r="FH54" i="5" s="1"/>
  <c r="FH103" i="5" s="1"/>
  <c r="AA48" i="5"/>
  <c r="AA54" i="5" s="1"/>
  <c r="AA103" i="5" s="1"/>
  <c r="DJ48" i="5"/>
  <c r="DJ54" i="5" s="1"/>
  <c r="DJ103" i="5" s="1"/>
  <c r="FX48" i="5"/>
  <c r="FX54" i="5" s="1"/>
  <c r="FX103" i="5" s="1"/>
  <c r="BH48" i="5"/>
  <c r="BH54" i="5" s="1"/>
  <c r="BH103" i="5" s="1"/>
  <c r="U48" i="5"/>
  <c r="U54" i="5" s="1"/>
  <c r="U103" i="5" s="1"/>
  <c r="EE48" i="5"/>
  <c r="EE54" i="5" s="1"/>
  <c r="EE103" i="5" s="1"/>
  <c r="DU48" i="5"/>
  <c r="DU54" i="5" s="1"/>
  <c r="DU103" i="5" s="1"/>
  <c r="DP48" i="5"/>
  <c r="DP54" i="5" s="1"/>
  <c r="DP103" i="5" s="1"/>
  <c r="FO48" i="5"/>
  <c r="FO54" i="5" s="1"/>
  <c r="FO103" i="5" s="1"/>
  <c r="CO48" i="5"/>
  <c r="CO54" i="5" s="1"/>
  <c r="CO103" i="5" s="1"/>
  <c r="DM48" i="5"/>
  <c r="DM54" i="5" s="1"/>
  <c r="DM103" i="5" s="1"/>
  <c r="CL48" i="5"/>
  <c r="CL54" i="5" s="1"/>
  <c r="CL103" i="5" s="1"/>
  <c r="DN48" i="5"/>
  <c r="DN54" i="5" s="1"/>
  <c r="DN103" i="5" s="1"/>
  <c r="W48" i="5"/>
  <c r="W54" i="5" s="1"/>
  <c r="W103" i="5" s="1"/>
  <c r="EW48" i="5"/>
  <c r="EW54" i="5" s="1"/>
  <c r="EW103" i="5" s="1"/>
  <c r="DX48" i="5"/>
  <c r="DX54" i="5" s="1"/>
  <c r="DX103" i="5" s="1"/>
  <c r="FW48" i="5"/>
  <c r="FW54" i="5" s="1"/>
  <c r="FW103" i="5" s="1"/>
  <c r="FC48" i="5"/>
  <c r="FC54" i="5" s="1"/>
  <c r="FC103" i="5" s="1"/>
  <c r="CW48" i="5"/>
  <c r="CW54" i="5" s="1"/>
  <c r="CW103" i="5" s="1"/>
  <c r="EX48" i="5"/>
  <c r="EX54" i="5" s="1"/>
  <c r="EX103" i="5" s="1"/>
  <c r="AZ48" i="5"/>
  <c r="AZ54" i="5" s="1"/>
  <c r="AZ103" i="5" s="1"/>
  <c r="BT48" i="5"/>
  <c r="BT54" i="5" s="1"/>
  <c r="BT103" i="5" s="1"/>
  <c r="CR48" i="5"/>
  <c r="CR54" i="5" s="1"/>
  <c r="CR103" i="5" s="1"/>
  <c r="BU48" i="5"/>
  <c r="BU54" i="5" s="1"/>
  <c r="BU103" i="5" s="1"/>
  <c r="AC48" i="5"/>
  <c r="AC54" i="5" s="1"/>
  <c r="AC103" i="5" s="1"/>
  <c r="AU48" i="5"/>
  <c r="AU54" i="5" s="1"/>
  <c r="AU103" i="5" s="1"/>
  <c r="J48" i="5"/>
  <c r="J54" i="5" s="1"/>
  <c r="J103" i="5" s="1"/>
  <c r="ED48" i="5"/>
  <c r="ED54" i="5" s="1"/>
  <c r="ED103" i="5" s="1"/>
  <c r="EB48" i="5"/>
  <c r="EB54" i="5" s="1"/>
  <c r="EB103" i="5" s="1"/>
  <c r="BE48" i="5"/>
  <c r="BE54" i="5" s="1"/>
  <c r="BE103" i="5" s="1"/>
  <c r="DA48" i="5"/>
  <c r="DA54" i="5" s="1"/>
  <c r="DA103" i="5" s="1"/>
  <c r="CV48" i="5"/>
  <c r="CV54" i="5" s="1"/>
  <c r="CV103" i="5" s="1"/>
  <c r="FZ48" i="5"/>
  <c r="FZ54" i="5" s="1"/>
  <c r="FZ103" i="5" s="1"/>
  <c r="CD48" i="5"/>
  <c r="CD54" i="5" s="1"/>
  <c r="CD103" i="5" s="1"/>
  <c r="K48" i="5"/>
  <c r="K54" i="5" s="1"/>
  <c r="K103" i="5" s="1"/>
  <c r="DB48" i="5"/>
  <c r="DB54" i="5" s="1"/>
  <c r="DB103" i="5" s="1"/>
  <c r="FE48" i="5"/>
  <c r="FE54" i="5" s="1"/>
  <c r="FE103" i="5" s="1"/>
  <c r="L48" i="5"/>
  <c r="L54" i="5" s="1"/>
  <c r="L103" i="5" s="1"/>
  <c r="Q48" i="5"/>
  <c r="Q54" i="5" s="1"/>
  <c r="Q103" i="5" s="1"/>
  <c r="AI48" i="5"/>
  <c r="AI54" i="5" s="1"/>
  <c r="AI103" i="5" s="1"/>
  <c r="G48" i="5"/>
  <c r="G54" i="5" s="1"/>
  <c r="G103" i="5" s="1"/>
  <c r="DS48" i="5"/>
  <c r="DS54" i="5" s="1"/>
  <c r="DS103" i="5" s="1"/>
  <c r="FB48" i="5"/>
  <c r="FB54" i="5" s="1"/>
  <c r="FB103" i="5" s="1"/>
  <c r="BM48" i="5"/>
  <c r="BM54" i="5" s="1"/>
  <c r="BM103" i="5" s="1"/>
  <c r="EM48" i="5"/>
  <c r="EM54" i="5" s="1"/>
  <c r="EM103" i="5" s="1"/>
  <c r="AB48" i="5"/>
  <c r="AB54" i="5" s="1"/>
  <c r="AB103" i="5" s="1"/>
  <c r="EA48" i="5"/>
  <c r="EA54" i="5" s="1"/>
  <c r="EA103" i="5" s="1"/>
  <c r="EQ48" i="5"/>
  <c r="EQ54" i="5" s="1"/>
  <c r="EQ103" i="5" s="1"/>
  <c r="BX48" i="5"/>
  <c r="BX54" i="5" s="1"/>
  <c r="BX103" i="5" s="1"/>
  <c r="J26" i="6" l="1"/>
  <c r="J18" i="14" s="1"/>
  <c r="P26" i="6"/>
  <c r="P18" i="14" s="1"/>
  <c r="K26" i="6"/>
  <c r="K18" i="14" s="1"/>
  <c r="R26" i="6"/>
  <c r="R18" i="14" s="1"/>
  <c r="M26" i="6"/>
  <c r="M18" i="14" s="1"/>
  <c r="T26" i="6"/>
  <c r="T18" i="14" s="1"/>
  <c r="L26" i="6"/>
  <c r="L18" i="14" s="1"/>
  <c r="H26" i="6"/>
  <c r="H18" i="14" s="1"/>
  <c r="U26" i="6"/>
  <c r="U18" i="14" s="1"/>
  <c r="I26" i="6"/>
  <c r="I18" i="14" s="1"/>
  <c r="S26" i="6"/>
  <c r="S18" i="14" s="1"/>
  <c r="N26" i="6"/>
  <c r="N18" i="14" s="1"/>
  <c r="G26" i="6"/>
  <c r="G18" i="14" s="1"/>
  <c r="G19" i="14" s="1"/>
  <c r="Q26" i="6"/>
  <c r="Q18" i="14" s="1"/>
  <c r="O26" i="6"/>
  <c r="O18" i="14" s="1"/>
  <c r="AE48" i="5"/>
  <c r="AE54" i="5" s="1"/>
  <c r="AE103" i="5" s="1"/>
  <c r="I83" i="1"/>
  <c r="I84" i="1" s="1"/>
  <c r="J74" i="14" s="1"/>
  <c r="H58" i="5"/>
  <c r="I58" i="5"/>
  <c r="J58" i="5"/>
  <c r="K58" i="5"/>
  <c r="L58" i="5"/>
  <c r="M58" i="5"/>
  <c r="N58" i="5"/>
  <c r="O58" i="5"/>
  <c r="P58" i="5"/>
  <c r="Q58" i="5"/>
  <c r="R58" i="5"/>
  <c r="S58" i="5"/>
  <c r="T58" i="5"/>
  <c r="U58" i="5"/>
  <c r="V58" i="5"/>
  <c r="W58" i="5"/>
  <c r="X58" i="5"/>
  <c r="I95" i="1"/>
  <c r="L35" i="14" s="1"/>
  <c r="F53" i="5"/>
  <c r="J29" i="14" l="1"/>
  <c r="J19" i="14"/>
  <c r="P29" i="14"/>
  <c r="P19" i="14"/>
  <c r="K29" i="14"/>
  <c r="K19" i="14"/>
  <c r="R29" i="14"/>
  <c r="R19" i="14"/>
  <c r="M29" i="14"/>
  <c r="M19" i="14"/>
  <c r="T19" i="14"/>
  <c r="T29" i="14"/>
  <c r="L29" i="14"/>
  <c r="L19" i="14"/>
  <c r="H19" i="14"/>
  <c r="H29" i="14"/>
  <c r="U29" i="14"/>
  <c r="U19" i="14"/>
  <c r="I29" i="14"/>
  <c r="I19" i="14"/>
  <c r="S19" i="14"/>
  <c r="S29" i="14"/>
  <c r="N29" i="14"/>
  <c r="N19" i="14"/>
  <c r="Q19" i="14"/>
  <c r="Q29" i="14"/>
  <c r="O29" i="14"/>
  <c r="O19" i="14"/>
  <c r="J29" i="6"/>
  <c r="P29" i="6"/>
  <c r="P22" i="14" s="1"/>
  <c r="K29" i="6"/>
  <c r="K22" i="14" s="1"/>
  <c r="R29" i="6"/>
  <c r="R22" i="14" s="1"/>
  <c r="M29" i="6"/>
  <c r="M22" i="14" s="1"/>
  <c r="T29" i="6"/>
  <c r="T22" i="14" s="1"/>
  <c r="L29" i="6"/>
  <c r="L22" i="14" s="1"/>
  <c r="O29" i="6"/>
  <c r="H29" i="6"/>
  <c r="H22" i="14" s="1"/>
  <c r="U29" i="6"/>
  <c r="U22" i="14" s="1"/>
  <c r="I29" i="6"/>
  <c r="I22" i="14" s="1"/>
  <c r="S29" i="6"/>
  <c r="S22" i="14" s="1"/>
  <c r="N29" i="6"/>
  <c r="N22" i="14" s="1"/>
  <c r="G29" i="14"/>
  <c r="G29" i="6"/>
  <c r="G22" i="14" s="1"/>
  <c r="J5" i="6"/>
  <c r="L5" i="6" s="1"/>
  <c r="Q29" i="6"/>
  <c r="Q22" i="14" s="1"/>
  <c r="F64" i="5"/>
  <c r="I74" i="1"/>
  <c r="G96" i="5"/>
  <c r="H92" i="5" s="1"/>
  <c r="H96" i="5" s="1"/>
  <c r="I92" i="5" s="1"/>
  <c r="I96" i="5" s="1"/>
  <c r="J92" i="5" s="1"/>
  <c r="J96" i="5" s="1"/>
  <c r="K92" i="5" s="1"/>
  <c r="K96" i="5" s="1"/>
  <c r="L92" i="5" s="1"/>
  <c r="L96" i="5" s="1"/>
  <c r="M92" i="5" s="1"/>
  <c r="M96" i="5" s="1"/>
  <c r="N92" i="5" s="1"/>
  <c r="N96" i="5" s="1"/>
  <c r="O92" i="5" s="1"/>
  <c r="O96" i="5" s="1"/>
  <c r="P92" i="5" s="1"/>
  <c r="P96" i="5" s="1"/>
  <c r="Q92" i="5" s="1"/>
  <c r="Q96" i="5" s="1"/>
  <c r="R92" i="5" s="1"/>
  <c r="R96" i="5" s="1"/>
  <c r="S92" i="5" s="1"/>
  <c r="S96" i="5" s="1"/>
  <c r="T92" i="5" s="1"/>
  <c r="T96" i="5" s="1"/>
  <c r="U92" i="5" s="1"/>
  <c r="U96" i="5" s="1"/>
  <c r="V92" i="5" s="1"/>
  <c r="V96" i="5" s="1"/>
  <c r="W92" i="5" s="1"/>
  <c r="W96" i="5" s="1"/>
  <c r="G58" i="5"/>
  <c r="G36" i="6" s="1"/>
  <c r="O22" i="14" l="1"/>
  <c r="O33" i="6"/>
  <c r="J33" i="6"/>
  <c r="J22" i="14"/>
  <c r="GD93" i="5"/>
  <c r="GD57" i="5" s="1"/>
  <c r="GD101" i="5" s="1"/>
  <c r="DY93" i="5"/>
  <c r="DY57" i="5" s="1"/>
  <c r="DY101" i="5" s="1"/>
  <c r="BI94" i="5"/>
  <c r="BI58" i="5" s="1"/>
  <c r="DB93" i="5"/>
  <c r="DB57" i="5" s="1"/>
  <c r="DB101" i="5" s="1"/>
  <c r="J75" i="14"/>
  <c r="K33" i="6"/>
  <c r="M33" i="6"/>
  <c r="L33" i="6"/>
  <c r="X92" i="5"/>
  <c r="X96" i="5" s="1"/>
  <c r="Y92" i="5" s="1"/>
  <c r="H33" i="6"/>
  <c r="I33" i="6"/>
  <c r="N33" i="6"/>
  <c r="G33" i="6"/>
  <c r="F41" i="6"/>
  <c r="F65" i="5"/>
  <c r="FM93" i="5"/>
  <c r="FM57" i="5" s="1"/>
  <c r="FQ93" i="5"/>
  <c r="FQ57" i="5" s="1"/>
  <c r="BJ94" i="5"/>
  <c r="BJ58" i="5" s="1"/>
  <c r="GB93" i="5"/>
  <c r="GB94" i="5"/>
  <c r="GB58" i="5" s="1"/>
  <c r="GA93" i="5"/>
  <c r="GA94" i="5"/>
  <c r="GA58" i="5" s="1"/>
  <c r="FZ94" i="5"/>
  <c r="FZ58" i="5" s="1"/>
  <c r="FZ93" i="5"/>
  <c r="FY93" i="5"/>
  <c r="FY94" i="5"/>
  <c r="FY58" i="5" s="1"/>
  <c r="FX93" i="5"/>
  <c r="FX94" i="5"/>
  <c r="FX58" i="5" s="1"/>
  <c r="FW94" i="5"/>
  <c r="FW58" i="5" s="1"/>
  <c r="FW93" i="5"/>
  <c r="FV94" i="5"/>
  <c r="FV58" i="5" s="1"/>
  <c r="FV93" i="5"/>
  <c r="FU93" i="5"/>
  <c r="FU94" i="5"/>
  <c r="FU58" i="5" s="1"/>
  <c r="FT94" i="5"/>
  <c r="FT58" i="5" s="1"/>
  <c r="FT93" i="5"/>
  <c r="FS94" i="5"/>
  <c r="FS58" i="5" s="1"/>
  <c r="FS93" i="5"/>
  <c r="FR93" i="5"/>
  <c r="FR94" i="5"/>
  <c r="FR58" i="5" s="1"/>
  <c r="GC93" i="5"/>
  <c r="FQ94" i="5"/>
  <c r="FP93" i="5"/>
  <c r="FP94" i="5"/>
  <c r="FP58" i="5" s="1"/>
  <c r="FO93" i="5"/>
  <c r="FO94" i="5"/>
  <c r="FO58" i="5" s="1"/>
  <c r="FN94" i="5"/>
  <c r="FN58" i="5" s="1"/>
  <c r="FN93" i="5"/>
  <c r="FM94" i="5"/>
  <c r="FL93" i="5"/>
  <c r="FL57" i="5" s="1"/>
  <c r="EX93" i="5"/>
  <c r="EX94" i="5"/>
  <c r="EX58" i="5" s="1"/>
  <c r="EW93" i="5"/>
  <c r="EW94" i="5"/>
  <c r="EW58" i="5" s="1"/>
  <c r="EV93" i="5"/>
  <c r="EV94" i="5"/>
  <c r="EV58" i="5" s="1"/>
  <c r="EU93" i="5"/>
  <c r="EU94" i="5"/>
  <c r="EU58" i="5" s="1"/>
  <c r="ET93" i="5"/>
  <c r="ET94" i="5"/>
  <c r="ET58" i="5" s="1"/>
  <c r="ES93" i="5"/>
  <c r="ES94" i="5"/>
  <c r="ES58" i="5" s="1"/>
  <c r="ER93" i="5"/>
  <c r="ER94" i="5"/>
  <c r="ER58" i="5" s="1"/>
  <c r="EQ93" i="5"/>
  <c r="EQ57" i="5" s="1"/>
  <c r="GD94" i="5"/>
  <c r="GC94" i="5"/>
  <c r="GC58" i="5" s="1"/>
  <c r="BK94" i="5"/>
  <c r="BK58" i="5" s="1"/>
  <c r="FK93" i="5"/>
  <c r="FK94" i="5"/>
  <c r="FK58" i="5" s="1"/>
  <c r="FJ93" i="5"/>
  <c r="FJ94" i="5"/>
  <c r="FJ58" i="5" s="1"/>
  <c r="EE94" i="5"/>
  <c r="EE58" i="5" s="1"/>
  <c r="EC93" i="5"/>
  <c r="EB93" i="5"/>
  <c r="EB94" i="5"/>
  <c r="EB58" i="5" s="1"/>
  <c r="DZ93" i="5"/>
  <c r="DY94" i="5"/>
  <c r="DX93" i="5"/>
  <c r="DW93" i="5"/>
  <c r="DV93" i="5"/>
  <c r="DU94" i="5"/>
  <c r="DT94" i="5"/>
  <c r="DS94" i="5"/>
  <c r="DR93" i="5"/>
  <c r="DQ94" i="5"/>
  <c r="DP94" i="5"/>
  <c r="DP58" i="5" s="1"/>
  <c r="AM94" i="5"/>
  <c r="AM58" i="5" s="1"/>
  <c r="AO93" i="5"/>
  <c r="AP94" i="5"/>
  <c r="AP58" i="5" s="1"/>
  <c r="AR93" i="5"/>
  <c r="AS93" i="5"/>
  <c r="AU93" i="5"/>
  <c r="AV93" i="5"/>
  <c r="AW94" i="5"/>
  <c r="AW58" i="5" s="1"/>
  <c r="AY93" i="5"/>
  <c r="AZ93" i="5"/>
  <c r="AZ94" i="5"/>
  <c r="AZ58" i="5" s="1"/>
  <c r="BB93" i="5"/>
  <c r="BB94" i="5"/>
  <c r="BB58" i="5" s="1"/>
  <c r="BD94" i="5"/>
  <c r="BD58" i="5" s="1"/>
  <c r="BF94" i="5"/>
  <c r="BF58" i="5" s="1"/>
  <c r="BH93" i="5"/>
  <c r="BI93" i="5"/>
  <c r="BK93" i="5"/>
  <c r="BL94" i="5"/>
  <c r="BL58" i="5" s="1"/>
  <c r="BM93" i="5"/>
  <c r="BN93" i="5"/>
  <c r="BO93" i="5"/>
  <c r="BP93" i="5"/>
  <c r="BQ94" i="5"/>
  <c r="GE93" i="5"/>
  <c r="GE94" i="5"/>
  <c r="GE58" i="5" s="1"/>
  <c r="GF94" i="5"/>
  <c r="GF58" i="5" s="1"/>
  <c r="GF93" i="5"/>
  <c r="GG94" i="5"/>
  <c r="GG58" i="5" s="1"/>
  <c r="GG93" i="5"/>
  <c r="GH94" i="5"/>
  <c r="GH58" i="5" s="1"/>
  <c r="GH93" i="5"/>
  <c r="GI94" i="5"/>
  <c r="GI58" i="5" s="1"/>
  <c r="GI93" i="5"/>
  <c r="FI94" i="5"/>
  <c r="FI58" i="5" s="1"/>
  <c r="FH93" i="5"/>
  <c r="FH94" i="5"/>
  <c r="FH58" i="5" s="1"/>
  <c r="FG94" i="5"/>
  <c r="FG58" i="5" s="1"/>
  <c r="FF93" i="5"/>
  <c r="FF94" i="5"/>
  <c r="FF58" i="5" s="1"/>
  <c r="FE94" i="5"/>
  <c r="FE58" i="5" s="1"/>
  <c r="FD94" i="5"/>
  <c r="FD58" i="5" s="1"/>
  <c r="FD93" i="5"/>
  <c r="FC93" i="5"/>
  <c r="FB94" i="5"/>
  <c r="FB58" i="5" s="1"/>
  <c r="FB93" i="5"/>
  <c r="FA94" i="5"/>
  <c r="FA58" i="5" s="1"/>
  <c r="EZ93" i="5"/>
  <c r="EZ94" i="5"/>
  <c r="EZ58" i="5" s="1"/>
  <c r="EY93" i="5"/>
  <c r="EY94" i="5"/>
  <c r="EY58" i="5" s="1"/>
  <c r="GJ93" i="5"/>
  <c r="GJ94" i="5"/>
  <c r="GJ58" i="5" s="1"/>
  <c r="GK93" i="5"/>
  <c r="GK94" i="5"/>
  <c r="GK58" i="5" s="1"/>
  <c r="GL94" i="5"/>
  <c r="GL58" i="5" s="1"/>
  <c r="GL93" i="5"/>
  <c r="GM94" i="5"/>
  <c r="GM58" i="5" s="1"/>
  <c r="GM93" i="5"/>
  <c r="FI93" i="5"/>
  <c r="FG93" i="5"/>
  <c r="FE93" i="5"/>
  <c r="FC94" i="5"/>
  <c r="FC58" i="5" s="1"/>
  <c r="FA93" i="5"/>
  <c r="EQ94" i="5"/>
  <c r="EP94" i="5"/>
  <c r="EP58" i="5" s="1"/>
  <c r="EP93" i="5"/>
  <c r="EO93" i="5"/>
  <c r="EO94" i="5"/>
  <c r="EO58" i="5" s="1"/>
  <c r="EN93" i="5"/>
  <c r="EN94" i="5"/>
  <c r="EN58" i="5" s="1"/>
  <c r="EM93" i="5"/>
  <c r="EM94" i="5"/>
  <c r="EM58" i="5" s="1"/>
  <c r="EL94" i="5"/>
  <c r="EL58" i="5" s="1"/>
  <c r="EL93" i="5"/>
  <c r="EK93" i="5"/>
  <c r="EK94" i="5"/>
  <c r="EK58" i="5" s="1"/>
  <c r="EJ93" i="5"/>
  <c r="EJ94" i="5"/>
  <c r="EJ58" i="5" s="1"/>
  <c r="EI93" i="5"/>
  <c r="EI94" i="5"/>
  <c r="EI58" i="5" s="1"/>
  <c r="EH93" i="5"/>
  <c r="EH94" i="5"/>
  <c r="EH58" i="5" s="1"/>
  <c r="EG94" i="5"/>
  <c r="EG58" i="5" s="1"/>
  <c r="EG93" i="5"/>
  <c r="EF94" i="5"/>
  <c r="EF58" i="5" s="1"/>
  <c r="EF93" i="5"/>
  <c r="EE93" i="5"/>
  <c r="ED93" i="5"/>
  <c r="ED94" i="5"/>
  <c r="ED58" i="5" s="1"/>
  <c r="EC94" i="5"/>
  <c r="EC58" i="5" s="1"/>
  <c r="EA93" i="5"/>
  <c r="EA94" i="5"/>
  <c r="EA58" i="5" s="1"/>
  <c r="DZ94" i="5"/>
  <c r="DZ58" i="5" s="1"/>
  <c r="DX94" i="5"/>
  <c r="DX58" i="5" s="1"/>
  <c r="DW94" i="5"/>
  <c r="DW58" i="5" s="1"/>
  <c r="DV94" i="5"/>
  <c r="DV58" i="5" s="1"/>
  <c r="DU93" i="5"/>
  <c r="DU57" i="5" s="1"/>
  <c r="DT93" i="5"/>
  <c r="DT57" i="5" s="1"/>
  <c r="DS93" i="5"/>
  <c r="DS57" i="5" s="1"/>
  <c r="DR94" i="5"/>
  <c r="DR58" i="5" s="1"/>
  <c r="DQ93" i="5"/>
  <c r="DQ57" i="5" s="1"/>
  <c r="DP93" i="5"/>
  <c r="DO94" i="5"/>
  <c r="DO58" i="5" s="1"/>
  <c r="AN93" i="5"/>
  <c r="AO94" i="5"/>
  <c r="AO58" i="5" s="1"/>
  <c r="AQ93" i="5"/>
  <c r="AR94" i="5"/>
  <c r="AR58" i="5" s="1"/>
  <c r="AT93" i="5"/>
  <c r="AU94" i="5"/>
  <c r="AU58" i="5" s="1"/>
  <c r="BR94" i="5"/>
  <c r="BR58" i="5" s="1"/>
  <c r="BV94" i="5"/>
  <c r="BV58" i="5" s="1"/>
  <c r="BY93" i="5"/>
  <c r="CB93" i="5"/>
  <c r="CD94" i="5"/>
  <c r="CD58" i="5" s="1"/>
  <c r="AW93" i="5"/>
  <c r="AX94" i="5"/>
  <c r="AX58" i="5" s="1"/>
  <c r="BC94" i="5"/>
  <c r="BC58" i="5" s="1"/>
  <c r="BE93" i="5"/>
  <c r="BF93" i="5"/>
  <c r="BG94" i="5"/>
  <c r="BG58" i="5" s="1"/>
  <c r="CT93" i="5"/>
  <c r="FL94" i="5"/>
  <c r="BL93" i="5"/>
  <c r="BM94" i="5"/>
  <c r="BM58" i="5" s="1"/>
  <c r="BO94" i="5"/>
  <c r="BO58" i="5" s="1"/>
  <c r="BR93" i="5"/>
  <c r="BS93" i="5"/>
  <c r="BS94" i="5"/>
  <c r="BS58" i="5" s="1"/>
  <c r="BU93" i="5"/>
  <c r="BU94" i="5"/>
  <c r="BU58" i="5" s="1"/>
  <c r="BW93" i="5"/>
  <c r="BW94" i="5"/>
  <c r="BW58" i="5" s="1"/>
  <c r="BY94" i="5"/>
  <c r="BY58" i="5" s="1"/>
  <c r="BZ94" i="5"/>
  <c r="BZ58" i="5" s="1"/>
  <c r="CA93" i="5"/>
  <c r="CB94" i="5"/>
  <c r="CB58" i="5" s="1"/>
  <c r="CC93" i="5"/>
  <c r="CD93" i="5"/>
  <c r="CE94" i="5"/>
  <c r="CF94" i="5"/>
  <c r="CF58" i="5" s="1"/>
  <c r="CG94" i="5"/>
  <c r="CG58" i="5" s="1"/>
  <c r="CH93" i="5"/>
  <c r="CI93" i="5"/>
  <c r="CJ93" i="5"/>
  <c r="CK93" i="5"/>
  <c r="CL94" i="5"/>
  <c r="CL58" i="5" s="1"/>
  <c r="CM93" i="5"/>
  <c r="CN94" i="5"/>
  <c r="CN58" i="5" s="1"/>
  <c r="CO94" i="5"/>
  <c r="CO58" i="5" s="1"/>
  <c r="CP93" i="5"/>
  <c r="CQ93" i="5"/>
  <c r="CR94" i="5"/>
  <c r="CR58" i="5" s="1"/>
  <c r="CS93" i="5"/>
  <c r="X61" i="5"/>
  <c r="I86" i="1"/>
  <c r="J78" i="14" s="1"/>
  <c r="DO93" i="5"/>
  <c r="DN94" i="5"/>
  <c r="DN58" i="5" s="1"/>
  <c r="DN93" i="5"/>
  <c r="DM93" i="5"/>
  <c r="DM94" i="5"/>
  <c r="DM58" i="5" s="1"/>
  <c r="DL93" i="5"/>
  <c r="DL94" i="5"/>
  <c r="DL58" i="5" s="1"/>
  <c r="DK93" i="5"/>
  <c r="DK94" i="5"/>
  <c r="DK58" i="5" s="1"/>
  <c r="DJ94" i="5"/>
  <c r="DJ58" i="5" s="1"/>
  <c r="DJ93" i="5"/>
  <c r="DI94" i="5"/>
  <c r="DI58" i="5" s="1"/>
  <c r="DI93" i="5"/>
  <c r="DH93" i="5"/>
  <c r="DH94" i="5"/>
  <c r="DH58" i="5" s="1"/>
  <c r="DG93" i="5"/>
  <c r="DG94" i="5"/>
  <c r="DG58" i="5" s="1"/>
  <c r="BQ93" i="5"/>
  <c r="BQ57" i="5" s="1"/>
  <c r="BQ101" i="5" s="1"/>
  <c r="BT94" i="5"/>
  <c r="BT58" i="5" s="1"/>
  <c r="BX94" i="5"/>
  <c r="BX58" i="5" s="1"/>
  <c r="CA94" i="5"/>
  <c r="CA58" i="5" s="1"/>
  <c r="CE93" i="5"/>
  <c r="CE57" i="5" s="1"/>
  <c r="CE101" i="5" s="1"/>
  <c r="DF93" i="5"/>
  <c r="DF94" i="5"/>
  <c r="DF58" i="5" s="1"/>
  <c r="DE93" i="5"/>
  <c r="DE94" i="5"/>
  <c r="DE58" i="5" s="1"/>
  <c r="DD93" i="5"/>
  <c r="DD94" i="5"/>
  <c r="DD58" i="5" s="1"/>
  <c r="DC93" i="5"/>
  <c r="DC94" i="5"/>
  <c r="DC58" i="5" s="1"/>
  <c r="CT94" i="5"/>
  <c r="CT58" i="5" s="1"/>
  <c r="DB94" i="5"/>
  <c r="DA93" i="5"/>
  <c r="DA94" i="5"/>
  <c r="DA58" i="5" s="1"/>
  <c r="CZ93" i="5"/>
  <c r="CZ94" i="5"/>
  <c r="CZ58" i="5" s="1"/>
  <c r="CY94" i="5"/>
  <c r="CY58" i="5" s="1"/>
  <c r="CY93" i="5"/>
  <c r="CX93" i="5"/>
  <c r="CX94" i="5"/>
  <c r="CX58" i="5" s="1"/>
  <c r="CW93" i="5"/>
  <c r="CW94" i="5"/>
  <c r="CW58" i="5" s="1"/>
  <c r="CV94" i="5"/>
  <c r="CV58" i="5" s="1"/>
  <c r="CV93" i="5"/>
  <c r="CU94" i="5"/>
  <c r="CU58" i="5" s="1"/>
  <c r="CU93" i="5"/>
  <c r="Y94" i="5"/>
  <c r="Y93" i="5"/>
  <c r="Z94" i="5"/>
  <c r="Z58" i="5" s="1"/>
  <c r="Z93" i="5"/>
  <c r="AA93" i="5"/>
  <c r="AA94" i="5"/>
  <c r="AA58" i="5" s="1"/>
  <c r="AB94" i="5"/>
  <c r="AB58" i="5" s="1"/>
  <c r="AB93" i="5"/>
  <c r="AC93" i="5"/>
  <c r="AC94" i="5"/>
  <c r="AC58" i="5" s="1"/>
  <c r="AD93" i="5"/>
  <c r="AD94" i="5"/>
  <c r="AD58" i="5" s="1"/>
  <c r="AE93" i="5"/>
  <c r="AE94" i="5"/>
  <c r="AE58" i="5" s="1"/>
  <c r="AF93" i="5"/>
  <c r="AF94" i="5"/>
  <c r="AF58" i="5" s="1"/>
  <c r="AG93" i="5"/>
  <c r="AG94" i="5"/>
  <c r="AG58" i="5" s="1"/>
  <c r="AH93" i="5"/>
  <c r="AH94" i="5"/>
  <c r="AH58" i="5" s="1"/>
  <c r="AI93" i="5"/>
  <c r="AI94" i="5"/>
  <c r="AI58" i="5" s="1"/>
  <c r="AJ93" i="5"/>
  <c r="AJ94" i="5"/>
  <c r="AJ58" i="5" s="1"/>
  <c r="AK93" i="5"/>
  <c r="AT94" i="5"/>
  <c r="AT58" i="5" s="1"/>
  <c r="AV94" i="5"/>
  <c r="AV58" i="5" s="1"/>
  <c r="AY94" i="5"/>
  <c r="AY58" i="5" s="1"/>
  <c r="BA93" i="5"/>
  <c r="BA94" i="5"/>
  <c r="BA58" i="5" s="1"/>
  <c r="BD93" i="5"/>
  <c r="BE94" i="5"/>
  <c r="BE58" i="5" s="1"/>
  <c r="BG93" i="5"/>
  <c r="BJ93" i="5"/>
  <c r="BN94" i="5"/>
  <c r="BN58" i="5" s="1"/>
  <c r="BP94" i="5"/>
  <c r="BP58" i="5" s="1"/>
  <c r="BT93" i="5"/>
  <c r="BX93" i="5"/>
  <c r="BZ93" i="5"/>
  <c r="CC94" i="5"/>
  <c r="CC58" i="5" s="1"/>
  <c r="CS94" i="5"/>
  <c r="CS58" i="5" s="1"/>
  <c r="AK94" i="5"/>
  <c r="AK58" i="5" s="1"/>
  <c r="AL94" i="5"/>
  <c r="AL58" i="5" s="1"/>
  <c r="AL93" i="5"/>
  <c r="AM93" i="5"/>
  <c r="AN94" i="5"/>
  <c r="AN58" i="5" s="1"/>
  <c r="AP93" i="5"/>
  <c r="AQ94" i="5"/>
  <c r="AQ58" i="5" s="1"/>
  <c r="AS94" i="5"/>
  <c r="AS58" i="5" s="1"/>
  <c r="AX93" i="5"/>
  <c r="BC93" i="5"/>
  <c r="BH94" i="5"/>
  <c r="BH58" i="5" s="1"/>
  <c r="BV93" i="5"/>
  <c r="X64" i="5"/>
  <c r="CF93" i="5"/>
  <c r="CG93" i="5"/>
  <c r="CH94" i="5"/>
  <c r="CH58" i="5" s="1"/>
  <c r="CI94" i="5"/>
  <c r="CI58" i="5" s="1"/>
  <c r="CJ94" i="5"/>
  <c r="CJ58" i="5" s="1"/>
  <c r="CK94" i="5"/>
  <c r="CK58" i="5" s="1"/>
  <c r="CL93" i="5"/>
  <c r="CM94" i="5"/>
  <c r="CM58" i="5" s="1"/>
  <c r="CN93" i="5"/>
  <c r="CO93" i="5"/>
  <c r="CP94" i="5"/>
  <c r="CP58" i="5" s="1"/>
  <c r="CQ94" i="5"/>
  <c r="CQ58" i="5" s="1"/>
  <c r="CR93" i="5"/>
  <c r="U44" i="6"/>
  <c r="U28" i="14" s="1"/>
  <c r="T44" i="6"/>
  <c r="T28" i="14" s="1"/>
  <c r="T42" i="6"/>
  <c r="U32" i="2" s="1"/>
  <c r="S44" i="6"/>
  <c r="S28" i="14" s="1"/>
  <c r="S42" i="6"/>
  <c r="T32" i="2" s="1"/>
  <c r="R44" i="6"/>
  <c r="R28" i="14" s="1"/>
  <c r="R42" i="6"/>
  <c r="S32" i="2" s="1"/>
  <c r="Q44" i="6"/>
  <c r="Q28" i="14" s="1"/>
  <c r="Q42" i="6"/>
  <c r="R32" i="2" s="1"/>
  <c r="G53" i="5"/>
  <c r="I32" i="1" l="1"/>
  <c r="GB57" i="5"/>
  <c r="GB97" i="5"/>
  <c r="GA57" i="5"/>
  <c r="GA97" i="5"/>
  <c r="FZ57" i="5"/>
  <c r="FZ97" i="5"/>
  <c r="FY57" i="5"/>
  <c r="FY97" i="5"/>
  <c r="FX57" i="5"/>
  <c r="FX97" i="5"/>
  <c r="FW57" i="5"/>
  <c r="FW97" i="5"/>
  <c r="FV57" i="5"/>
  <c r="FV97" i="5"/>
  <c r="FU57" i="5"/>
  <c r="FU97" i="5"/>
  <c r="GD58" i="5"/>
  <c r="GD97" i="5"/>
  <c r="EI57" i="5"/>
  <c r="EI97" i="5"/>
  <c r="EG57" i="5"/>
  <c r="EG97" i="5"/>
  <c r="FT57" i="5"/>
  <c r="FT97" i="5"/>
  <c r="FS57" i="5"/>
  <c r="FS97" i="5"/>
  <c r="FR97" i="5"/>
  <c r="FR57" i="5"/>
  <c r="GC97" i="5"/>
  <c r="GC57" i="5"/>
  <c r="FQ58" i="5"/>
  <c r="FQ59" i="5" s="1"/>
  <c r="FQ65" i="5" s="1"/>
  <c r="FQ69" i="5" s="1"/>
  <c r="FQ107" i="5" s="1"/>
  <c r="FQ97" i="5"/>
  <c r="FP57" i="5"/>
  <c r="FP97" i="5"/>
  <c r="FO97" i="5"/>
  <c r="FO57" i="5"/>
  <c r="FN97" i="5"/>
  <c r="FN57" i="5"/>
  <c r="FM58" i="5"/>
  <c r="FM59" i="5" s="1"/>
  <c r="FM65" i="5" s="1"/>
  <c r="FM69" i="5" s="1"/>
  <c r="FM107" i="5" s="1"/>
  <c r="FM97" i="5"/>
  <c r="EX97" i="5"/>
  <c r="EX57" i="5"/>
  <c r="EW57" i="5"/>
  <c r="EW97" i="5"/>
  <c r="EV57" i="5"/>
  <c r="EV97" i="5"/>
  <c r="EU57" i="5"/>
  <c r="EU97" i="5"/>
  <c r="ET57" i="5"/>
  <c r="ET97" i="5"/>
  <c r="ES97" i="5"/>
  <c r="ES57" i="5"/>
  <c r="ER97" i="5"/>
  <c r="ER57" i="5"/>
  <c r="GI97" i="5"/>
  <c r="GI100" i="5" s="1"/>
  <c r="GI57" i="5"/>
  <c r="GJ57" i="5"/>
  <c r="GJ97" i="5"/>
  <c r="GJ100" i="5" s="1"/>
  <c r="GK57" i="5"/>
  <c r="GK97" i="5"/>
  <c r="GK100" i="5" s="1"/>
  <c r="GL57" i="5"/>
  <c r="GL97" i="5"/>
  <c r="GL100" i="5" s="1"/>
  <c r="S36" i="6"/>
  <c r="FH57" i="5"/>
  <c r="FH97" i="5"/>
  <c r="FF57" i="5"/>
  <c r="FF97" i="5"/>
  <c r="FD57" i="5"/>
  <c r="FD97" i="5"/>
  <c r="FC97" i="5"/>
  <c r="FC57" i="5"/>
  <c r="FB97" i="5"/>
  <c r="FB57" i="5"/>
  <c r="EZ97" i="5"/>
  <c r="EZ57" i="5"/>
  <c r="EY97" i="5"/>
  <c r="EY57" i="5"/>
  <c r="GM57" i="5"/>
  <c r="GM97" i="5"/>
  <c r="GM100" i="5" s="1"/>
  <c r="FI97" i="5"/>
  <c r="FI57" i="5"/>
  <c r="FG97" i="5"/>
  <c r="FG57" i="5"/>
  <c r="FE57" i="5"/>
  <c r="FE97" i="5"/>
  <c r="FA57" i="5"/>
  <c r="FA97" i="5"/>
  <c r="ED97" i="5"/>
  <c r="ED57" i="5"/>
  <c r="DO97" i="5"/>
  <c r="DO57" i="5"/>
  <c r="DN57" i="5"/>
  <c r="DN97" i="5"/>
  <c r="DM57" i="5"/>
  <c r="DM97" i="5"/>
  <c r="DL57" i="5"/>
  <c r="DL97" i="5"/>
  <c r="DK57" i="5"/>
  <c r="DK97" i="5"/>
  <c r="DJ97" i="5"/>
  <c r="DJ57" i="5"/>
  <c r="DI97" i="5"/>
  <c r="DI57" i="5"/>
  <c r="DH97" i="5"/>
  <c r="DH57" i="5"/>
  <c r="DG97" i="5"/>
  <c r="DG57" i="5"/>
  <c r="DF57" i="5"/>
  <c r="DF97" i="5"/>
  <c r="DE97" i="5"/>
  <c r="DE57" i="5"/>
  <c r="DD97" i="5"/>
  <c r="DD57" i="5"/>
  <c r="DC57" i="5"/>
  <c r="DC97" i="5"/>
  <c r="DB97" i="5"/>
  <c r="DB58" i="5"/>
  <c r="DA97" i="5"/>
  <c r="DA57" i="5"/>
  <c r="CZ97" i="5"/>
  <c r="CZ57" i="5"/>
  <c r="CY97" i="5"/>
  <c r="CY57" i="5"/>
  <c r="CX97" i="5"/>
  <c r="CX57" i="5"/>
  <c r="CW57" i="5"/>
  <c r="CW97" i="5"/>
  <c r="CV57" i="5"/>
  <c r="CV97" i="5"/>
  <c r="CU57" i="5"/>
  <c r="CU97" i="5"/>
  <c r="FK57" i="5"/>
  <c r="FK97" i="5"/>
  <c r="FJ57" i="5"/>
  <c r="FJ97" i="5"/>
  <c r="EC57" i="5"/>
  <c r="EC97" i="5"/>
  <c r="EB57" i="5"/>
  <c r="EB97" i="5"/>
  <c r="DZ97" i="5"/>
  <c r="DZ57" i="5"/>
  <c r="DY97" i="5"/>
  <c r="DY58" i="5"/>
  <c r="DX97" i="5"/>
  <c r="DX57" i="5"/>
  <c r="DW57" i="5"/>
  <c r="DW97" i="5"/>
  <c r="DV97" i="5"/>
  <c r="DV57" i="5"/>
  <c r="DU58" i="5"/>
  <c r="DU59" i="5" s="1"/>
  <c r="DU65" i="5" s="1"/>
  <c r="DU69" i="5" s="1"/>
  <c r="DU107" i="5" s="1"/>
  <c r="DU97" i="5"/>
  <c r="DT58" i="5"/>
  <c r="DT59" i="5" s="1"/>
  <c r="DT65" i="5" s="1"/>
  <c r="DT69" i="5" s="1"/>
  <c r="DT107" i="5" s="1"/>
  <c r="DT97" i="5"/>
  <c r="DS58" i="5"/>
  <c r="DS59" i="5" s="1"/>
  <c r="DS65" i="5" s="1"/>
  <c r="DS69" i="5" s="1"/>
  <c r="DS107" i="5" s="1"/>
  <c r="DS97" i="5"/>
  <c r="DR57" i="5"/>
  <c r="DR97" i="5"/>
  <c r="DQ58" i="5"/>
  <c r="DQ97" i="5"/>
  <c r="AO97" i="5"/>
  <c r="AO57" i="5"/>
  <c r="AR57" i="5"/>
  <c r="AR97" i="5"/>
  <c r="AS97" i="5"/>
  <c r="AS57" i="5"/>
  <c r="AU57" i="5"/>
  <c r="AU97" i="5"/>
  <c r="AV97" i="5"/>
  <c r="AV57" i="5"/>
  <c r="AY57" i="5"/>
  <c r="AY97" i="5"/>
  <c r="AZ57" i="5"/>
  <c r="AZ97" i="5"/>
  <c r="BB57" i="5"/>
  <c r="BB97" i="5"/>
  <c r="BH57" i="5"/>
  <c r="BH97" i="5"/>
  <c r="BI97" i="5"/>
  <c r="BI57" i="5"/>
  <c r="BK57" i="5"/>
  <c r="BK97" i="5"/>
  <c r="BM57" i="5"/>
  <c r="BM97" i="5"/>
  <c r="BN57" i="5"/>
  <c r="BN97" i="5"/>
  <c r="BO97" i="5"/>
  <c r="BO57" i="5"/>
  <c r="BP97" i="5"/>
  <c r="BP57" i="5"/>
  <c r="BQ58" i="5"/>
  <c r="BQ97" i="5"/>
  <c r="GE57" i="5"/>
  <c r="GE97" i="5"/>
  <c r="GE100" i="5" s="1"/>
  <c r="GF97" i="5"/>
  <c r="GF100" i="5" s="1"/>
  <c r="GF57" i="5"/>
  <c r="GG57" i="5"/>
  <c r="GG97" i="5"/>
  <c r="GG100" i="5" s="1"/>
  <c r="GH57" i="5"/>
  <c r="GH97" i="5"/>
  <c r="GH100" i="5" s="1"/>
  <c r="EQ58" i="5"/>
  <c r="EQ97" i="5"/>
  <c r="EP57" i="5"/>
  <c r="EP97" i="5"/>
  <c r="EO57" i="5"/>
  <c r="EO97" i="5"/>
  <c r="EN57" i="5"/>
  <c r="EN97" i="5"/>
  <c r="EM57" i="5"/>
  <c r="EM97" i="5"/>
  <c r="EL97" i="5"/>
  <c r="EL57" i="5"/>
  <c r="EK97" i="5"/>
  <c r="EK57" i="5"/>
  <c r="EJ97" i="5"/>
  <c r="EJ57" i="5"/>
  <c r="EH97" i="5"/>
  <c r="EH57" i="5"/>
  <c r="EF97" i="5"/>
  <c r="EF57" i="5"/>
  <c r="EE57" i="5"/>
  <c r="EE97" i="5"/>
  <c r="EA97" i="5"/>
  <c r="EA57" i="5"/>
  <c r="DP57" i="5"/>
  <c r="DP97" i="5"/>
  <c r="AN97" i="5"/>
  <c r="AN57" i="5"/>
  <c r="AQ57" i="5"/>
  <c r="AQ97" i="5"/>
  <c r="AT57" i="5"/>
  <c r="AT97" i="5"/>
  <c r="BY57" i="5"/>
  <c r="BY97" i="5"/>
  <c r="CB57" i="5"/>
  <c r="CB97" i="5"/>
  <c r="AW97" i="5"/>
  <c r="AW57" i="5"/>
  <c r="BE97" i="5"/>
  <c r="BE57" i="5"/>
  <c r="BF97" i="5"/>
  <c r="BF57" i="5"/>
  <c r="CT97" i="5"/>
  <c r="CT57" i="5"/>
  <c r="FL58" i="5"/>
  <c r="FL97" i="5"/>
  <c r="BL97" i="5"/>
  <c r="BL57" i="5"/>
  <c r="BR57" i="5"/>
  <c r="BR97" i="5"/>
  <c r="BS97" i="5"/>
  <c r="BS57" i="5"/>
  <c r="BU57" i="5"/>
  <c r="BU97" i="5"/>
  <c r="BW97" i="5"/>
  <c r="BW57" i="5"/>
  <c r="CA97" i="5"/>
  <c r="CA57" i="5"/>
  <c r="CC57" i="5"/>
  <c r="CC97" i="5"/>
  <c r="CD57" i="5"/>
  <c r="CD97" i="5"/>
  <c r="CE58" i="5"/>
  <c r="CE97" i="5"/>
  <c r="CH57" i="5"/>
  <c r="CH97" i="5"/>
  <c r="CI97" i="5"/>
  <c r="CI57" i="5"/>
  <c r="CJ97" i="5"/>
  <c r="CJ57" i="5"/>
  <c r="CK97" i="5"/>
  <c r="CK57" i="5"/>
  <c r="CM97" i="5"/>
  <c r="CM57" i="5"/>
  <c r="CP57" i="5"/>
  <c r="CP97" i="5"/>
  <c r="CQ57" i="5"/>
  <c r="CQ97" i="5"/>
  <c r="CS97" i="5"/>
  <c r="CS57" i="5"/>
  <c r="Y58" i="5"/>
  <c r="H36" i="6" s="1"/>
  <c r="Y96" i="5"/>
  <c r="Z92" i="5" s="1"/>
  <c r="Z96" i="5" s="1"/>
  <c r="AA92" i="5" s="1"/>
  <c r="AA96" i="5" s="1"/>
  <c r="AB92" i="5" s="1"/>
  <c r="AB96" i="5" s="1"/>
  <c r="AC92" i="5" s="1"/>
  <c r="AC96" i="5" s="1"/>
  <c r="AD92" i="5" s="1"/>
  <c r="AD96" i="5" s="1"/>
  <c r="AE92" i="5" s="1"/>
  <c r="AE96" i="5" s="1"/>
  <c r="AF92" i="5" s="1"/>
  <c r="AF96" i="5" s="1"/>
  <c r="AG92" i="5" s="1"/>
  <c r="AG96" i="5" s="1"/>
  <c r="AH92" i="5" s="1"/>
  <c r="AH96" i="5" s="1"/>
  <c r="AI92" i="5" s="1"/>
  <c r="AI96" i="5" s="1"/>
  <c r="AJ92" i="5" s="1"/>
  <c r="AJ96" i="5" s="1"/>
  <c r="AK92" i="5" s="1"/>
  <c r="AK96" i="5" s="1"/>
  <c r="AL92" i="5" s="1"/>
  <c r="AL96" i="5" s="1"/>
  <c r="AM92" i="5" s="1"/>
  <c r="AM96" i="5" s="1"/>
  <c r="AN92" i="5" s="1"/>
  <c r="AN96" i="5" s="1"/>
  <c r="AO92" i="5" s="1"/>
  <c r="AO96" i="5" s="1"/>
  <c r="AP92" i="5" s="1"/>
  <c r="AP96" i="5" s="1"/>
  <c r="AQ92" i="5" s="1"/>
  <c r="AQ96" i="5" s="1"/>
  <c r="AR92" i="5" s="1"/>
  <c r="AR96" i="5" s="1"/>
  <c r="AS92" i="5" s="1"/>
  <c r="AS96" i="5" s="1"/>
  <c r="AT92" i="5" s="1"/>
  <c r="AT96" i="5" s="1"/>
  <c r="AU92" i="5" s="1"/>
  <c r="AU96" i="5" s="1"/>
  <c r="AV92" i="5" s="1"/>
  <c r="AV96" i="5" s="1"/>
  <c r="AW92" i="5" s="1"/>
  <c r="AW96" i="5" s="1"/>
  <c r="AX92" i="5" s="1"/>
  <c r="AX96" i="5" s="1"/>
  <c r="AY92" i="5" s="1"/>
  <c r="AY96" i="5" s="1"/>
  <c r="AZ92" i="5" s="1"/>
  <c r="AZ96" i="5" s="1"/>
  <c r="BA92" i="5" s="1"/>
  <c r="BA96" i="5" s="1"/>
  <c r="BB92" i="5" s="1"/>
  <c r="BB96" i="5" s="1"/>
  <c r="BC92" i="5" s="1"/>
  <c r="BC96" i="5" s="1"/>
  <c r="BD92" i="5" s="1"/>
  <c r="BD96" i="5" s="1"/>
  <c r="BE92" i="5" s="1"/>
  <c r="BE96" i="5" s="1"/>
  <c r="BF92" i="5" s="1"/>
  <c r="BF96" i="5" s="1"/>
  <c r="BG92" i="5" s="1"/>
  <c r="BG96" i="5" s="1"/>
  <c r="BH92" i="5" s="1"/>
  <c r="BH96" i="5" s="1"/>
  <c r="BI92" i="5" s="1"/>
  <c r="BI96" i="5" s="1"/>
  <c r="BJ92" i="5" s="1"/>
  <c r="BJ96" i="5" s="1"/>
  <c r="BK92" i="5" s="1"/>
  <c r="BK96" i="5" s="1"/>
  <c r="BL92" i="5" s="1"/>
  <c r="BL96" i="5" s="1"/>
  <c r="BM92" i="5" s="1"/>
  <c r="BM96" i="5" s="1"/>
  <c r="BN92" i="5" s="1"/>
  <c r="Y57" i="5"/>
  <c r="Y97" i="5"/>
  <c r="Z57" i="5"/>
  <c r="Z97" i="5"/>
  <c r="AA57" i="5"/>
  <c r="AA97" i="5"/>
  <c r="AB57" i="5"/>
  <c r="AB97" i="5"/>
  <c r="AC57" i="5"/>
  <c r="AC97" i="5"/>
  <c r="AD57" i="5"/>
  <c r="AD97" i="5"/>
  <c r="AE57" i="5"/>
  <c r="AE97" i="5"/>
  <c r="AF97" i="5"/>
  <c r="AF57" i="5"/>
  <c r="AG57" i="5"/>
  <c r="AG97" i="5"/>
  <c r="AH97" i="5"/>
  <c r="AH57" i="5"/>
  <c r="AI97" i="5"/>
  <c r="AI57" i="5"/>
  <c r="AJ97" i="5"/>
  <c r="AJ57" i="5"/>
  <c r="AK97" i="5"/>
  <c r="AK57" i="5"/>
  <c r="BA57" i="5"/>
  <c r="BA97" i="5"/>
  <c r="BD57" i="5"/>
  <c r="BD97" i="5"/>
  <c r="BG57" i="5"/>
  <c r="BG97" i="5"/>
  <c r="BJ57" i="5"/>
  <c r="BJ97" i="5"/>
  <c r="BT57" i="5"/>
  <c r="BT97" i="5"/>
  <c r="BX57" i="5"/>
  <c r="BX97" i="5"/>
  <c r="BZ57" i="5"/>
  <c r="BZ97" i="5"/>
  <c r="AL57" i="5"/>
  <c r="AL97" i="5"/>
  <c r="AM57" i="5"/>
  <c r="AM97" i="5"/>
  <c r="AP57" i="5"/>
  <c r="AP97" i="5"/>
  <c r="AX57" i="5"/>
  <c r="AX97" i="5"/>
  <c r="BC57" i="5"/>
  <c r="BC97" i="5"/>
  <c r="BV57" i="5"/>
  <c r="BV97" i="5"/>
  <c r="CF57" i="5"/>
  <c r="CF97" i="5"/>
  <c r="CG57" i="5"/>
  <c r="CG97" i="5"/>
  <c r="CL57" i="5"/>
  <c r="CL97" i="5"/>
  <c r="CN57" i="5"/>
  <c r="CN97" i="5"/>
  <c r="CO57" i="5"/>
  <c r="CO97" i="5"/>
  <c r="CR57" i="5"/>
  <c r="CR97" i="5"/>
  <c r="V36" i="6"/>
  <c r="U37" i="2"/>
  <c r="U46" i="2" s="1"/>
  <c r="T37" i="2"/>
  <c r="T46" i="2" s="1"/>
  <c r="S37" i="2"/>
  <c r="S46" i="2" s="1"/>
  <c r="R37" i="2"/>
  <c r="R46" i="2" s="1"/>
  <c r="EQ101" i="5"/>
  <c r="K36" i="6"/>
  <c r="N36" i="6"/>
  <c r="I36" i="6"/>
  <c r="J36" i="6"/>
  <c r="FQ101" i="5"/>
  <c r="FM101" i="5"/>
  <c r="FL101" i="5"/>
  <c r="DU101" i="5"/>
  <c r="DT101" i="5"/>
  <c r="DS101" i="5"/>
  <c r="DQ101" i="5"/>
  <c r="BN95" i="5"/>
  <c r="T48" i="6"/>
  <c r="T46" i="6"/>
  <c r="S48" i="6"/>
  <c r="S46" i="6"/>
  <c r="R48" i="6"/>
  <c r="R46" i="6"/>
  <c r="Q48" i="6"/>
  <c r="Q46" i="6"/>
  <c r="H53" i="5"/>
  <c r="J55" i="14" l="1"/>
  <c r="I33" i="1"/>
  <c r="J57" i="14" s="1"/>
  <c r="GD59" i="5"/>
  <c r="U36" i="6"/>
  <c r="P26" i="14"/>
  <c r="DV51" i="5"/>
  <c r="GB59" i="5"/>
  <c r="GB65" i="5" s="1"/>
  <c r="GB69" i="5" s="1"/>
  <c r="GB107" i="5" s="1"/>
  <c r="GB101" i="5"/>
  <c r="GA101" i="5"/>
  <c r="GA59" i="5"/>
  <c r="GA65" i="5" s="1"/>
  <c r="GA69" i="5" s="1"/>
  <c r="GA107" i="5" s="1"/>
  <c r="FZ59" i="5"/>
  <c r="FZ65" i="5" s="1"/>
  <c r="FZ69" i="5" s="1"/>
  <c r="FZ107" i="5" s="1"/>
  <c r="FZ101" i="5"/>
  <c r="FY59" i="5"/>
  <c r="FY65" i="5" s="1"/>
  <c r="FY69" i="5" s="1"/>
  <c r="FY107" i="5" s="1"/>
  <c r="FY101" i="5"/>
  <c r="FX59" i="5"/>
  <c r="FX65" i="5" s="1"/>
  <c r="FX69" i="5" s="1"/>
  <c r="FX107" i="5" s="1"/>
  <c r="FX101" i="5"/>
  <c r="FW59" i="5"/>
  <c r="FW65" i="5" s="1"/>
  <c r="FW69" i="5" s="1"/>
  <c r="FW107" i="5" s="1"/>
  <c r="FW101" i="5"/>
  <c r="FV59" i="5"/>
  <c r="FV65" i="5" s="1"/>
  <c r="FV69" i="5" s="1"/>
  <c r="FV107" i="5" s="1"/>
  <c r="FV101" i="5"/>
  <c r="FU59" i="5"/>
  <c r="FU65" i="5" s="1"/>
  <c r="FU69" i="5" s="1"/>
  <c r="FU107" i="5" s="1"/>
  <c r="FU101" i="5"/>
  <c r="EI59" i="5"/>
  <c r="EI65" i="5" s="1"/>
  <c r="EI69" i="5" s="1"/>
  <c r="EI107" i="5" s="1"/>
  <c r="EI101" i="5"/>
  <c r="EG59" i="5"/>
  <c r="EG65" i="5" s="1"/>
  <c r="EG69" i="5" s="1"/>
  <c r="EG107" i="5" s="1"/>
  <c r="EG101" i="5"/>
  <c r="FT101" i="5"/>
  <c r="FT59" i="5"/>
  <c r="FT65" i="5" s="1"/>
  <c r="FT69" i="5" s="1"/>
  <c r="FT107" i="5" s="1"/>
  <c r="FS59" i="5"/>
  <c r="FS65" i="5" s="1"/>
  <c r="FS69" i="5" s="1"/>
  <c r="FS107" i="5" s="1"/>
  <c r="U35" i="6"/>
  <c r="FS101" i="5"/>
  <c r="FR101" i="5"/>
  <c r="FR59" i="5"/>
  <c r="FR65" i="5" s="1"/>
  <c r="FR69" i="5" s="1"/>
  <c r="FR107" i="5" s="1"/>
  <c r="GC59" i="5"/>
  <c r="GC65" i="5" s="1"/>
  <c r="GC69" i="5" s="1"/>
  <c r="GC107" i="5" s="1"/>
  <c r="GC101" i="5"/>
  <c r="FP101" i="5"/>
  <c r="FP59" i="5"/>
  <c r="FP65" i="5" s="1"/>
  <c r="FP69" i="5" s="1"/>
  <c r="FP107" i="5" s="1"/>
  <c r="FO101" i="5"/>
  <c r="FO59" i="5"/>
  <c r="FO65" i="5" s="1"/>
  <c r="FO69" i="5" s="1"/>
  <c r="FO107" i="5" s="1"/>
  <c r="FN59" i="5"/>
  <c r="FN65" i="5" s="1"/>
  <c r="FN69" i="5" s="1"/>
  <c r="FN107" i="5" s="1"/>
  <c r="FN101" i="5"/>
  <c r="EX101" i="5"/>
  <c r="EX59" i="5"/>
  <c r="EX65" i="5" s="1"/>
  <c r="EX69" i="5" s="1"/>
  <c r="EX107" i="5" s="1"/>
  <c r="EW101" i="5"/>
  <c r="EW59" i="5"/>
  <c r="EW65" i="5" s="1"/>
  <c r="EW69" i="5" s="1"/>
  <c r="EW107" i="5" s="1"/>
  <c r="EV59" i="5"/>
  <c r="EV65" i="5" s="1"/>
  <c r="EV69" i="5" s="1"/>
  <c r="EV107" i="5" s="1"/>
  <c r="EV101" i="5"/>
  <c r="EU101" i="5"/>
  <c r="EU59" i="5"/>
  <c r="EU65" i="5" s="1"/>
  <c r="EU69" i="5" s="1"/>
  <c r="EU107" i="5" s="1"/>
  <c r="ET59" i="5"/>
  <c r="ET65" i="5" s="1"/>
  <c r="ET69" i="5" s="1"/>
  <c r="ET107" i="5" s="1"/>
  <c r="ET101" i="5"/>
  <c r="ES59" i="5"/>
  <c r="ES65" i="5" s="1"/>
  <c r="ES69" i="5" s="1"/>
  <c r="ES107" i="5" s="1"/>
  <c r="ES101" i="5"/>
  <c r="ER59" i="5"/>
  <c r="ER65" i="5" s="1"/>
  <c r="ER69" i="5" s="1"/>
  <c r="ER107" i="5" s="1"/>
  <c r="ER101" i="5"/>
  <c r="GI101" i="5"/>
  <c r="GI59" i="5"/>
  <c r="GI65" i="5" s="1"/>
  <c r="GI69" i="5" s="1"/>
  <c r="GI107" i="5" s="1"/>
  <c r="GJ59" i="5"/>
  <c r="GJ65" i="5" s="1"/>
  <c r="GJ69" i="5" s="1"/>
  <c r="GJ107" i="5" s="1"/>
  <c r="GJ101" i="5"/>
  <c r="GK101" i="5"/>
  <c r="GK59" i="5"/>
  <c r="GK65" i="5" s="1"/>
  <c r="GK69" i="5" s="1"/>
  <c r="GK107" i="5" s="1"/>
  <c r="GL101" i="5"/>
  <c r="GL59" i="5"/>
  <c r="GL65" i="5" s="1"/>
  <c r="GL69" i="5" s="1"/>
  <c r="GL107" i="5" s="1"/>
  <c r="FH101" i="5"/>
  <c r="FH59" i="5"/>
  <c r="FH65" i="5" s="1"/>
  <c r="FH69" i="5" s="1"/>
  <c r="FH107" i="5" s="1"/>
  <c r="EZ101" i="5"/>
  <c r="EZ59" i="5"/>
  <c r="EZ65" i="5" s="1"/>
  <c r="EZ69" i="5" s="1"/>
  <c r="EZ107" i="5" s="1"/>
  <c r="FI59" i="5"/>
  <c r="FI65" i="5" s="1"/>
  <c r="FI69" i="5" s="1"/>
  <c r="FI107" i="5" s="1"/>
  <c r="FI101" i="5"/>
  <c r="FG59" i="5"/>
  <c r="FG65" i="5" s="1"/>
  <c r="FG69" i="5" s="1"/>
  <c r="FG107" i="5" s="1"/>
  <c r="FG101" i="5"/>
  <c r="FA59" i="5"/>
  <c r="FA65" i="5" s="1"/>
  <c r="FA69" i="5" s="1"/>
  <c r="FA107" i="5" s="1"/>
  <c r="FA101" i="5"/>
  <c r="FF101" i="5"/>
  <c r="FF59" i="5"/>
  <c r="FF65" i="5" s="1"/>
  <c r="FF69" i="5" s="1"/>
  <c r="FF107" i="5" s="1"/>
  <c r="FD101" i="5"/>
  <c r="FD59" i="5"/>
  <c r="FD65" i="5" s="1"/>
  <c r="FD69" i="5" s="1"/>
  <c r="FD107" i="5" s="1"/>
  <c r="FC101" i="5"/>
  <c r="FC59" i="5"/>
  <c r="FC65" i="5" s="1"/>
  <c r="FC69" i="5" s="1"/>
  <c r="FC107" i="5" s="1"/>
  <c r="FB59" i="5"/>
  <c r="FB65" i="5" s="1"/>
  <c r="FB69" i="5" s="1"/>
  <c r="FB107" i="5" s="1"/>
  <c r="FB101" i="5"/>
  <c r="EY101" i="5"/>
  <c r="S35" i="6"/>
  <c r="S37" i="6" s="1"/>
  <c r="S24" i="14" s="1"/>
  <c r="EY59" i="5"/>
  <c r="EY65" i="5" s="1"/>
  <c r="EY69" i="5" s="1"/>
  <c r="EY107" i="5" s="1"/>
  <c r="GM59" i="5"/>
  <c r="GM65" i="5" s="1"/>
  <c r="GM69" i="5" s="1"/>
  <c r="GM107" i="5" s="1"/>
  <c r="GM101" i="5"/>
  <c r="FE101" i="5"/>
  <c r="FE59" i="5"/>
  <c r="FE65" i="5" s="1"/>
  <c r="FE69" i="5" s="1"/>
  <c r="FE107" i="5" s="1"/>
  <c r="ED101" i="5"/>
  <c r="ED59" i="5"/>
  <c r="ED65" i="5" s="1"/>
  <c r="ED69" i="5" s="1"/>
  <c r="ED107" i="5" s="1"/>
  <c r="DO59" i="5"/>
  <c r="DO65" i="5" s="1"/>
  <c r="DO69" i="5" s="1"/>
  <c r="DO107" i="5" s="1"/>
  <c r="DO101" i="5"/>
  <c r="DN59" i="5"/>
  <c r="DN65" i="5" s="1"/>
  <c r="DN69" i="5" s="1"/>
  <c r="DN107" i="5" s="1"/>
  <c r="DN101" i="5"/>
  <c r="DM101" i="5"/>
  <c r="DM59" i="5"/>
  <c r="DM65" i="5" s="1"/>
  <c r="DM69" i="5" s="1"/>
  <c r="DM107" i="5" s="1"/>
  <c r="DL101" i="5"/>
  <c r="DL59" i="5"/>
  <c r="DL65" i="5" s="1"/>
  <c r="DL69" i="5" s="1"/>
  <c r="DL107" i="5" s="1"/>
  <c r="DK59" i="5"/>
  <c r="DK65" i="5" s="1"/>
  <c r="DK69" i="5" s="1"/>
  <c r="DK107" i="5" s="1"/>
  <c r="DK101" i="5"/>
  <c r="DJ101" i="5"/>
  <c r="DJ59" i="5"/>
  <c r="DJ65" i="5" s="1"/>
  <c r="DJ69" i="5" s="1"/>
  <c r="DJ107" i="5" s="1"/>
  <c r="DI101" i="5"/>
  <c r="DI59" i="5"/>
  <c r="DI65" i="5" s="1"/>
  <c r="DI69" i="5" s="1"/>
  <c r="DI107" i="5" s="1"/>
  <c r="DH59" i="5"/>
  <c r="DH65" i="5" s="1"/>
  <c r="DH69" i="5" s="1"/>
  <c r="DH107" i="5" s="1"/>
  <c r="DH101" i="5"/>
  <c r="DG59" i="5"/>
  <c r="DG65" i="5" s="1"/>
  <c r="DG69" i="5" s="1"/>
  <c r="DG107" i="5" s="1"/>
  <c r="DG101" i="5"/>
  <c r="DF59" i="5"/>
  <c r="DF65" i="5" s="1"/>
  <c r="DF69" i="5" s="1"/>
  <c r="DF107" i="5" s="1"/>
  <c r="DF101" i="5"/>
  <c r="DE59" i="5"/>
  <c r="DE65" i="5" s="1"/>
  <c r="DE69" i="5" s="1"/>
  <c r="DE107" i="5" s="1"/>
  <c r="DE101" i="5"/>
  <c r="DD59" i="5"/>
  <c r="DD65" i="5" s="1"/>
  <c r="DD69" i="5" s="1"/>
  <c r="DD107" i="5" s="1"/>
  <c r="DD101" i="5"/>
  <c r="DC101" i="5"/>
  <c r="DC59" i="5"/>
  <c r="DC65" i="5" s="1"/>
  <c r="DC69" i="5" s="1"/>
  <c r="DC107" i="5" s="1"/>
  <c r="O36" i="6"/>
  <c r="DB59" i="5"/>
  <c r="DB65" i="5" s="1"/>
  <c r="DB69" i="5" s="1"/>
  <c r="DB107" i="5" s="1"/>
  <c r="DA101" i="5"/>
  <c r="DA59" i="5"/>
  <c r="DA65" i="5" s="1"/>
  <c r="DA69" i="5" s="1"/>
  <c r="DA107" i="5" s="1"/>
  <c r="CZ59" i="5"/>
  <c r="CZ65" i="5" s="1"/>
  <c r="CZ69" i="5" s="1"/>
  <c r="CZ107" i="5" s="1"/>
  <c r="CZ101" i="5"/>
  <c r="O35" i="6"/>
  <c r="CY59" i="5"/>
  <c r="CY65" i="5" s="1"/>
  <c r="CY69" i="5" s="1"/>
  <c r="CY107" i="5" s="1"/>
  <c r="CY101" i="5"/>
  <c r="CX59" i="5"/>
  <c r="CX65" i="5" s="1"/>
  <c r="CX69" i="5" s="1"/>
  <c r="CX107" i="5" s="1"/>
  <c r="CX101" i="5"/>
  <c r="CW59" i="5"/>
  <c r="CW65" i="5" s="1"/>
  <c r="CW69" i="5" s="1"/>
  <c r="CW107" i="5" s="1"/>
  <c r="CW101" i="5"/>
  <c r="CV59" i="5"/>
  <c r="CV65" i="5" s="1"/>
  <c r="CV69" i="5" s="1"/>
  <c r="CV107" i="5" s="1"/>
  <c r="CV101" i="5"/>
  <c r="CU59" i="5"/>
  <c r="CU65" i="5" s="1"/>
  <c r="CU69" i="5" s="1"/>
  <c r="CU107" i="5" s="1"/>
  <c r="CU101" i="5"/>
  <c r="DW101" i="5"/>
  <c r="DW59" i="5"/>
  <c r="DW65" i="5" s="1"/>
  <c r="DW69" i="5" s="1"/>
  <c r="DW107" i="5" s="1"/>
  <c r="Q35" i="6"/>
  <c r="P36" i="6"/>
  <c r="DQ59" i="5"/>
  <c r="DQ65" i="5" s="1"/>
  <c r="DQ69" i="5" s="1"/>
  <c r="DQ107" i="5" s="1"/>
  <c r="BQ59" i="5"/>
  <c r="BQ65" i="5" s="1"/>
  <c r="BQ69" i="5" s="1"/>
  <c r="BQ107" i="5" s="1"/>
  <c r="L36" i="6"/>
  <c r="GE59" i="5"/>
  <c r="GE65" i="5" s="1"/>
  <c r="GE69" i="5" s="1"/>
  <c r="GE107" i="5" s="1"/>
  <c r="GE101" i="5"/>
  <c r="V35" i="6"/>
  <c r="V37" i="6" s="1"/>
  <c r="V24" i="14" s="1"/>
  <c r="GF59" i="5"/>
  <c r="GF65" i="5" s="1"/>
  <c r="GF69" i="5" s="1"/>
  <c r="GF107" i="5" s="1"/>
  <c r="GF101" i="5"/>
  <c r="GG59" i="5"/>
  <c r="GG65" i="5" s="1"/>
  <c r="GG69" i="5" s="1"/>
  <c r="GG107" i="5" s="1"/>
  <c r="GG101" i="5"/>
  <c r="R36" i="6"/>
  <c r="EQ59" i="5"/>
  <c r="EQ65" i="5" s="1"/>
  <c r="EQ69" i="5" s="1"/>
  <c r="EQ107" i="5" s="1"/>
  <c r="EP101" i="5"/>
  <c r="EP59" i="5"/>
  <c r="EP65" i="5" s="1"/>
  <c r="EP69" i="5" s="1"/>
  <c r="EP107" i="5" s="1"/>
  <c r="EO59" i="5"/>
  <c r="EO65" i="5" s="1"/>
  <c r="EO69" i="5" s="1"/>
  <c r="EO107" i="5" s="1"/>
  <c r="EO101" i="5"/>
  <c r="EN101" i="5"/>
  <c r="EN59" i="5"/>
  <c r="EN65" i="5" s="1"/>
  <c r="EN69" i="5" s="1"/>
  <c r="EN107" i="5" s="1"/>
  <c r="EM101" i="5"/>
  <c r="EM59" i="5"/>
  <c r="EM65" i="5" s="1"/>
  <c r="EM69" i="5" s="1"/>
  <c r="EM107" i="5" s="1"/>
  <c r="EL101" i="5"/>
  <c r="EL59" i="5"/>
  <c r="EL65" i="5" s="1"/>
  <c r="EL69" i="5" s="1"/>
  <c r="EL107" i="5" s="1"/>
  <c r="EK101" i="5"/>
  <c r="EK59" i="5"/>
  <c r="EK65" i="5" s="1"/>
  <c r="EK69" i="5" s="1"/>
  <c r="EK107" i="5" s="1"/>
  <c r="EJ59" i="5"/>
  <c r="EJ65" i="5" s="1"/>
  <c r="EJ69" i="5" s="1"/>
  <c r="EJ107" i="5" s="1"/>
  <c r="EJ101" i="5"/>
  <c r="R35" i="6"/>
  <c r="EH59" i="5"/>
  <c r="EH65" i="5" s="1"/>
  <c r="EH69" i="5" s="1"/>
  <c r="EH107" i="5" s="1"/>
  <c r="EH101" i="5"/>
  <c r="EF59" i="5"/>
  <c r="EF65" i="5" s="1"/>
  <c r="EF69" i="5" s="1"/>
  <c r="EF107" i="5" s="1"/>
  <c r="EF101" i="5"/>
  <c r="EA101" i="5"/>
  <c r="EA59" i="5"/>
  <c r="EA65" i="5" s="1"/>
  <c r="EA69" i="5" s="1"/>
  <c r="EA107" i="5" s="1"/>
  <c r="J35" i="6"/>
  <c r="J37" i="6" s="1"/>
  <c r="J24" i="14" s="1"/>
  <c r="AQ59" i="5"/>
  <c r="AQ65" i="5" s="1"/>
  <c r="AQ69" i="5" s="1"/>
  <c r="AQ107" i="5" s="1"/>
  <c r="AQ101" i="5"/>
  <c r="FL59" i="5"/>
  <c r="FL65" i="5" s="1"/>
  <c r="FL69" i="5" s="1"/>
  <c r="FL107" i="5" s="1"/>
  <c r="T36" i="6"/>
  <c r="BX59" i="5"/>
  <c r="BX65" i="5" s="1"/>
  <c r="BX69" i="5" s="1"/>
  <c r="BX107" i="5" s="1"/>
  <c r="BX101" i="5"/>
  <c r="AE59" i="5"/>
  <c r="AE65" i="5" s="1"/>
  <c r="AE69" i="5" s="1"/>
  <c r="AE107" i="5" s="1"/>
  <c r="AE101" i="5"/>
  <c r="AF59" i="5"/>
  <c r="AF65" i="5" s="1"/>
  <c r="AF69" i="5" s="1"/>
  <c r="AF107" i="5" s="1"/>
  <c r="AF101" i="5"/>
  <c r="AG59" i="5"/>
  <c r="AG65" i="5" s="1"/>
  <c r="AG69" i="5" s="1"/>
  <c r="AG107" i="5" s="1"/>
  <c r="AG101" i="5"/>
  <c r="AI59" i="5"/>
  <c r="AI65" i="5" s="1"/>
  <c r="AI69" i="5" s="1"/>
  <c r="AI107" i="5" s="1"/>
  <c r="AI101" i="5"/>
  <c r="AJ59" i="5"/>
  <c r="AJ65" i="5" s="1"/>
  <c r="AJ69" i="5" s="1"/>
  <c r="AJ107" i="5" s="1"/>
  <c r="AJ101" i="5"/>
  <c r="AK101" i="5"/>
  <c r="AK59" i="5"/>
  <c r="AK65" i="5" s="1"/>
  <c r="AK69" i="5" s="1"/>
  <c r="AK107" i="5" s="1"/>
  <c r="BJ101" i="5"/>
  <c r="BJ59" i="5"/>
  <c r="BJ65" i="5" s="1"/>
  <c r="BJ69" i="5" s="1"/>
  <c r="BJ107" i="5" s="1"/>
  <c r="AL59" i="5"/>
  <c r="AL65" i="5" s="1"/>
  <c r="AL69" i="5" s="1"/>
  <c r="AL107" i="5" s="1"/>
  <c r="AL101" i="5"/>
  <c r="AM101" i="5"/>
  <c r="AM59" i="5"/>
  <c r="AM65" i="5" s="1"/>
  <c r="AM69" i="5" s="1"/>
  <c r="AM107" i="5" s="1"/>
  <c r="AX101" i="5"/>
  <c r="AX59" i="5"/>
  <c r="AX65" i="5" s="1"/>
  <c r="AX69" i="5" s="1"/>
  <c r="AX107" i="5" s="1"/>
  <c r="I35" i="6"/>
  <c r="I37" i="6" s="1"/>
  <c r="I24" i="14" s="1"/>
  <c r="GH101" i="5"/>
  <c r="GH59" i="5"/>
  <c r="GH65" i="5" s="1"/>
  <c r="GH69" i="5" s="1"/>
  <c r="GH107" i="5" s="1"/>
  <c r="EE59" i="5"/>
  <c r="EE65" i="5" s="1"/>
  <c r="EE69" i="5" s="1"/>
  <c r="EE107" i="5" s="1"/>
  <c r="EE101" i="5"/>
  <c r="BY59" i="5"/>
  <c r="BY65" i="5" s="1"/>
  <c r="BY69" i="5" s="1"/>
  <c r="BY107" i="5" s="1"/>
  <c r="BY101" i="5"/>
  <c r="CB59" i="5"/>
  <c r="CB65" i="5" s="1"/>
  <c r="CB69" i="5" s="1"/>
  <c r="CB107" i="5" s="1"/>
  <c r="CB101" i="5"/>
  <c r="BD101" i="5"/>
  <c r="BD59" i="5"/>
  <c r="BD65" i="5" s="1"/>
  <c r="BD69" i="5" s="1"/>
  <c r="BD107" i="5" s="1"/>
  <c r="BG101" i="5"/>
  <c r="BG59" i="5"/>
  <c r="BG65" i="5" s="1"/>
  <c r="BG69" i="5" s="1"/>
  <c r="BG107" i="5" s="1"/>
  <c r="BZ101" i="5"/>
  <c r="BZ59" i="5"/>
  <c r="BZ65" i="5" s="1"/>
  <c r="BZ69" i="5" s="1"/>
  <c r="BZ107" i="5" s="1"/>
  <c r="AP101" i="5"/>
  <c r="AP59" i="5"/>
  <c r="AP65" i="5" s="1"/>
  <c r="AP69" i="5" s="1"/>
  <c r="AP107" i="5" s="1"/>
  <c r="BC101" i="5"/>
  <c r="BC59" i="5"/>
  <c r="BC65" i="5" s="1"/>
  <c r="BC69" i="5" s="1"/>
  <c r="BC107" i="5" s="1"/>
  <c r="CF101" i="5"/>
  <c r="CF59" i="5"/>
  <c r="CF65" i="5" s="1"/>
  <c r="CF69" i="5" s="1"/>
  <c r="CF107" i="5" s="1"/>
  <c r="CG101" i="5"/>
  <c r="CG59" i="5"/>
  <c r="CG65" i="5" s="1"/>
  <c r="CG69" i="5" s="1"/>
  <c r="CG107" i="5" s="1"/>
  <c r="CL101" i="5"/>
  <c r="CL59" i="5"/>
  <c r="CL65" i="5" s="1"/>
  <c r="CL69" i="5" s="1"/>
  <c r="CL107" i="5" s="1"/>
  <c r="CN101" i="5"/>
  <c r="CN59" i="5"/>
  <c r="CN65" i="5" s="1"/>
  <c r="CN69" i="5" s="1"/>
  <c r="CN107" i="5" s="1"/>
  <c r="CO101" i="5"/>
  <c r="CO59" i="5"/>
  <c r="CO65" i="5" s="1"/>
  <c r="CO69" i="5" s="1"/>
  <c r="CO107" i="5" s="1"/>
  <c r="CR101" i="5"/>
  <c r="CR59" i="5"/>
  <c r="CR65" i="5" s="1"/>
  <c r="CR69" i="5" s="1"/>
  <c r="CR107" i="5" s="1"/>
  <c r="AH59" i="5"/>
  <c r="AH65" i="5" s="1"/>
  <c r="AH69" i="5" s="1"/>
  <c r="AH107" i="5" s="1"/>
  <c r="AH101" i="5"/>
  <c r="BA59" i="5"/>
  <c r="BA65" i="5" s="1"/>
  <c r="BA69" i="5" s="1"/>
  <c r="BA107" i="5" s="1"/>
  <c r="BA101" i="5"/>
  <c r="BT59" i="5"/>
  <c r="BT65" i="5" s="1"/>
  <c r="BT69" i="5" s="1"/>
  <c r="BT107" i="5" s="1"/>
  <c r="BT101" i="5"/>
  <c r="BV59" i="5"/>
  <c r="BV65" i="5" s="1"/>
  <c r="BV69" i="5" s="1"/>
  <c r="BV107" i="5" s="1"/>
  <c r="BV101" i="5"/>
  <c r="FK59" i="5"/>
  <c r="FK65" i="5" s="1"/>
  <c r="FK69" i="5" s="1"/>
  <c r="FK107" i="5" s="1"/>
  <c r="FK101" i="5"/>
  <c r="FJ59" i="5"/>
  <c r="FJ65" i="5" s="1"/>
  <c r="FJ69" i="5" s="1"/>
  <c r="FJ107" i="5" s="1"/>
  <c r="T35" i="6"/>
  <c r="FJ101" i="5"/>
  <c r="EC59" i="5"/>
  <c r="EC65" i="5" s="1"/>
  <c r="EC69" i="5" s="1"/>
  <c r="EC107" i="5" s="1"/>
  <c r="EC101" i="5"/>
  <c r="EB59" i="5"/>
  <c r="EB65" i="5" s="1"/>
  <c r="EB69" i="5" s="1"/>
  <c r="EB107" i="5" s="1"/>
  <c r="EB101" i="5"/>
  <c r="DZ59" i="5"/>
  <c r="DZ65" i="5" s="1"/>
  <c r="DZ69" i="5" s="1"/>
  <c r="DZ107" i="5" s="1"/>
  <c r="DZ101" i="5"/>
  <c r="DY59" i="5"/>
  <c r="DY65" i="5" s="1"/>
  <c r="DY69" i="5" s="1"/>
  <c r="DY107" i="5" s="1"/>
  <c r="Q36" i="6"/>
  <c r="DX101" i="5"/>
  <c r="DX59" i="5"/>
  <c r="DX65" i="5" s="1"/>
  <c r="DX69" i="5" s="1"/>
  <c r="DX107" i="5" s="1"/>
  <c r="DV101" i="5"/>
  <c r="DV59" i="5"/>
  <c r="DR101" i="5"/>
  <c r="DR59" i="5"/>
  <c r="DR65" i="5" s="1"/>
  <c r="DR69" i="5" s="1"/>
  <c r="DR107" i="5" s="1"/>
  <c r="AO101" i="5"/>
  <c r="AO59" i="5"/>
  <c r="AO65" i="5" s="1"/>
  <c r="AO69" i="5" s="1"/>
  <c r="AO107" i="5" s="1"/>
  <c r="AR59" i="5"/>
  <c r="AR65" i="5" s="1"/>
  <c r="AR69" i="5" s="1"/>
  <c r="AR107" i="5" s="1"/>
  <c r="AR101" i="5"/>
  <c r="AS59" i="5"/>
  <c r="AS65" i="5" s="1"/>
  <c r="AS69" i="5" s="1"/>
  <c r="AS107" i="5" s="1"/>
  <c r="AS101" i="5"/>
  <c r="AU59" i="5"/>
  <c r="AU65" i="5" s="1"/>
  <c r="AU69" i="5" s="1"/>
  <c r="AU107" i="5" s="1"/>
  <c r="AU101" i="5"/>
  <c r="AV59" i="5"/>
  <c r="AV65" i="5" s="1"/>
  <c r="AV69" i="5" s="1"/>
  <c r="AV107" i="5" s="1"/>
  <c r="AV101" i="5"/>
  <c r="AY59" i="5"/>
  <c r="AY65" i="5" s="1"/>
  <c r="AY69" i="5" s="1"/>
  <c r="AY107" i="5" s="1"/>
  <c r="AY101" i="5"/>
  <c r="AZ59" i="5"/>
  <c r="AZ65" i="5" s="1"/>
  <c r="AZ69" i="5" s="1"/>
  <c r="AZ107" i="5" s="1"/>
  <c r="AZ101" i="5"/>
  <c r="BB59" i="5"/>
  <c r="BB65" i="5" s="1"/>
  <c r="BB69" i="5" s="1"/>
  <c r="BB107" i="5" s="1"/>
  <c r="BB101" i="5"/>
  <c r="BH59" i="5"/>
  <c r="BH65" i="5" s="1"/>
  <c r="BH69" i="5" s="1"/>
  <c r="BH107" i="5" s="1"/>
  <c r="BH101" i="5"/>
  <c r="BI101" i="5"/>
  <c r="BI59" i="5"/>
  <c r="BI65" i="5" s="1"/>
  <c r="BI69" i="5" s="1"/>
  <c r="BI107" i="5" s="1"/>
  <c r="BK101" i="5"/>
  <c r="BK59" i="5"/>
  <c r="BK65" i="5" s="1"/>
  <c r="BK69" i="5" s="1"/>
  <c r="BK107" i="5" s="1"/>
  <c r="BM101" i="5"/>
  <c r="BM59" i="5"/>
  <c r="BM65" i="5" s="1"/>
  <c r="BM69" i="5" s="1"/>
  <c r="BM107" i="5" s="1"/>
  <c r="BN59" i="5"/>
  <c r="BN101" i="5"/>
  <c r="BO59" i="5"/>
  <c r="BO65" i="5" s="1"/>
  <c r="BO69" i="5" s="1"/>
  <c r="BO107" i="5" s="1"/>
  <c r="BO101" i="5"/>
  <c r="L35" i="6"/>
  <c r="BP101" i="5"/>
  <c r="BP59" i="5"/>
  <c r="BP65" i="5" s="1"/>
  <c r="BP69" i="5" s="1"/>
  <c r="BP107" i="5" s="1"/>
  <c r="DP101" i="5"/>
  <c r="P35" i="6"/>
  <c r="DP59" i="5"/>
  <c r="DP65" i="5" s="1"/>
  <c r="DP69" i="5" s="1"/>
  <c r="DP107" i="5" s="1"/>
  <c r="AN101" i="5"/>
  <c r="AN59" i="5"/>
  <c r="AN65" i="5" s="1"/>
  <c r="AN69" i="5" s="1"/>
  <c r="AN107" i="5" s="1"/>
  <c r="AT101" i="5"/>
  <c r="AT59" i="5"/>
  <c r="AT65" i="5" s="1"/>
  <c r="AT69" i="5" s="1"/>
  <c r="AT107" i="5" s="1"/>
  <c r="AW59" i="5"/>
  <c r="AW65" i="5" s="1"/>
  <c r="AW69" i="5" s="1"/>
  <c r="AW107" i="5" s="1"/>
  <c r="AW101" i="5"/>
  <c r="BE59" i="5"/>
  <c r="BE65" i="5" s="1"/>
  <c r="BE69" i="5" s="1"/>
  <c r="BE107" i="5" s="1"/>
  <c r="BE101" i="5"/>
  <c r="K35" i="6"/>
  <c r="K37" i="6" s="1"/>
  <c r="K24" i="14" s="1"/>
  <c r="BF59" i="5"/>
  <c r="BF65" i="5" s="1"/>
  <c r="BF69" i="5" s="1"/>
  <c r="BF107" i="5" s="1"/>
  <c r="BF101" i="5"/>
  <c r="CT101" i="5"/>
  <c r="CT59" i="5"/>
  <c r="CT65" i="5" s="1"/>
  <c r="CT69" i="5" s="1"/>
  <c r="CT107" i="5" s="1"/>
  <c r="BL59" i="5"/>
  <c r="BL65" i="5" s="1"/>
  <c r="BL69" i="5" s="1"/>
  <c r="BL107" i="5" s="1"/>
  <c r="BL101" i="5"/>
  <c r="BR101" i="5"/>
  <c r="BR59" i="5"/>
  <c r="BR65" i="5" s="1"/>
  <c r="BR69" i="5" s="1"/>
  <c r="BR107" i="5" s="1"/>
  <c r="BS101" i="5"/>
  <c r="BS59" i="5"/>
  <c r="BS65" i="5" s="1"/>
  <c r="BS69" i="5" s="1"/>
  <c r="BS107" i="5" s="1"/>
  <c r="BU59" i="5"/>
  <c r="BU65" i="5" s="1"/>
  <c r="BU69" i="5" s="1"/>
  <c r="BU107" i="5" s="1"/>
  <c r="BU101" i="5"/>
  <c r="BW59" i="5"/>
  <c r="BW65" i="5" s="1"/>
  <c r="BW69" i="5" s="1"/>
  <c r="BW107" i="5" s="1"/>
  <c r="BW101" i="5"/>
  <c r="CA101" i="5"/>
  <c r="CA59" i="5"/>
  <c r="CA65" i="5" s="1"/>
  <c r="CA69" i="5" s="1"/>
  <c r="CA107" i="5" s="1"/>
  <c r="M35" i="6"/>
  <c r="CC59" i="5"/>
  <c r="CC65" i="5" s="1"/>
  <c r="CC69" i="5" s="1"/>
  <c r="CC107" i="5" s="1"/>
  <c r="CC101" i="5"/>
  <c r="CD59" i="5"/>
  <c r="CD65" i="5" s="1"/>
  <c r="CD69" i="5" s="1"/>
  <c r="CD107" i="5" s="1"/>
  <c r="CD101" i="5"/>
  <c r="CE59" i="5"/>
  <c r="CE65" i="5" s="1"/>
  <c r="CE69" i="5" s="1"/>
  <c r="CE107" i="5" s="1"/>
  <c r="M36" i="6"/>
  <c r="CH59" i="5"/>
  <c r="CH65" i="5" s="1"/>
  <c r="CH69" i="5" s="1"/>
  <c r="CH107" i="5" s="1"/>
  <c r="CH101" i="5"/>
  <c r="CI59" i="5"/>
  <c r="CI65" i="5" s="1"/>
  <c r="CI69" i="5" s="1"/>
  <c r="CI107" i="5" s="1"/>
  <c r="CI101" i="5"/>
  <c r="CJ59" i="5"/>
  <c r="CJ65" i="5" s="1"/>
  <c r="CJ69" i="5" s="1"/>
  <c r="CJ107" i="5" s="1"/>
  <c r="CJ101" i="5"/>
  <c r="CK59" i="5"/>
  <c r="CK65" i="5" s="1"/>
  <c r="CK69" i="5" s="1"/>
  <c r="CK107" i="5" s="1"/>
  <c r="CK101" i="5"/>
  <c r="CM101" i="5"/>
  <c r="N35" i="6"/>
  <c r="N37" i="6" s="1"/>
  <c r="N24" i="14" s="1"/>
  <c r="CM59" i="5"/>
  <c r="CM65" i="5" s="1"/>
  <c r="CM69" i="5" s="1"/>
  <c r="CM107" i="5" s="1"/>
  <c r="CP59" i="5"/>
  <c r="CP65" i="5" s="1"/>
  <c r="CP69" i="5" s="1"/>
  <c r="CP107" i="5" s="1"/>
  <c r="CP101" i="5"/>
  <c r="CQ59" i="5"/>
  <c r="CQ65" i="5" s="1"/>
  <c r="CQ69" i="5" s="1"/>
  <c r="CQ107" i="5" s="1"/>
  <c r="CQ101" i="5"/>
  <c r="CS101" i="5"/>
  <c r="CS59" i="5"/>
  <c r="CS65" i="5" s="1"/>
  <c r="CS69" i="5" s="1"/>
  <c r="CS107" i="5" s="1"/>
  <c r="Y59" i="5"/>
  <c r="Y65" i="5" s="1"/>
  <c r="Y69" i="5" s="1"/>
  <c r="Y107" i="5" s="1"/>
  <c r="Y101" i="5"/>
  <c r="Z59" i="5"/>
  <c r="Z65" i="5" s="1"/>
  <c r="Z69" i="5" s="1"/>
  <c r="Z107" i="5" s="1"/>
  <c r="Z101" i="5"/>
  <c r="AA59" i="5"/>
  <c r="AA65" i="5" s="1"/>
  <c r="AA69" i="5" s="1"/>
  <c r="AA107" i="5" s="1"/>
  <c r="AA101" i="5"/>
  <c r="AB101" i="5"/>
  <c r="AB59" i="5"/>
  <c r="AB65" i="5" s="1"/>
  <c r="AB69" i="5" s="1"/>
  <c r="AB107" i="5" s="1"/>
  <c r="AC101" i="5"/>
  <c r="AC59" i="5"/>
  <c r="AC65" i="5" s="1"/>
  <c r="AC69" i="5" s="1"/>
  <c r="AC107" i="5" s="1"/>
  <c r="AD101" i="5"/>
  <c r="AD59" i="5"/>
  <c r="AD65" i="5" s="1"/>
  <c r="AD69" i="5" s="1"/>
  <c r="AD107" i="5" s="1"/>
  <c r="BN63" i="5"/>
  <c r="BN96" i="5"/>
  <c r="BO92" i="5" s="1"/>
  <c r="BO96" i="5" s="1"/>
  <c r="BP92" i="5" s="1"/>
  <c r="BP96" i="5" s="1"/>
  <c r="BQ92" i="5" s="1"/>
  <c r="BQ96" i="5" s="1"/>
  <c r="BR92" i="5" s="1"/>
  <c r="BR96" i="5" s="1"/>
  <c r="BS92" i="5" s="1"/>
  <c r="BS96" i="5" s="1"/>
  <c r="BT92" i="5" s="1"/>
  <c r="BT96" i="5" s="1"/>
  <c r="BU92" i="5" s="1"/>
  <c r="BU96" i="5" s="1"/>
  <c r="BV92" i="5" s="1"/>
  <c r="BV96" i="5" s="1"/>
  <c r="BW92" i="5" s="1"/>
  <c r="BW96" i="5" s="1"/>
  <c r="BX92" i="5" s="1"/>
  <c r="BX96" i="5" s="1"/>
  <c r="BY92" i="5" s="1"/>
  <c r="BY96" i="5" s="1"/>
  <c r="BZ92" i="5" s="1"/>
  <c r="BZ96" i="5" s="1"/>
  <c r="CA92" i="5" s="1"/>
  <c r="CA96" i="5" s="1"/>
  <c r="CB92" i="5" s="1"/>
  <c r="CB96" i="5" s="1"/>
  <c r="CC92" i="5" s="1"/>
  <c r="CC96" i="5" s="1"/>
  <c r="CD92" i="5" s="1"/>
  <c r="CD96" i="5" s="1"/>
  <c r="CE92" i="5" s="1"/>
  <c r="CE96" i="5" s="1"/>
  <c r="CF92" i="5" s="1"/>
  <c r="CF96" i="5" s="1"/>
  <c r="CG92" i="5" s="1"/>
  <c r="CG96" i="5" s="1"/>
  <c r="CH92" i="5" s="1"/>
  <c r="CH96" i="5" s="1"/>
  <c r="CI92" i="5" s="1"/>
  <c r="CI96" i="5" s="1"/>
  <c r="CJ92" i="5" s="1"/>
  <c r="CJ96" i="5" s="1"/>
  <c r="CK92" i="5" s="1"/>
  <c r="CK96" i="5" s="1"/>
  <c r="CL92" i="5" s="1"/>
  <c r="CL96" i="5" s="1"/>
  <c r="CM92" i="5" s="1"/>
  <c r="CM96" i="5" s="1"/>
  <c r="CN92" i="5" s="1"/>
  <c r="CN96" i="5" s="1"/>
  <c r="CO92" i="5" s="1"/>
  <c r="CO96" i="5" s="1"/>
  <c r="CP92" i="5" s="1"/>
  <c r="CP96" i="5" s="1"/>
  <c r="CQ92" i="5" s="1"/>
  <c r="CQ96" i="5" s="1"/>
  <c r="CR92" i="5" s="1"/>
  <c r="CR96" i="5" s="1"/>
  <c r="CS92" i="5" s="1"/>
  <c r="CS96" i="5" s="1"/>
  <c r="CT92" i="5" s="1"/>
  <c r="CT96" i="5" s="1"/>
  <c r="CU92" i="5" s="1"/>
  <c r="CU96" i="5" s="1"/>
  <c r="CV92" i="5" s="1"/>
  <c r="CV96" i="5" s="1"/>
  <c r="CW92" i="5" s="1"/>
  <c r="CW96" i="5" s="1"/>
  <c r="CX92" i="5" s="1"/>
  <c r="CX96" i="5" s="1"/>
  <c r="CY92" i="5" s="1"/>
  <c r="CY96" i="5" s="1"/>
  <c r="CZ92" i="5" s="1"/>
  <c r="CZ96" i="5" s="1"/>
  <c r="DA92" i="5" s="1"/>
  <c r="DA96" i="5" s="1"/>
  <c r="DB92" i="5" s="1"/>
  <c r="DB96" i="5" s="1"/>
  <c r="DC92" i="5" s="1"/>
  <c r="DC96" i="5" s="1"/>
  <c r="DD92" i="5" s="1"/>
  <c r="DD96" i="5" s="1"/>
  <c r="DE92" i="5" s="1"/>
  <c r="DE96" i="5" s="1"/>
  <c r="DF92" i="5" s="1"/>
  <c r="DF96" i="5" s="1"/>
  <c r="DG92" i="5" s="1"/>
  <c r="DG96" i="5" s="1"/>
  <c r="DH92" i="5" s="1"/>
  <c r="DH96" i="5" s="1"/>
  <c r="DI92" i="5" s="1"/>
  <c r="DI96" i="5" s="1"/>
  <c r="DJ92" i="5" s="1"/>
  <c r="DJ96" i="5" s="1"/>
  <c r="DK92" i="5" s="1"/>
  <c r="DK96" i="5" s="1"/>
  <c r="DL92" i="5" s="1"/>
  <c r="DL96" i="5" s="1"/>
  <c r="DM92" i="5" s="1"/>
  <c r="DM96" i="5" s="1"/>
  <c r="DN92" i="5" s="1"/>
  <c r="DN96" i="5" s="1"/>
  <c r="DO92" i="5" s="1"/>
  <c r="DO96" i="5" s="1"/>
  <c r="DP92" i="5" s="1"/>
  <c r="DP96" i="5" s="1"/>
  <c r="DQ92" i="5" s="1"/>
  <c r="DQ96" i="5" s="1"/>
  <c r="DR92" i="5" s="1"/>
  <c r="DR96" i="5" s="1"/>
  <c r="DS92" i="5" s="1"/>
  <c r="DS96" i="5" s="1"/>
  <c r="DT92" i="5" s="1"/>
  <c r="DT96" i="5" s="1"/>
  <c r="DU92" i="5" s="1"/>
  <c r="DU96" i="5" s="1"/>
  <c r="DV92" i="5" s="1"/>
  <c r="DV95" i="5" s="1"/>
  <c r="I53" i="5"/>
  <c r="U37" i="6" l="1"/>
  <c r="U24" i="14" s="1"/>
  <c r="O37" i="6"/>
  <c r="O24" i="14" s="1"/>
  <c r="P31" i="6"/>
  <c r="DV52" i="5"/>
  <c r="R37" i="6"/>
  <c r="R24" i="14" s="1"/>
  <c r="T37" i="6"/>
  <c r="T24" i="14" s="1"/>
  <c r="Q37" i="6"/>
  <c r="Q24" i="14" s="1"/>
  <c r="M37" i="6"/>
  <c r="M24" i="14" s="1"/>
  <c r="L37" i="6"/>
  <c r="P37" i="6"/>
  <c r="P24" i="14" s="1"/>
  <c r="O44" i="6"/>
  <c r="O28" i="14" s="1"/>
  <c r="O42" i="6"/>
  <c r="BN65" i="5"/>
  <c r="BN69" i="5" s="1"/>
  <c r="BN107" i="5" s="1"/>
  <c r="K41" i="6"/>
  <c r="K42" i="6" s="1"/>
  <c r="K44" i="6"/>
  <c r="K28" i="14" s="1"/>
  <c r="J44" i="6"/>
  <c r="J28" i="14" s="1"/>
  <c r="J42" i="6"/>
  <c r="I42" i="6"/>
  <c r="I48" i="6" s="1"/>
  <c r="I44" i="6"/>
  <c r="I28" i="14" s="1"/>
  <c r="N44" i="6"/>
  <c r="N28" i="14" s="1"/>
  <c r="N42" i="6"/>
  <c r="N48" i="6" s="1"/>
  <c r="DV63" i="5"/>
  <c r="DV96" i="5"/>
  <c r="DW92" i="5" s="1"/>
  <c r="DW96" i="5" s="1"/>
  <c r="DX92" i="5" s="1"/>
  <c r="DX96" i="5" s="1"/>
  <c r="DY92" i="5" s="1"/>
  <c r="DY96" i="5" s="1"/>
  <c r="DZ92" i="5" s="1"/>
  <c r="DZ96" i="5" s="1"/>
  <c r="EA92" i="5" s="1"/>
  <c r="EA96" i="5" s="1"/>
  <c r="EB92" i="5" s="1"/>
  <c r="EB96" i="5" s="1"/>
  <c r="EC92" i="5" s="1"/>
  <c r="EC96" i="5" s="1"/>
  <c r="ED92" i="5" s="1"/>
  <c r="ED96" i="5" s="1"/>
  <c r="EE92" i="5" s="1"/>
  <c r="EE96" i="5" s="1"/>
  <c r="EF92" i="5" s="1"/>
  <c r="EF96" i="5" s="1"/>
  <c r="EG92" i="5" s="1"/>
  <c r="EG96" i="5" s="1"/>
  <c r="EH92" i="5" s="1"/>
  <c r="EH96" i="5" s="1"/>
  <c r="EI92" i="5" s="1"/>
  <c r="EI96" i="5" s="1"/>
  <c r="EJ92" i="5" s="1"/>
  <c r="EJ96" i="5" s="1"/>
  <c r="EK92" i="5" s="1"/>
  <c r="EK96" i="5" s="1"/>
  <c r="EL92" i="5" s="1"/>
  <c r="EL96" i="5" s="1"/>
  <c r="EM92" i="5" s="1"/>
  <c r="EM96" i="5" s="1"/>
  <c r="EN92" i="5" s="1"/>
  <c r="EN96" i="5" s="1"/>
  <c r="EO92" i="5" s="1"/>
  <c r="EO96" i="5" s="1"/>
  <c r="EP92" i="5" s="1"/>
  <c r="EP96" i="5" s="1"/>
  <c r="EQ92" i="5" s="1"/>
  <c r="EQ96" i="5" s="1"/>
  <c r="ER92" i="5" s="1"/>
  <c r="ER96" i="5" s="1"/>
  <c r="ES92" i="5" s="1"/>
  <c r="ES96" i="5" s="1"/>
  <c r="ET92" i="5" s="1"/>
  <c r="ET96" i="5" s="1"/>
  <c r="EU92" i="5" s="1"/>
  <c r="EU96" i="5" s="1"/>
  <c r="EV92" i="5" s="1"/>
  <c r="EV96" i="5" s="1"/>
  <c r="EW92" i="5" s="1"/>
  <c r="EW96" i="5" s="1"/>
  <c r="EX92" i="5" s="1"/>
  <c r="EX96" i="5" s="1"/>
  <c r="EY92" i="5" s="1"/>
  <c r="EY96" i="5" s="1"/>
  <c r="EZ92" i="5" s="1"/>
  <c r="EZ96" i="5" s="1"/>
  <c r="FA92" i="5" s="1"/>
  <c r="FA96" i="5" s="1"/>
  <c r="FB92" i="5" s="1"/>
  <c r="FB96" i="5" s="1"/>
  <c r="FC92" i="5" s="1"/>
  <c r="FC96" i="5" s="1"/>
  <c r="FD92" i="5" s="1"/>
  <c r="FD96" i="5" s="1"/>
  <c r="FE92" i="5" s="1"/>
  <c r="FE96" i="5" s="1"/>
  <c r="FF92" i="5" s="1"/>
  <c r="FF96" i="5" s="1"/>
  <c r="FG92" i="5" s="1"/>
  <c r="FG96" i="5" s="1"/>
  <c r="FH92" i="5" s="1"/>
  <c r="FH96" i="5" s="1"/>
  <c r="FI92" i="5" s="1"/>
  <c r="FI96" i="5" s="1"/>
  <c r="FJ92" i="5" s="1"/>
  <c r="FJ96" i="5" s="1"/>
  <c r="FK92" i="5" s="1"/>
  <c r="FK96" i="5" s="1"/>
  <c r="FL92" i="5" s="1"/>
  <c r="FL96" i="5" s="1"/>
  <c r="FM92" i="5" s="1"/>
  <c r="FM96" i="5" s="1"/>
  <c r="FN92" i="5" s="1"/>
  <c r="FN96" i="5" s="1"/>
  <c r="FO92" i="5" s="1"/>
  <c r="FO96" i="5" s="1"/>
  <c r="FP92" i="5" s="1"/>
  <c r="FP96" i="5" s="1"/>
  <c r="FQ92" i="5" s="1"/>
  <c r="FQ96" i="5" s="1"/>
  <c r="FR92" i="5" s="1"/>
  <c r="FR96" i="5" s="1"/>
  <c r="FS92" i="5" s="1"/>
  <c r="FS96" i="5" s="1"/>
  <c r="FT92" i="5" s="1"/>
  <c r="FT96" i="5" s="1"/>
  <c r="FU92" i="5" s="1"/>
  <c r="FU96" i="5" s="1"/>
  <c r="FV92" i="5" s="1"/>
  <c r="FV96" i="5" s="1"/>
  <c r="FW92" i="5" s="1"/>
  <c r="FW96" i="5" s="1"/>
  <c r="FX92" i="5" s="1"/>
  <c r="FX96" i="5" s="1"/>
  <c r="FY92" i="5" s="1"/>
  <c r="FY96" i="5" s="1"/>
  <c r="FZ92" i="5" s="1"/>
  <c r="FZ96" i="5" s="1"/>
  <c r="GA92" i="5" s="1"/>
  <c r="GA96" i="5" s="1"/>
  <c r="GB92" i="5" s="1"/>
  <c r="GB96" i="5" s="1"/>
  <c r="GC92" i="5" s="1"/>
  <c r="GC96" i="5" s="1"/>
  <c r="GD92" i="5" s="1"/>
  <c r="J53" i="5"/>
  <c r="L42" i="6" l="1"/>
  <c r="L24" i="14"/>
  <c r="M42" i="6"/>
  <c r="M44" i="6"/>
  <c r="M28" i="14" s="1"/>
  <c r="P32" i="6"/>
  <c r="P33" i="6" s="1"/>
  <c r="DV54" i="5"/>
  <c r="L44" i="6"/>
  <c r="L28" i="14" s="1"/>
  <c r="P44" i="6"/>
  <c r="P28" i="14" s="1"/>
  <c r="K48" i="6"/>
  <c r="P32" i="2"/>
  <c r="P37" i="2" s="1"/>
  <c r="P46" i="2" s="1"/>
  <c r="O48" i="6"/>
  <c r="L32" i="2"/>
  <c r="L37" i="2" s="1"/>
  <c r="L46" i="2" s="1"/>
  <c r="J32" i="2"/>
  <c r="K32" i="2"/>
  <c r="J48" i="6"/>
  <c r="O32" i="2"/>
  <c r="P41" i="6"/>
  <c r="GD95" i="5"/>
  <c r="U46" i="6"/>
  <c r="K53" i="5"/>
  <c r="L48" i="6" l="1"/>
  <c r="M32" i="2"/>
  <c r="M37" i="2" s="1"/>
  <c r="M46" i="2" s="1"/>
  <c r="N32" i="2"/>
  <c r="N37" i="2" s="1"/>
  <c r="N46" i="2" s="1"/>
  <c r="M48" i="6"/>
  <c r="P42" i="6"/>
  <c r="DV103" i="5"/>
  <c r="DV65" i="5"/>
  <c r="DV69" i="5" s="1"/>
  <c r="DV107" i="5" s="1"/>
  <c r="J37" i="2"/>
  <c r="J46" i="2" s="1"/>
  <c r="K37" i="2"/>
  <c r="K46" i="2" s="1"/>
  <c r="O37" i="2"/>
  <c r="O46" i="2" s="1"/>
  <c r="GD63" i="5"/>
  <c r="GD96" i="5"/>
  <c r="GE92" i="5" s="1"/>
  <c r="GE96" i="5" s="1"/>
  <c r="GF92" i="5" s="1"/>
  <c r="GF96" i="5" s="1"/>
  <c r="GG92" i="5" s="1"/>
  <c r="GG96" i="5" s="1"/>
  <c r="GH92" i="5" s="1"/>
  <c r="GH96" i="5" s="1"/>
  <c r="GI92" i="5" s="1"/>
  <c r="GI96" i="5" s="1"/>
  <c r="GJ92" i="5" s="1"/>
  <c r="GJ96" i="5" s="1"/>
  <c r="GK92" i="5" s="1"/>
  <c r="GK96" i="5" s="1"/>
  <c r="GL92" i="5" s="1"/>
  <c r="GL96" i="5" s="1"/>
  <c r="GM92" i="5" s="1"/>
  <c r="GM96" i="5" s="1"/>
  <c r="D105" i="5" l="1"/>
  <c r="E8" i="2" s="1"/>
  <c r="D104" i="5"/>
  <c r="E7" i="2" s="1"/>
  <c r="D106" i="5"/>
  <c r="E9" i="2" s="1"/>
  <c r="Q32" i="2"/>
  <c r="Q37" i="2" s="1"/>
  <c r="Q46" i="2" s="1"/>
  <c r="P48" i="6"/>
  <c r="GD65" i="5"/>
  <c r="GD69" i="5" s="1"/>
  <c r="GD107" i="5" s="1"/>
  <c r="U41" i="6"/>
  <c r="U42" i="6" s="1"/>
  <c r="L53" i="5"/>
  <c r="D9" i="1" l="1"/>
  <c r="D35" i="14"/>
  <c r="D34" i="14"/>
  <c r="D8" i="1"/>
  <c r="D10" i="1"/>
  <c r="D36" i="14"/>
  <c r="U48" i="6"/>
  <c r="V32" i="2"/>
  <c r="V37" i="2" s="1"/>
  <c r="V46" i="2" s="1"/>
  <c r="M53" i="5" l="1"/>
  <c r="N53" i="5" l="1"/>
  <c r="O53" i="5" l="1"/>
  <c r="P53" i="5" l="1"/>
  <c r="Q53" i="5" l="1"/>
  <c r="R53" i="5" l="1"/>
  <c r="S53" i="5" l="1"/>
  <c r="T53" i="5" l="1"/>
  <c r="U53" i="5" l="1"/>
  <c r="V53" i="5" l="1"/>
  <c r="W53" i="5" l="1"/>
  <c r="X53" i="5" l="1"/>
  <c r="Y53" i="5" l="1"/>
  <c r="Z53" i="5" l="1"/>
  <c r="AA53" i="5" l="1"/>
  <c r="AB53" i="5" l="1"/>
  <c r="AC53" i="5" l="1"/>
  <c r="AD53" i="5" l="1"/>
  <c r="AE53" i="5" l="1"/>
  <c r="AF53" i="5" l="1"/>
  <c r="AG53" i="5" l="1"/>
  <c r="AH53" i="5" l="1"/>
  <c r="AI53" i="5" l="1"/>
  <c r="AJ53" i="5" l="1"/>
  <c r="AK53" i="5" l="1"/>
  <c r="AL53" i="5" l="1"/>
  <c r="AM53" i="5" l="1"/>
  <c r="AN53" i="5" l="1"/>
  <c r="AO53" i="5" l="1"/>
  <c r="AP53" i="5" l="1"/>
  <c r="AQ53" i="5" l="1"/>
  <c r="AR53" i="5" l="1"/>
  <c r="AS53" i="5" l="1"/>
  <c r="AT53" i="5" l="1"/>
  <c r="AU53" i="5" l="1"/>
  <c r="AV53" i="5" l="1"/>
  <c r="AW53" i="5" l="1"/>
  <c r="AX53" i="5" l="1"/>
  <c r="AY53" i="5" l="1"/>
  <c r="AZ53" i="5" l="1"/>
  <c r="BA53" i="5" l="1"/>
  <c r="BB53" i="5" l="1"/>
  <c r="BC53" i="5" l="1"/>
  <c r="BD53" i="5" l="1"/>
  <c r="BE53" i="5" l="1"/>
  <c r="BF53" i="5" l="1"/>
  <c r="BG53" i="5" l="1"/>
  <c r="BH53" i="5" l="1"/>
  <c r="BI53" i="5" l="1"/>
  <c r="BJ53" i="5" l="1"/>
  <c r="BK53" i="5" l="1"/>
  <c r="BL53" i="5" l="1"/>
  <c r="BM53" i="5" l="1"/>
  <c r="BN53" i="5" l="1"/>
  <c r="BO53" i="5" l="1"/>
  <c r="BP53" i="5" l="1"/>
  <c r="BQ53" i="5" l="1"/>
  <c r="BR53" i="5" l="1"/>
  <c r="BS53" i="5" l="1"/>
  <c r="BT53" i="5" l="1"/>
  <c r="BU53" i="5" l="1"/>
  <c r="BV53" i="5" l="1"/>
  <c r="BW53" i="5" l="1"/>
  <c r="BX53" i="5" l="1"/>
  <c r="BY53" i="5" l="1"/>
  <c r="BZ53" i="5" l="1"/>
  <c r="CA53" i="5" l="1"/>
  <c r="CB53" i="5" l="1"/>
  <c r="CC53" i="5" l="1"/>
  <c r="CD53" i="5" l="1"/>
  <c r="CE53" i="5" l="1"/>
  <c r="CF53" i="5" l="1"/>
  <c r="CG53" i="5" l="1"/>
  <c r="CH53" i="5" l="1"/>
  <c r="CI53" i="5" l="1"/>
  <c r="CJ53" i="5" l="1"/>
  <c r="CK53" i="5" l="1"/>
  <c r="CL53" i="5" l="1"/>
  <c r="CM53" i="5" l="1"/>
  <c r="CN53" i="5" l="1"/>
  <c r="CO53" i="5" l="1"/>
  <c r="CP53" i="5" l="1"/>
  <c r="CQ53" i="5" l="1"/>
  <c r="CR53" i="5" l="1"/>
  <c r="CS53" i="5" l="1"/>
  <c r="CT53" i="5" l="1"/>
  <c r="CU53" i="5" l="1"/>
  <c r="CV53" i="5" l="1"/>
  <c r="CW53" i="5" l="1"/>
  <c r="CX53" i="5" l="1"/>
  <c r="CY53" i="5" l="1"/>
  <c r="CZ53" i="5" l="1"/>
  <c r="DA53" i="5" l="1"/>
  <c r="DB53" i="5" l="1"/>
  <c r="DC53" i="5" l="1"/>
  <c r="DD53" i="5" l="1"/>
  <c r="DE53" i="5" l="1"/>
  <c r="DF53" i="5" l="1"/>
  <c r="DG53" i="5" l="1"/>
  <c r="DH53" i="5" l="1"/>
  <c r="DI53" i="5" l="1"/>
  <c r="DJ53" i="5" l="1"/>
  <c r="DK53" i="5" l="1"/>
  <c r="DL53" i="5" l="1"/>
  <c r="DM53" i="5" l="1"/>
  <c r="DN53" i="5" l="1"/>
  <c r="DO53" i="5" l="1"/>
  <c r="DP53" i="5" l="1"/>
  <c r="DQ53" i="5" l="1"/>
  <c r="DR53" i="5" l="1"/>
  <c r="DS53" i="5" l="1"/>
  <c r="DT53" i="5" l="1"/>
  <c r="DU53" i="5" l="1"/>
  <c r="DV53" i="5" l="1"/>
  <c r="DW53" i="5" l="1"/>
  <c r="DX53" i="5" l="1"/>
  <c r="DY53" i="5" l="1"/>
  <c r="DZ53" i="5" l="1"/>
  <c r="EA53" i="5" l="1"/>
  <c r="EB53" i="5" l="1"/>
  <c r="EC53" i="5" l="1"/>
  <c r="ED53" i="5" l="1"/>
  <c r="EE53" i="5" l="1"/>
  <c r="EF53" i="5" l="1"/>
  <c r="EG53" i="5" l="1"/>
  <c r="EH53" i="5" l="1"/>
  <c r="EI53" i="5" l="1"/>
  <c r="EJ53" i="5" l="1"/>
  <c r="EK53" i="5" l="1"/>
  <c r="EL53" i="5" l="1"/>
  <c r="EM53" i="5" l="1"/>
  <c r="EN53" i="5" l="1"/>
  <c r="EO53" i="5" l="1"/>
  <c r="EP53" i="5" l="1"/>
  <c r="EQ53" i="5" l="1"/>
  <c r="ER53" i="5" l="1"/>
  <c r="ES53" i="5" l="1"/>
  <c r="ET53" i="5" l="1"/>
  <c r="EU53" i="5" l="1"/>
  <c r="EV53" i="5" l="1"/>
  <c r="EW53" i="5" l="1"/>
  <c r="EX53" i="5" l="1"/>
  <c r="EY53" i="5" l="1"/>
  <c r="EZ53" i="5" l="1"/>
  <c r="FA53" i="5" l="1"/>
  <c r="FB53" i="5" l="1"/>
  <c r="FC53" i="5" l="1"/>
  <c r="FD53" i="5" l="1"/>
  <c r="FE53" i="5" l="1"/>
  <c r="FF53" i="5" l="1"/>
  <c r="FG53" i="5" l="1"/>
  <c r="FH53" i="5" l="1"/>
  <c r="FI53" i="5" l="1"/>
  <c r="FJ53" i="5" l="1"/>
  <c r="FK53" i="5" l="1"/>
  <c r="FL53" i="5" l="1"/>
  <c r="FM53" i="5" l="1"/>
  <c r="FN53" i="5" l="1"/>
  <c r="FO53" i="5" l="1"/>
  <c r="FP53" i="5" l="1"/>
  <c r="FQ53" i="5" l="1"/>
  <c r="FR53" i="5" l="1"/>
  <c r="FS53" i="5" l="1"/>
  <c r="FT53" i="5" l="1"/>
  <c r="FU53" i="5" l="1"/>
  <c r="FV53" i="5" l="1"/>
  <c r="FW53" i="5" l="1"/>
  <c r="FX53" i="5" l="1"/>
  <c r="FY53" i="5" l="1"/>
  <c r="FZ53" i="5" l="1"/>
  <c r="GA53" i="5" l="1"/>
  <c r="GB53" i="5" l="1"/>
  <c r="GC53" i="5" l="1"/>
  <c r="E78" i="1" l="1"/>
  <c r="J63" i="14" s="1"/>
  <c r="I97" i="1" l="1"/>
  <c r="J96" i="1" l="1"/>
  <c r="M36" i="14" s="1"/>
  <c r="L37" i="14"/>
  <c r="D94" i="1"/>
  <c r="J93" i="1"/>
  <c r="M33" i="14" s="1"/>
  <c r="J94" i="1"/>
  <c r="M34" i="14" s="1"/>
  <c r="J95" i="1"/>
  <c r="M35" i="14" s="1"/>
  <c r="H34" i="14" l="1"/>
  <c r="H35" i="14" s="1"/>
  <c r="F9" i="14"/>
  <c r="F74" i="5"/>
  <c r="F75" i="5" s="1"/>
  <c r="E12" i="2"/>
  <c r="J46" i="6"/>
  <c r="M46" i="6"/>
  <c r="K46" i="6"/>
  <c r="I46" i="6"/>
  <c r="L46" i="6"/>
  <c r="O46" i="6"/>
  <c r="N46" i="6"/>
  <c r="P46" i="6"/>
  <c r="J97" i="1"/>
  <c r="M37" i="14" s="1"/>
  <c r="D95" i="1"/>
  <c r="E73" i="14" s="1"/>
  <c r="E87" i="1"/>
  <c r="E71" i="14" s="1"/>
  <c r="E18" i="2" l="1"/>
  <c r="E19" i="2"/>
  <c r="E20" i="2"/>
  <c r="E21" i="2"/>
  <c r="E22" i="2"/>
  <c r="M45" i="6"/>
  <c r="L45" i="6"/>
  <c r="H45" i="6"/>
  <c r="I45" i="6"/>
  <c r="N45" i="6"/>
  <c r="G45" i="6"/>
  <c r="O45" i="6"/>
  <c r="J45" i="6"/>
  <c r="P45" i="6"/>
  <c r="K45" i="6"/>
  <c r="F66" i="5"/>
  <c r="F76" i="5"/>
  <c r="E86" i="1"/>
  <c r="E72" i="14" s="1"/>
  <c r="D97" i="1"/>
  <c r="E93" i="1"/>
  <c r="I33" i="14" s="1"/>
  <c r="E94" i="1"/>
  <c r="I34" i="14" s="1"/>
  <c r="I35" i="14" l="1"/>
  <c r="E23" i="2"/>
  <c r="L7" i="2"/>
  <c r="L6" i="2"/>
  <c r="G21" i="2"/>
  <c r="G22" i="2"/>
  <c r="D13" i="2"/>
  <c r="D12" i="2"/>
  <c r="F69" i="5"/>
  <c r="F107" i="5" s="1"/>
  <c r="F40" i="6"/>
  <c r="F42" i="6" s="1"/>
  <c r="E95" i="1"/>
  <c r="E15" i="2" l="1"/>
  <c r="G32" i="2"/>
  <c r="G37" i="2" s="1"/>
  <c r="L5" i="2"/>
  <c r="F48" i="6"/>
  <c r="M7" i="2" l="1"/>
  <c r="M6" i="2"/>
  <c r="G46" i="2"/>
  <c r="G39" i="2"/>
  <c r="G40" i="2" l="1"/>
  <c r="H36" i="2" s="1"/>
  <c r="H38" i="2" s="1"/>
  <c r="G52" i="2"/>
  <c r="G48" i="2"/>
  <c r="G74" i="2"/>
  <c r="G80" i="2"/>
  <c r="G44" i="2"/>
  <c r="G53" i="2" l="1"/>
  <c r="G54" i="2" s="1"/>
  <c r="G49" i="2" s="1"/>
  <c r="G50" i="2" s="1"/>
  <c r="H45" i="2" s="1"/>
  <c r="H47" i="2" s="1"/>
  <c r="G75" i="2" l="1"/>
  <c r="G59" i="2" s="1"/>
  <c r="G61" i="2" s="1"/>
  <c r="G55" i="2"/>
  <c r="G81" i="2" l="1"/>
  <c r="G60" i="2" s="1"/>
  <c r="G62" i="2" s="1"/>
  <c r="G56" i="2"/>
  <c r="G63" i="2" l="1"/>
  <c r="G66" i="2" l="1"/>
  <c r="G64" i="2"/>
  <c r="G76" i="2" s="1"/>
  <c r="G65" i="2"/>
  <c r="G82" i="2" s="1"/>
  <c r="G70" i="2" l="1"/>
  <c r="G83" i="2" s="1"/>
  <c r="G84" i="2" s="1"/>
  <c r="G69" i="2"/>
  <c r="G77" i="2" s="1"/>
  <c r="G78" i="2" s="1"/>
  <c r="G90" i="2" l="1"/>
  <c r="G93" i="2"/>
  <c r="G94" i="2"/>
  <c r="G86" i="2"/>
  <c r="G91" i="2"/>
  <c r="G92" i="2"/>
  <c r="G96" i="2" l="1"/>
  <c r="G97" i="2" s="1"/>
  <c r="Y100" i="5" l="1"/>
  <c r="Z100" i="5" l="1"/>
  <c r="AA100" i="5" l="1"/>
  <c r="AB100" i="5" l="1"/>
  <c r="AC100" i="5" l="1"/>
  <c r="AD100" i="5" l="1"/>
  <c r="AE100" i="5" l="1"/>
  <c r="AF100" i="5" l="1"/>
  <c r="AH100" i="5" l="1"/>
  <c r="AG100" i="5"/>
  <c r="AI100" i="5" l="1"/>
  <c r="AJ100" i="5" l="1"/>
  <c r="AK100" i="5" l="1"/>
  <c r="AL100" i="5" l="1"/>
  <c r="AM100" i="5" l="1"/>
  <c r="AN100" i="5" l="1"/>
  <c r="AO100" i="5" l="1"/>
  <c r="AP100" i="5" l="1"/>
  <c r="AQ100" i="5" l="1"/>
  <c r="AR100" i="5" l="1"/>
  <c r="AS100" i="5" l="1"/>
  <c r="AT100" i="5" l="1"/>
  <c r="AU100" i="5"/>
  <c r="AV100" i="5" l="1"/>
  <c r="AW100" i="5" l="1"/>
  <c r="AX100" i="5" l="1"/>
  <c r="AY100" i="5" l="1"/>
  <c r="AZ100" i="5" l="1"/>
  <c r="BA100" i="5" l="1"/>
  <c r="BB100" i="5" l="1"/>
  <c r="BC100" i="5" l="1"/>
  <c r="BD100" i="5" l="1"/>
  <c r="BE100" i="5" l="1"/>
  <c r="BF100" i="5" l="1"/>
  <c r="BG100" i="5" l="1"/>
  <c r="BH100" i="5" l="1"/>
  <c r="BI100" i="5" l="1"/>
  <c r="BJ100" i="5" l="1"/>
  <c r="BK100" i="5" l="1"/>
  <c r="BL100" i="5" l="1"/>
  <c r="BM100" i="5" l="1"/>
  <c r="BN100" i="5" l="1"/>
  <c r="BO100" i="5" l="1"/>
  <c r="BP100" i="5" l="1"/>
  <c r="BQ100" i="5" l="1"/>
  <c r="BR100" i="5" l="1"/>
  <c r="BS100" i="5" l="1"/>
  <c r="BT100" i="5" l="1"/>
  <c r="BU100" i="5" l="1"/>
  <c r="BV100" i="5" l="1"/>
  <c r="BW100" i="5" l="1"/>
  <c r="BX100" i="5" l="1"/>
  <c r="BY100" i="5" l="1"/>
  <c r="BZ100" i="5" l="1"/>
  <c r="CA100" i="5" l="1"/>
  <c r="CB100" i="5" l="1"/>
  <c r="CC100" i="5" l="1"/>
  <c r="CD100" i="5" l="1"/>
  <c r="CE100" i="5" l="1"/>
  <c r="CF100" i="5" l="1"/>
  <c r="CG100" i="5" l="1"/>
  <c r="CH100" i="5" l="1"/>
  <c r="CI100" i="5" l="1"/>
  <c r="CJ100" i="5" l="1"/>
  <c r="CK100" i="5" l="1"/>
  <c r="CL100" i="5" l="1"/>
  <c r="CM100" i="5" l="1"/>
  <c r="CN100" i="5" l="1"/>
  <c r="CO100" i="5" l="1"/>
  <c r="CP100" i="5" l="1"/>
  <c r="CQ100" i="5" l="1"/>
  <c r="CR100" i="5" l="1"/>
  <c r="CS100" i="5" l="1"/>
  <c r="CT100" i="5" l="1"/>
  <c r="CU100" i="5" l="1"/>
  <c r="CV100" i="5" l="1"/>
  <c r="CW100" i="5" l="1"/>
  <c r="CX100" i="5" l="1"/>
  <c r="CY100" i="5" l="1"/>
  <c r="CZ100" i="5" l="1"/>
  <c r="DA100" i="5" l="1"/>
  <c r="DB100" i="5" l="1"/>
  <c r="DC100" i="5" l="1"/>
  <c r="DD100" i="5" l="1"/>
  <c r="DE100" i="5" l="1"/>
  <c r="DF100" i="5" l="1"/>
  <c r="DG100" i="5" l="1"/>
  <c r="DH100" i="5" l="1"/>
  <c r="DI100" i="5" l="1"/>
  <c r="DJ100" i="5" l="1"/>
  <c r="DK100" i="5" l="1"/>
  <c r="DL100" i="5" l="1"/>
  <c r="DM100" i="5" l="1"/>
  <c r="DN100" i="5" l="1"/>
  <c r="DO100" i="5" l="1"/>
  <c r="DP100" i="5" l="1"/>
  <c r="DQ100" i="5" l="1"/>
  <c r="DR100" i="5" l="1"/>
  <c r="DS100" i="5" l="1"/>
  <c r="DT100" i="5" l="1"/>
  <c r="DU100" i="5" l="1"/>
  <c r="DV100" i="5" l="1"/>
  <c r="DW100" i="5" l="1"/>
  <c r="DX100" i="5" l="1"/>
  <c r="DY100" i="5" l="1"/>
  <c r="DZ100" i="5" l="1"/>
  <c r="EA100" i="5" l="1"/>
  <c r="EB100" i="5" l="1"/>
  <c r="EC100" i="5" l="1"/>
  <c r="ED100" i="5" l="1"/>
  <c r="EE100" i="5" l="1"/>
  <c r="EF100" i="5" l="1"/>
  <c r="EG100" i="5" l="1"/>
  <c r="EH100" i="5" l="1"/>
  <c r="EI100" i="5" l="1"/>
  <c r="EJ100" i="5" l="1"/>
  <c r="EK100" i="5" l="1"/>
  <c r="EL100" i="5" l="1"/>
  <c r="EM100" i="5" l="1"/>
  <c r="EN100" i="5" l="1"/>
  <c r="EO100" i="5" l="1"/>
  <c r="EP100" i="5" l="1"/>
  <c r="EQ100" i="5" l="1"/>
  <c r="ER100" i="5" l="1"/>
  <c r="ES100" i="5" l="1"/>
  <c r="ET100" i="5" l="1"/>
  <c r="EU100" i="5" l="1"/>
  <c r="EV100" i="5" l="1"/>
  <c r="EW100" i="5" l="1"/>
  <c r="EX100" i="5" l="1"/>
  <c r="EY100" i="5" l="1"/>
  <c r="EZ100" i="5" l="1"/>
  <c r="FA100" i="5" l="1"/>
  <c r="FB100" i="5" l="1"/>
  <c r="FC100" i="5" l="1"/>
  <c r="FD100" i="5" l="1"/>
  <c r="FE100" i="5" l="1"/>
  <c r="FF100" i="5" l="1"/>
  <c r="FG100" i="5" l="1"/>
  <c r="FH100" i="5" l="1"/>
  <c r="FI100" i="5" l="1"/>
  <c r="FJ100" i="5" l="1"/>
  <c r="FK100" i="5"/>
  <c r="FL100" i="5" l="1"/>
  <c r="FM100" i="5" l="1"/>
  <c r="FN100" i="5" l="1"/>
  <c r="FO100" i="5" l="1"/>
  <c r="FP100" i="5" l="1"/>
  <c r="FQ100" i="5" l="1"/>
  <c r="FR100" i="5" l="1"/>
  <c r="FS100" i="5" l="1"/>
  <c r="FT100" i="5" l="1"/>
  <c r="FU100" i="5" l="1"/>
  <c r="FV100" i="5" l="1"/>
  <c r="FW100" i="5" l="1"/>
  <c r="FX100" i="5" l="1"/>
  <c r="FY100" i="5" l="1"/>
  <c r="FZ100" i="5" l="1"/>
  <c r="GA100" i="5" l="1"/>
  <c r="GB100" i="5" l="1"/>
  <c r="GC100" i="5" l="1"/>
  <c r="GD100" i="5" l="1"/>
  <c r="GD53" i="5" l="1"/>
  <c r="F89" i="5" l="1"/>
  <c r="F80" i="5"/>
  <c r="F81" i="5"/>
  <c r="F77" i="5"/>
  <c r="G85" i="5" l="1"/>
  <c r="G86" i="5" s="1"/>
  <c r="F38" i="6"/>
  <c r="F82" i="5"/>
  <c r="G97" i="5" l="1"/>
  <c r="G100" i="5" s="1"/>
  <c r="G57" i="5"/>
  <c r="G101" i="5" l="1"/>
  <c r="G59" i="5"/>
  <c r="G65" i="5" s="1"/>
  <c r="G74" i="5" s="1"/>
  <c r="G80" i="5" l="1"/>
  <c r="G75" i="5"/>
  <c r="G89" i="5" l="1"/>
  <c r="H85" i="5" s="1"/>
  <c r="H86" i="5" s="1"/>
  <c r="G66" i="5"/>
  <c r="G81" i="5"/>
  <c r="G76" i="5"/>
  <c r="G77" i="5" s="1"/>
  <c r="G69" i="5" l="1"/>
  <c r="G107" i="5" s="1"/>
  <c r="G82" i="5"/>
  <c r="H57" i="5"/>
  <c r="H97" i="5"/>
  <c r="H100" i="5" s="1"/>
  <c r="H101" i="5" l="1"/>
  <c r="H59" i="5"/>
  <c r="H65" i="5" s="1"/>
  <c r="H74" i="5" s="1"/>
  <c r="H75" i="5" l="1"/>
  <c r="H81" i="5" s="1"/>
  <c r="H80" i="5"/>
  <c r="H82" i="5" l="1"/>
  <c r="H89" i="5"/>
  <c r="I85" i="5" s="1"/>
  <c r="I86" i="5" s="1"/>
  <c r="H66" i="5"/>
  <c r="H76" i="5"/>
  <c r="H77" i="5" s="1"/>
  <c r="H69" i="5" l="1"/>
  <c r="H107" i="5" s="1"/>
  <c r="I97" i="5"/>
  <c r="I100" i="5" s="1"/>
  <c r="I57" i="5"/>
  <c r="I59" i="5" l="1"/>
  <c r="I65" i="5" s="1"/>
  <c r="I74" i="5" s="1"/>
  <c r="I101" i="5"/>
  <c r="I75" i="5" l="1"/>
  <c r="I80" i="5"/>
  <c r="I81" i="5" l="1"/>
  <c r="I82" i="5" s="1"/>
  <c r="I66" i="5"/>
  <c r="I89" i="5"/>
  <c r="J85" i="5" s="1"/>
  <c r="J86" i="5" s="1"/>
  <c r="I76" i="5"/>
  <c r="I77" i="5" s="1"/>
  <c r="I69" i="5" l="1"/>
  <c r="I107" i="5" s="1"/>
  <c r="J97" i="5"/>
  <c r="J100" i="5" s="1"/>
  <c r="J57" i="5"/>
  <c r="J101" i="5" l="1"/>
  <c r="J59" i="5"/>
  <c r="J65" i="5" s="1"/>
  <c r="J74" i="5" l="1"/>
  <c r="J80" i="5" l="1"/>
  <c r="J75" i="5"/>
  <c r="J76" i="5" s="1"/>
  <c r="J77" i="5" s="1"/>
  <c r="J66" i="5" l="1"/>
  <c r="J81" i="5"/>
  <c r="J82" i="5" s="1"/>
  <c r="J89" i="5"/>
  <c r="K85" i="5" s="1"/>
  <c r="K86" i="5" s="1"/>
  <c r="J69" i="5" l="1"/>
  <c r="J107" i="5" s="1"/>
  <c r="K57" i="5"/>
  <c r="K97" i="5"/>
  <c r="K100" i="5" s="1"/>
  <c r="K59" i="5" l="1"/>
  <c r="K65" i="5" s="1"/>
  <c r="K74" i="5" s="1"/>
  <c r="K101" i="5"/>
  <c r="K80" i="5" l="1"/>
  <c r="K75" i="5"/>
  <c r="K66" i="5" l="1"/>
  <c r="K69" i="5" s="1"/>
  <c r="K107" i="5" s="1"/>
  <c r="K81" i="5"/>
  <c r="K82" i="5" s="1"/>
  <c r="K89" i="5"/>
  <c r="L85" i="5" s="1"/>
  <c r="L86" i="5" s="1"/>
  <c r="K76" i="5"/>
  <c r="K77" i="5" s="1"/>
  <c r="L57" i="5" l="1"/>
  <c r="L97" i="5"/>
  <c r="L100" i="5" s="1"/>
  <c r="L101" i="5" l="1"/>
  <c r="L59" i="5"/>
  <c r="L65" i="5" s="1"/>
  <c r="L74" i="5" l="1"/>
  <c r="L80" i="5" l="1"/>
  <c r="L75" i="5"/>
  <c r="L76" i="5" l="1"/>
  <c r="L77" i="5" s="1"/>
  <c r="L66" i="5"/>
  <c r="L69" i="5" s="1"/>
  <c r="L107" i="5" s="1"/>
  <c r="L81" i="5"/>
  <c r="L82" i="5" s="1"/>
  <c r="L89" i="5"/>
  <c r="M85" i="5" s="1"/>
  <c r="M86" i="5" s="1"/>
  <c r="M57" i="5" l="1"/>
  <c r="M97" i="5"/>
  <c r="M100" i="5" s="1"/>
  <c r="M101" i="5" l="1"/>
  <c r="M59" i="5"/>
  <c r="M65" i="5" s="1"/>
  <c r="M74" i="5" l="1"/>
  <c r="M75" i="5" s="1"/>
  <c r="M66" i="5" l="1"/>
  <c r="M69" i="5" s="1"/>
  <c r="M107" i="5" s="1"/>
  <c r="M81" i="5"/>
  <c r="M89" i="5"/>
  <c r="N85" i="5" s="1"/>
  <c r="N86" i="5" s="1"/>
  <c r="M76" i="5"/>
  <c r="M77" i="5" s="1"/>
  <c r="M80" i="5"/>
  <c r="N57" i="5" l="1"/>
  <c r="N97" i="5"/>
  <c r="N100" i="5" s="1"/>
  <c r="M82" i="5"/>
  <c r="N59" i="5" l="1"/>
  <c r="N65" i="5" s="1"/>
  <c r="N101" i="5"/>
  <c r="N74" i="5" l="1"/>
  <c r="N80" i="5" l="1"/>
  <c r="N75" i="5"/>
  <c r="N76" i="5" l="1"/>
  <c r="N77" i="5" s="1"/>
  <c r="N66" i="5"/>
  <c r="N69" i="5" s="1"/>
  <c r="N107" i="5" s="1"/>
  <c r="N81" i="5"/>
  <c r="N82" i="5" s="1"/>
  <c r="N89" i="5"/>
  <c r="O85" i="5" s="1"/>
  <c r="O86" i="5" s="1"/>
  <c r="O57" i="5" l="1"/>
  <c r="O97" i="5"/>
  <c r="O100" i="5" s="1"/>
  <c r="O101" i="5" l="1"/>
  <c r="O59" i="5"/>
  <c r="O65" i="5" s="1"/>
  <c r="O74" i="5" l="1"/>
  <c r="O80" i="5" l="1"/>
  <c r="O75" i="5"/>
  <c r="O76" i="5" l="1"/>
  <c r="O77" i="5" s="1"/>
  <c r="O66" i="5"/>
  <c r="O69" i="5" s="1"/>
  <c r="O107" i="5" s="1"/>
  <c r="O81" i="5"/>
  <c r="O82" i="5" s="1"/>
  <c r="O89" i="5"/>
  <c r="P85" i="5" s="1"/>
  <c r="P86" i="5" s="1"/>
  <c r="P57" i="5" l="1"/>
  <c r="P97" i="5"/>
  <c r="P100" i="5" s="1"/>
  <c r="P101" i="5" l="1"/>
  <c r="P59" i="5"/>
  <c r="P65" i="5" s="1"/>
  <c r="P74" i="5" s="1"/>
  <c r="P80" i="5" l="1"/>
  <c r="P75" i="5"/>
  <c r="P81" i="5" l="1"/>
  <c r="P82" i="5" s="1"/>
  <c r="P66" i="5"/>
  <c r="P69" i="5" s="1"/>
  <c r="P107" i="5" s="1"/>
  <c r="P89" i="5"/>
  <c r="Q85" i="5" s="1"/>
  <c r="Q86" i="5" s="1"/>
  <c r="P76" i="5"/>
  <c r="P77" i="5" s="1"/>
  <c r="Q57" i="5" l="1"/>
  <c r="Q97" i="5"/>
  <c r="Q100" i="5" s="1"/>
  <c r="Q101" i="5" l="1"/>
  <c r="Q59" i="5"/>
  <c r="Q65" i="5" s="1"/>
  <c r="Q74" i="5" l="1"/>
  <c r="Q75" i="5" s="1"/>
  <c r="Q89" i="5" l="1"/>
  <c r="R85" i="5" s="1"/>
  <c r="R86" i="5" s="1"/>
  <c r="Q81" i="5"/>
  <c r="Q66" i="5"/>
  <c r="Q69" i="5" s="1"/>
  <c r="Q107" i="5" s="1"/>
  <c r="Q76" i="5"/>
  <c r="Q77" i="5" s="1"/>
  <c r="Q80" i="5"/>
  <c r="R57" i="5" l="1"/>
  <c r="R97" i="5"/>
  <c r="R100" i="5" s="1"/>
  <c r="Q82" i="5"/>
  <c r="R101" i="5" l="1"/>
  <c r="R59" i="5"/>
  <c r="R65" i="5" s="1"/>
  <c r="R74" i="5" l="1"/>
  <c r="R75" i="5" s="1"/>
  <c r="R81" i="5" l="1"/>
  <c r="R89" i="5"/>
  <c r="G38" i="6" s="1"/>
  <c r="R66" i="5"/>
  <c r="R69" i="5" s="1"/>
  <c r="R107" i="5" s="1"/>
  <c r="R76" i="5"/>
  <c r="R77" i="5" s="1"/>
  <c r="R80" i="5"/>
  <c r="R82" i="5" l="1"/>
  <c r="S85" i="5"/>
  <c r="S86" i="5" s="1"/>
  <c r="S57" i="5" l="1"/>
  <c r="S97" i="5"/>
  <c r="S100" i="5" s="1"/>
  <c r="S101" i="5" l="1"/>
  <c r="S59" i="5"/>
  <c r="S65" i="5" s="1"/>
  <c r="S74" i="5" l="1"/>
  <c r="S75" i="5" s="1"/>
  <c r="S89" i="5" l="1"/>
  <c r="T85" i="5" s="1"/>
  <c r="T86" i="5" s="1"/>
  <c r="S81" i="5"/>
  <c r="S66" i="5"/>
  <c r="S76" i="5"/>
  <c r="S77" i="5" s="1"/>
  <c r="S80" i="5"/>
  <c r="S69" i="5" l="1"/>
  <c r="S107" i="5" s="1"/>
  <c r="S82" i="5"/>
  <c r="T97" i="5"/>
  <c r="T100" i="5" s="1"/>
  <c r="T57" i="5"/>
  <c r="T59" i="5" l="1"/>
  <c r="T65" i="5" s="1"/>
  <c r="T101" i="5"/>
  <c r="T74" i="5" l="1"/>
  <c r="T80" i="5" l="1"/>
  <c r="T75" i="5"/>
  <c r="T89" i="5" l="1"/>
  <c r="U85" i="5" s="1"/>
  <c r="U86" i="5" s="1"/>
  <c r="T81" i="5"/>
  <c r="T82" i="5" s="1"/>
  <c r="T66" i="5"/>
  <c r="T76" i="5"/>
  <c r="T77" i="5" s="1"/>
  <c r="T69" i="5" l="1"/>
  <c r="T107" i="5" s="1"/>
  <c r="U97" i="5"/>
  <c r="U100" i="5" s="1"/>
  <c r="U57" i="5"/>
  <c r="U101" i="5" l="1"/>
  <c r="U59" i="5"/>
  <c r="U65" i="5" s="1"/>
  <c r="U74" i="5" l="1"/>
  <c r="U80" i="5" l="1"/>
  <c r="U75" i="5"/>
  <c r="U76" i="5" s="1"/>
  <c r="U77" i="5" s="1"/>
  <c r="U66" i="5" l="1"/>
  <c r="U81" i="5"/>
  <c r="U82" i="5" s="1"/>
  <c r="U89" i="5"/>
  <c r="V85" i="5" s="1"/>
  <c r="V86" i="5" s="1"/>
  <c r="U69" i="5" l="1"/>
  <c r="U107" i="5" s="1"/>
  <c r="V57" i="5"/>
  <c r="V97" i="5"/>
  <c r="V100" i="5" s="1"/>
  <c r="V101" i="5" l="1"/>
  <c r="V59" i="5"/>
  <c r="V65" i="5" s="1"/>
  <c r="V74" i="5" l="1"/>
  <c r="V80" i="5" l="1"/>
  <c r="V75" i="5"/>
  <c r="V76" i="5" l="1"/>
  <c r="V77" i="5" s="1"/>
  <c r="V66" i="5"/>
  <c r="V69" i="5" s="1"/>
  <c r="V107" i="5" s="1"/>
  <c r="V81" i="5"/>
  <c r="V82" i="5" s="1"/>
  <c r="V89" i="5"/>
  <c r="W85" i="5" s="1"/>
  <c r="W86" i="5" s="1"/>
  <c r="W57" i="5" l="1"/>
  <c r="W97" i="5"/>
  <c r="W100" i="5" s="1"/>
  <c r="W101" i="5" l="1"/>
  <c r="W59" i="5"/>
  <c r="W65" i="5" s="1"/>
  <c r="W74" i="5" l="1"/>
  <c r="W80" i="5" l="1"/>
  <c r="W75" i="5"/>
  <c r="W76" i="5" s="1"/>
  <c r="W77" i="5" s="1"/>
  <c r="W66" i="5" l="1"/>
  <c r="W81" i="5"/>
  <c r="W89" i="5"/>
  <c r="X85" i="5" s="1"/>
  <c r="G40" i="6" l="1"/>
  <c r="H40" i="6"/>
  <c r="W69" i="5"/>
  <c r="W107" i="5" s="1"/>
  <c r="W82" i="5"/>
  <c r="X81" i="5"/>
  <c r="X86" i="5"/>
  <c r="X88" i="5"/>
  <c r="I98" i="1" l="1" a="1"/>
  <c r="Y81" i="5"/>
  <c r="Z81" i="5" s="1"/>
  <c r="AA81" i="5" s="1"/>
  <c r="AB81" i="5" s="1"/>
  <c r="AC81" i="5" s="1"/>
  <c r="AD81" i="5" s="1"/>
  <c r="AE81" i="5" s="1"/>
  <c r="AF81" i="5" s="1"/>
  <c r="AG81" i="5" s="1"/>
  <c r="AH81" i="5" s="1"/>
  <c r="AI81" i="5" s="1"/>
  <c r="AJ81" i="5" s="1"/>
  <c r="AK81" i="5" s="1"/>
  <c r="AL81" i="5" s="1"/>
  <c r="AM81" i="5" s="1"/>
  <c r="AN81" i="5" s="1"/>
  <c r="AO81" i="5" s="1"/>
  <c r="AP81" i="5" s="1"/>
  <c r="AQ81" i="5" s="1"/>
  <c r="AR81" i="5" s="1"/>
  <c r="AS81" i="5" s="1"/>
  <c r="AT81" i="5" s="1"/>
  <c r="AU81" i="5" s="1"/>
  <c r="AV81" i="5" s="1"/>
  <c r="AW81" i="5" s="1"/>
  <c r="AX81" i="5" s="1"/>
  <c r="AY81" i="5" s="1"/>
  <c r="AZ81" i="5" s="1"/>
  <c r="BA81" i="5" s="1"/>
  <c r="BB81" i="5" s="1"/>
  <c r="BC81" i="5" s="1"/>
  <c r="BD81" i="5" s="1"/>
  <c r="BE81" i="5" s="1"/>
  <c r="BF81" i="5" s="1"/>
  <c r="BG81" i="5" s="1"/>
  <c r="BH81" i="5" s="1"/>
  <c r="BI81" i="5" s="1"/>
  <c r="BJ81" i="5" s="1"/>
  <c r="BK81" i="5" s="1"/>
  <c r="BL81" i="5" s="1"/>
  <c r="BM81" i="5" s="1"/>
  <c r="BN81" i="5" s="1"/>
  <c r="BO81" i="5" s="1"/>
  <c r="BP81" i="5" s="1"/>
  <c r="BQ81" i="5" s="1"/>
  <c r="BR81" i="5" s="1"/>
  <c r="BS81" i="5" s="1"/>
  <c r="BT81" i="5" s="1"/>
  <c r="BU81" i="5" s="1"/>
  <c r="BV81" i="5" s="1"/>
  <c r="BW81" i="5" s="1"/>
  <c r="BX81" i="5" s="1"/>
  <c r="BY81" i="5" s="1"/>
  <c r="BZ81" i="5" s="1"/>
  <c r="CA81" i="5" s="1"/>
  <c r="CB81" i="5" s="1"/>
  <c r="CC81" i="5" s="1"/>
  <c r="CD81" i="5" s="1"/>
  <c r="CE81" i="5" s="1"/>
  <c r="CF81" i="5" s="1"/>
  <c r="CG81" i="5" s="1"/>
  <c r="CH81" i="5" s="1"/>
  <c r="CI81" i="5" s="1"/>
  <c r="CJ81" i="5" s="1"/>
  <c r="CK81" i="5" s="1"/>
  <c r="CL81" i="5" s="1"/>
  <c r="CM81" i="5" s="1"/>
  <c r="CN81" i="5" s="1"/>
  <c r="CO81" i="5" s="1"/>
  <c r="CP81" i="5" s="1"/>
  <c r="CQ81" i="5" s="1"/>
  <c r="CR81" i="5" s="1"/>
  <c r="CS81" i="5" s="1"/>
  <c r="CT81" i="5" s="1"/>
  <c r="CU81" i="5" s="1"/>
  <c r="CV81" i="5" s="1"/>
  <c r="CW81" i="5" s="1"/>
  <c r="CX81" i="5" s="1"/>
  <c r="CY81" i="5" s="1"/>
  <c r="CZ81" i="5" s="1"/>
  <c r="DA81" i="5" s="1"/>
  <c r="DB81" i="5" s="1"/>
  <c r="DC81" i="5" s="1"/>
  <c r="DD81" i="5" s="1"/>
  <c r="DE81" i="5" s="1"/>
  <c r="DF81" i="5" s="1"/>
  <c r="DG81" i="5" s="1"/>
  <c r="DH81" i="5" s="1"/>
  <c r="DI81" i="5" s="1"/>
  <c r="DJ81" i="5" s="1"/>
  <c r="DK81" i="5" s="1"/>
  <c r="DL81" i="5" s="1"/>
  <c r="DM81" i="5" s="1"/>
  <c r="DN81" i="5" s="1"/>
  <c r="DO81" i="5" s="1"/>
  <c r="DP81" i="5" s="1"/>
  <c r="DQ81" i="5" s="1"/>
  <c r="DR81" i="5" s="1"/>
  <c r="DS81" i="5" s="1"/>
  <c r="DT81" i="5" s="1"/>
  <c r="DU81" i="5" s="1"/>
  <c r="DV81" i="5" s="1"/>
  <c r="DW81" i="5" s="1"/>
  <c r="DX81" i="5" s="1"/>
  <c r="DY81" i="5" s="1"/>
  <c r="DZ81" i="5" s="1"/>
  <c r="EA81" i="5" s="1"/>
  <c r="EB81" i="5" s="1"/>
  <c r="EC81" i="5" s="1"/>
  <c r="ED81" i="5" s="1"/>
  <c r="EE81" i="5" s="1"/>
  <c r="EF81" i="5" s="1"/>
  <c r="EG81" i="5" s="1"/>
  <c r="EH81" i="5" s="1"/>
  <c r="EI81" i="5" s="1"/>
  <c r="EJ81" i="5" s="1"/>
  <c r="EK81" i="5" s="1"/>
  <c r="EL81" i="5" s="1"/>
  <c r="EM81" i="5" s="1"/>
  <c r="EN81" i="5" s="1"/>
  <c r="EO81" i="5" s="1"/>
  <c r="EP81" i="5" s="1"/>
  <c r="EQ81" i="5" s="1"/>
  <c r="ER81" i="5" s="1"/>
  <c r="ES81" i="5" s="1"/>
  <c r="ET81" i="5" s="1"/>
  <c r="EU81" i="5" s="1"/>
  <c r="EV81" i="5" s="1"/>
  <c r="EW81" i="5" s="1"/>
  <c r="EX81" i="5" s="1"/>
  <c r="EY81" i="5" s="1"/>
  <c r="EZ81" i="5" s="1"/>
  <c r="FA81" i="5" s="1"/>
  <c r="FB81" i="5" s="1"/>
  <c r="FC81" i="5" s="1"/>
  <c r="FD81" i="5" s="1"/>
  <c r="FE81" i="5" s="1"/>
  <c r="FF81" i="5" s="1"/>
  <c r="FG81" i="5" s="1"/>
  <c r="FH81" i="5" s="1"/>
  <c r="FI81" i="5" s="1"/>
  <c r="FJ81" i="5" s="1"/>
  <c r="FK81" i="5" s="1"/>
  <c r="FL81" i="5" s="1"/>
  <c r="FM81" i="5" s="1"/>
  <c r="FN81" i="5" s="1"/>
  <c r="FO81" i="5" s="1"/>
  <c r="FP81" i="5" s="1"/>
  <c r="FQ81" i="5" s="1"/>
  <c r="FR81" i="5" s="1"/>
  <c r="FS81" i="5" s="1"/>
  <c r="FT81" i="5" s="1"/>
  <c r="FU81" i="5" s="1"/>
  <c r="FV81" i="5" s="1"/>
  <c r="FW81" i="5" s="1"/>
  <c r="FX81" i="5" s="1"/>
  <c r="FY81" i="5" s="1"/>
  <c r="FZ81" i="5" s="1"/>
  <c r="GA81" i="5" s="1"/>
  <c r="GB81" i="5" s="1"/>
  <c r="GC81" i="5" s="1"/>
  <c r="GD81" i="5" s="1"/>
  <c r="GE81" i="5" s="1"/>
  <c r="GF81" i="5" s="1"/>
  <c r="GG81" i="5" s="1"/>
  <c r="GH81" i="5" s="1"/>
  <c r="GI81" i="5" s="1"/>
  <c r="GJ81" i="5" s="1"/>
  <c r="GK81" i="5" s="1"/>
  <c r="GL81" i="5" s="1"/>
  <c r="GM81" i="5" s="1"/>
  <c r="X57" i="5"/>
  <c r="X97" i="5"/>
  <c r="X100" i="5" s="1"/>
  <c r="X62" i="5"/>
  <c r="H41" i="6" s="1"/>
  <c r="X89" i="5"/>
  <c r="Y85" i="5" s="1"/>
  <c r="Y89" i="5" s="1"/>
  <c r="Z85" i="5" s="1"/>
  <c r="Z89" i="5" s="1"/>
  <c r="AA85" i="5" s="1"/>
  <c r="AA89" i="5" s="1"/>
  <c r="AB85" i="5" s="1"/>
  <c r="AB89" i="5" s="1"/>
  <c r="AC85" i="5" s="1"/>
  <c r="AC89" i="5" s="1"/>
  <c r="AD85" i="5" s="1"/>
  <c r="AD89" i="5" s="1"/>
  <c r="H38" i="6" s="1"/>
  <c r="I99" i="1" l="1"/>
  <c r="G35" i="6"/>
  <c r="G37" i="6" s="1"/>
  <c r="G24" i="14" s="1"/>
  <c r="H35" i="6"/>
  <c r="H37" i="6" s="1"/>
  <c r="H24" i="14" s="1"/>
  <c r="X101" i="5"/>
  <c r="X59" i="5"/>
  <c r="X65" i="5" s="1"/>
  <c r="AE85" i="5"/>
  <c r="AE89" i="5" s="1"/>
  <c r="AF85" i="5" s="1"/>
  <c r="AF89" i="5" s="1"/>
  <c r="AG85" i="5" s="1"/>
  <c r="AG89" i="5" s="1"/>
  <c r="AH85" i="5" s="1"/>
  <c r="AH89" i="5" s="1"/>
  <c r="AI85" i="5" s="1"/>
  <c r="AI89" i="5" s="1"/>
  <c r="AJ85" i="5" s="1"/>
  <c r="AJ89" i="5" s="1"/>
  <c r="AK85" i="5" s="1"/>
  <c r="AK89" i="5" s="1"/>
  <c r="AL85" i="5" s="1"/>
  <c r="AL89" i="5" s="1"/>
  <c r="AM85" i="5" s="1"/>
  <c r="AM89" i="5" s="1"/>
  <c r="AN85" i="5" s="1"/>
  <c r="AN89" i="5" s="1"/>
  <c r="AO85" i="5" s="1"/>
  <c r="AO89" i="5" s="1"/>
  <c r="AP85" i="5" s="1"/>
  <c r="AP89" i="5" s="1"/>
  <c r="I38" i="6" s="1"/>
  <c r="G44" i="6" l="1"/>
  <c r="G42" i="6"/>
  <c r="H42" i="6"/>
  <c r="H44" i="6"/>
  <c r="X74" i="5"/>
  <c r="X69" i="5"/>
  <c r="X107" i="5" s="1"/>
  <c r="AQ85" i="5"/>
  <c r="AQ89" i="5" s="1"/>
  <c r="AR85" i="5" s="1"/>
  <c r="AR89" i="5" s="1"/>
  <c r="AS85" i="5" s="1"/>
  <c r="AS89" i="5" s="1"/>
  <c r="AT85" i="5" s="1"/>
  <c r="AT89" i="5" s="1"/>
  <c r="AU85" i="5" s="1"/>
  <c r="AU89" i="5" s="1"/>
  <c r="AV85" i="5" s="1"/>
  <c r="AV89" i="5" s="1"/>
  <c r="AW85" i="5" s="1"/>
  <c r="AW89" i="5" s="1"/>
  <c r="AX85" i="5" s="1"/>
  <c r="AX89" i="5" s="1"/>
  <c r="AY85" i="5" s="1"/>
  <c r="AY89" i="5" s="1"/>
  <c r="AZ85" i="5" s="1"/>
  <c r="AZ89" i="5" s="1"/>
  <c r="BA85" i="5" s="1"/>
  <c r="BA89" i="5" s="1"/>
  <c r="BB85" i="5" s="1"/>
  <c r="BB89" i="5" s="1"/>
  <c r="J38" i="6" s="1"/>
  <c r="G28" i="14" l="1"/>
  <c r="H28" i="14"/>
  <c r="H32" i="2"/>
  <c r="H37" i="2" s="1"/>
  <c r="H39" i="2" s="1"/>
  <c r="I32" i="2"/>
  <c r="G48" i="6"/>
  <c r="G46" i="6"/>
  <c r="H48" i="6"/>
  <c r="H46" i="6"/>
  <c r="D109" i="5"/>
  <c r="E5" i="2" s="1"/>
  <c r="D110" i="5"/>
  <c r="E6" i="2" s="1"/>
  <c r="D108" i="5"/>
  <c r="E4" i="2" s="1"/>
  <c r="BC85" i="5"/>
  <c r="BC89" i="5" s="1"/>
  <c r="BD85" i="5" s="1"/>
  <c r="BD89" i="5" s="1"/>
  <c r="BE85" i="5" s="1"/>
  <c r="BE89" i="5" s="1"/>
  <c r="BF85" i="5" s="1"/>
  <c r="BF89" i="5" s="1"/>
  <c r="BG85" i="5" s="1"/>
  <c r="BG89" i="5" s="1"/>
  <c r="BH85" i="5" s="1"/>
  <c r="BH89" i="5" s="1"/>
  <c r="BI85" i="5" s="1"/>
  <c r="BI89" i="5" s="1"/>
  <c r="BJ85" i="5" s="1"/>
  <c r="BJ89" i="5" s="1"/>
  <c r="BK85" i="5" s="1"/>
  <c r="BK89" i="5" s="1"/>
  <c r="BL85" i="5" s="1"/>
  <c r="BL89" i="5" s="1"/>
  <c r="BM85" i="5" s="1"/>
  <c r="BM89" i="5" s="1"/>
  <c r="BN85" i="5" s="1"/>
  <c r="BN89" i="5" s="1"/>
  <c r="K38" i="6" s="1"/>
  <c r="X80" i="5"/>
  <c r="X76" i="5"/>
  <c r="X77" i="5" s="1"/>
  <c r="H52" i="2" l="1"/>
  <c r="H46" i="2"/>
  <c r="H40" i="2"/>
  <c r="I36" i="2" s="1"/>
  <c r="I38" i="2" s="1"/>
  <c r="H44" i="2"/>
  <c r="H48" i="2"/>
  <c r="H80" i="2"/>
  <c r="H74" i="2"/>
  <c r="I37" i="2"/>
  <c r="BO85" i="5"/>
  <c r="BO89" i="5" s="1"/>
  <c r="BP85" i="5" s="1"/>
  <c r="BP89" i="5" s="1"/>
  <c r="BQ85" i="5" s="1"/>
  <c r="BQ89" i="5" s="1"/>
  <c r="BR85" i="5" s="1"/>
  <c r="BR89" i="5" s="1"/>
  <c r="BS85" i="5" s="1"/>
  <c r="BS89" i="5" s="1"/>
  <c r="BT85" i="5" s="1"/>
  <c r="BT89" i="5" s="1"/>
  <c r="BU85" i="5" s="1"/>
  <c r="BU89" i="5" s="1"/>
  <c r="BV85" i="5" s="1"/>
  <c r="BV89" i="5" s="1"/>
  <c r="BW85" i="5" s="1"/>
  <c r="BW89" i="5" s="1"/>
  <c r="BX85" i="5" s="1"/>
  <c r="BX89" i="5" s="1"/>
  <c r="BY85" i="5" s="1"/>
  <c r="BY89" i="5" s="1"/>
  <c r="BZ85" i="5" s="1"/>
  <c r="BZ89" i="5" s="1"/>
  <c r="L38" i="6" s="1"/>
  <c r="Y74" i="5"/>
  <c r="X82" i="5"/>
  <c r="D7" i="1" l="1"/>
  <c r="D33" i="14"/>
  <c r="B98" i="14" s="1"/>
  <c r="D5" i="1"/>
  <c r="D31" i="14"/>
  <c r="H53" i="2"/>
  <c r="H54" i="2" s="1"/>
  <c r="I39" i="2"/>
  <c r="I46" i="2"/>
  <c r="CA85" i="5"/>
  <c r="CA89" i="5" s="1"/>
  <c r="CB85" i="5" s="1"/>
  <c r="CB89" i="5" s="1"/>
  <c r="CC85" i="5" s="1"/>
  <c r="CC89" i="5" s="1"/>
  <c r="CD85" i="5" s="1"/>
  <c r="CD89" i="5" s="1"/>
  <c r="CE85" i="5" s="1"/>
  <c r="CE89" i="5" s="1"/>
  <c r="CF85" i="5" s="1"/>
  <c r="CF89" i="5" s="1"/>
  <c r="CG85" i="5" s="1"/>
  <c r="CG89" i="5" s="1"/>
  <c r="CH85" i="5" s="1"/>
  <c r="CH89" i="5" s="1"/>
  <c r="CI85" i="5" s="1"/>
  <c r="CI89" i="5" s="1"/>
  <c r="CJ85" i="5" s="1"/>
  <c r="CJ89" i="5" s="1"/>
  <c r="CK85" i="5" s="1"/>
  <c r="CK89" i="5" s="1"/>
  <c r="CL85" i="5" s="1"/>
  <c r="CL89" i="5" s="1"/>
  <c r="M38" i="6" s="1"/>
  <c r="Y76" i="5"/>
  <c r="Y77" i="5" s="1"/>
  <c r="Y80" i="5"/>
  <c r="C133" i="1" l="1"/>
  <c r="C122" i="14" s="1"/>
  <c r="C146" i="1"/>
  <c r="M122" i="14" s="1"/>
  <c r="C107" i="1"/>
  <c r="C110" i="14" s="1"/>
  <c r="C120" i="1"/>
  <c r="M110" i="14" s="1"/>
  <c r="H55" i="2"/>
  <c r="H75" i="2"/>
  <c r="H59" i="2" s="1"/>
  <c r="H61" i="2" s="1"/>
  <c r="H49" i="2"/>
  <c r="H50" i="2" s="1"/>
  <c r="I45" i="2" s="1"/>
  <c r="I47" i="2" s="1"/>
  <c r="I44" i="2"/>
  <c r="I74" i="2"/>
  <c r="I80" i="2"/>
  <c r="I48" i="2"/>
  <c r="I40" i="2"/>
  <c r="J36" i="2" s="1"/>
  <c r="J38" i="2" s="1"/>
  <c r="J39" i="2" s="1"/>
  <c r="CM85" i="5"/>
  <c r="CM89" i="5" s="1"/>
  <c r="CN85" i="5" s="1"/>
  <c r="CN89" i="5" s="1"/>
  <c r="CO85" i="5" s="1"/>
  <c r="CO89" i="5" s="1"/>
  <c r="CP85" i="5" s="1"/>
  <c r="CP89" i="5" s="1"/>
  <c r="CQ85" i="5" s="1"/>
  <c r="CQ89" i="5" s="1"/>
  <c r="CR85" i="5" s="1"/>
  <c r="CR89" i="5" s="1"/>
  <c r="CS85" i="5" s="1"/>
  <c r="CS89" i="5" s="1"/>
  <c r="CT85" i="5" s="1"/>
  <c r="CT89" i="5" s="1"/>
  <c r="CU85" i="5" s="1"/>
  <c r="CU89" i="5" s="1"/>
  <c r="CV85" i="5" s="1"/>
  <c r="CV89" i="5" s="1"/>
  <c r="CW85" i="5" s="1"/>
  <c r="CW89" i="5" s="1"/>
  <c r="CX85" i="5" s="1"/>
  <c r="CX89" i="5" s="1"/>
  <c r="N38" i="6" s="1"/>
  <c r="Y82" i="5"/>
  <c r="Z74" i="5"/>
  <c r="H81" i="2" l="1"/>
  <c r="H60" i="2" s="1"/>
  <c r="H62" i="2" s="1"/>
  <c r="H56" i="2"/>
  <c r="J44" i="2"/>
  <c r="J74" i="2"/>
  <c r="J80" i="2"/>
  <c r="J48" i="2"/>
  <c r="J40" i="2"/>
  <c r="K36" i="2" s="1"/>
  <c r="Z76" i="5"/>
  <c r="Z77" i="5" s="1"/>
  <c r="Z80" i="5"/>
  <c r="CY85" i="5"/>
  <c r="CY89" i="5" s="1"/>
  <c r="CZ85" i="5" s="1"/>
  <c r="CZ89" i="5" s="1"/>
  <c r="DA85" i="5" s="1"/>
  <c r="DA89" i="5" s="1"/>
  <c r="DB85" i="5" s="1"/>
  <c r="DB89" i="5" s="1"/>
  <c r="DC85" i="5" s="1"/>
  <c r="DC89" i="5" s="1"/>
  <c r="DD85" i="5" s="1"/>
  <c r="DD89" i="5" s="1"/>
  <c r="DE85" i="5" s="1"/>
  <c r="DE89" i="5" s="1"/>
  <c r="DF85" i="5" s="1"/>
  <c r="DF89" i="5" s="1"/>
  <c r="DG85" i="5" s="1"/>
  <c r="DG89" i="5" s="1"/>
  <c r="DH85" i="5" s="1"/>
  <c r="DH89" i="5" s="1"/>
  <c r="DI85" i="5" s="1"/>
  <c r="DI89" i="5" s="1"/>
  <c r="DJ85" i="5" s="1"/>
  <c r="DJ89" i="5" s="1"/>
  <c r="O38" i="6" s="1"/>
  <c r="H63" i="2" l="1"/>
  <c r="K38" i="2"/>
  <c r="K39" i="2" s="1"/>
  <c r="K40" i="2" s="1"/>
  <c r="L36" i="2" s="1"/>
  <c r="Z82" i="5"/>
  <c r="AA74" i="5"/>
  <c r="DK85" i="5"/>
  <c r="DK89" i="5" s="1"/>
  <c r="DL85" i="5" s="1"/>
  <c r="DL89" i="5" s="1"/>
  <c r="DM85" i="5" s="1"/>
  <c r="DM89" i="5" s="1"/>
  <c r="DN85" i="5" s="1"/>
  <c r="DN89" i="5" s="1"/>
  <c r="DO85" i="5" s="1"/>
  <c r="DO89" i="5" s="1"/>
  <c r="DP85" i="5" s="1"/>
  <c r="DP89" i="5" s="1"/>
  <c r="DQ85" i="5" s="1"/>
  <c r="DQ89" i="5" s="1"/>
  <c r="DR85" i="5" s="1"/>
  <c r="DR89" i="5" s="1"/>
  <c r="DS85" i="5" s="1"/>
  <c r="DS89" i="5" s="1"/>
  <c r="DT85" i="5" s="1"/>
  <c r="DT89" i="5" s="1"/>
  <c r="DU85" i="5" s="1"/>
  <c r="DU89" i="5" s="1"/>
  <c r="DV85" i="5" s="1"/>
  <c r="DV89" i="5" s="1"/>
  <c r="P38" i="6" s="1"/>
  <c r="H64" i="2" l="1"/>
  <c r="H76" i="2" s="1"/>
  <c r="H66" i="2"/>
  <c r="H65" i="2"/>
  <c r="H82" i="2" s="1"/>
  <c r="L38" i="2"/>
  <c r="L39" i="2" s="1"/>
  <c r="L40" i="2" s="1"/>
  <c r="M36" i="2" s="1"/>
  <c r="K44" i="2"/>
  <c r="K74" i="2"/>
  <c r="K80" i="2"/>
  <c r="K48" i="2"/>
  <c r="AA80" i="5"/>
  <c r="AA76" i="5"/>
  <c r="AA77" i="5" s="1"/>
  <c r="DW85" i="5"/>
  <c r="DW89" i="5" s="1"/>
  <c r="DX85" i="5" s="1"/>
  <c r="DX89" i="5" s="1"/>
  <c r="DY85" i="5" s="1"/>
  <c r="DY89" i="5" s="1"/>
  <c r="DZ85" i="5" s="1"/>
  <c r="DZ89" i="5" s="1"/>
  <c r="EA85" i="5" s="1"/>
  <c r="EA89" i="5" s="1"/>
  <c r="EB85" i="5" s="1"/>
  <c r="EB89" i="5" s="1"/>
  <c r="EC85" i="5" s="1"/>
  <c r="EC89" i="5" s="1"/>
  <c r="ED85" i="5" s="1"/>
  <c r="ED89" i="5" s="1"/>
  <c r="EE85" i="5" s="1"/>
  <c r="EE89" i="5" s="1"/>
  <c r="EF85" i="5" s="1"/>
  <c r="EF89" i="5" s="1"/>
  <c r="EG85" i="5" s="1"/>
  <c r="EG89" i="5" s="1"/>
  <c r="EH85" i="5" s="1"/>
  <c r="EH89" i="5" s="1"/>
  <c r="Q38" i="6" s="1"/>
  <c r="H69" i="2" l="1"/>
  <c r="H77" i="2" s="1"/>
  <c r="H78" i="2" s="1"/>
  <c r="H70" i="2"/>
  <c r="H83" i="2" s="1"/>
  <c r="H84" i="2" s="1"/>
  <c r="L44" i="2"/>
  <c r="L74" i="2"/>
  <c r="L80" i="2"/>
  <c r="L48" i="2"/>
  <c r="M38" i="2"/>
  <c r="M39" i="2" s="1"/>
  <c r="AB74" i="5"/>
  <c r="AA82" i="5"/>
  <c r="EI85" i="5"/>
  <c r="EI89" i="5" s="1"/>
  <c r="EJ85" i="5" s="1"/>
  <c r="EJ89" i="5" s="1"/>
  <c r="EK85" i="5" s="1"/>
  <c r="EK89" i="5" s="1"/>
  <c r="EL85" i="5" s="1"/>
  <c r="EL89" i="5" s="1"/>
  <c r="EM85" i="5" s="1"/>
  <c r="EM89" i="5" s="1"/>
  <c r="EN85" i="5" s="1"/>
  <c r="EN89" i="5" s="1"/>
  <c r="EO85" i="5" s="1"/>
  <c r="EO89" i="5" s="1"/>
  <c r="EP85" i="5" s="1"/>
  <c r="EP89" i="5" s="1"/>
  <c r="EQ85" i="5" s="1"/>
  <c r="EQ89" i="5" s="1"/>
  <c r="ER85" i="5" s="1"/>
  <c r="ER89" i="5" s="1"/>
  <c r="ES85" i="5" s="1"/>
  <c r="ES89" i="5" s="1"/>
  <c r="ET85" i="5" s="1"/>
  <c r="ET89" i="5" s="1"/>
  <c r="R38" i="6" s="1"/>
  <c r="I52" i="2" l="1"/>
  <c r="I53" i="2" s="1"/>
  <c r="I54" i="2" s="1"/>
  <c r="H91" i="2"/>
  <c r="H92" i="2"/>
  <c r="H93" i="2"/>
  <c r="H86" i="2"/>
  <c r="H94" i="2"/>
  <c r="H90" i="2"/>
  <c r="M40" i="2"/>
  <c r="N36" i="2" s="1"/>
  <c r="M80" i="2"/>
  <c r="M44" i="2"/>
  <c r="M74" i="2"/>
  <c r="M48" i="2"/>
  <c r="AB80" i="5"/>
  <c r="AB76" i="5"/>
  <c r="AB77" i="5" s="1"/>
  <c r="EU85" i="5"/>
  <c r="EU89" i="5" s="1"/>
  <c r="EV85" i="5" s="1"/>
  <c r="EV89" i="5" s="1"/>
  <c r="EW85" i="5" s="1"/>
  <c r="EW89" i="5" s="1"/>
  <c r="EX85" i="5" s="1"/>
  <c r="EX89" i="5" s="1"/>
  <c r="EY85" i="5" s="1"/>
  <c r="EY89" i="5" s="1"/>
  <c r="EZ85" i="5" s="1"/>
  <c r="EZ89" i="5" s="1"/>
  <c r="FA85" i="5" s="1"/>
  <c r="FA89" i="5" s="1"/>
  <c r="FB85" i="5" s="1"/>
  <c r="FB89" i="5" s="1"/>
  <c r="FC85" i="5" s="1"/>
  <c r="FC89" i="5" s="1"/>
  <c r="FD85" i="5" s="1"/>
  <c r="FD89" i="5" s="1"/>
  <c r="FE85" i="5" s="1"/>
  <c r="FE89" i="5" s="1"/>
  <c r="FF85" i="5" s="1"/>
  <c r="FF89" i="5" s="1"/>
  <c r="S38" i="6" s="1"/>
  <c r="H96" i="2" l="1"/>
  <c r="H97" i="2" s="1"/>
  <c r="I49" i="2"/>
  <c r="I50" i="2" s="1"/>
  <c r="J45" i="2" s="1"/>
  <c r="J47" i="2" s="1"/>
  <c r="I75" i="2"/>
  <c r="I59" i="2" s="1"/>
  <c r="I61" i="2" s="1"/>
  <c r="I55" i="2"/>
  <c r="N38" i="2"/>
  <c r="N39" i="2" s="1"/>
  <c r="N40" i="2" s="1"/>
  <c r="O36" i="2" s="1"/>
  <c r="AB82" i="5"/>
  <c r="AC74" i="5"/>
  <c r="FG85" i="5"/>
  <c r="FG89" i="5" s="1"/>
  <c r="FH85" i="5" s="1"/>
  <c r="FH89" i="5" s="1"/>
  <c r="FI85" i="5" s="1"/>
  <c r="FI89" i="5" s="1"/>
  <c r="FJ85" i="5" s="1"/>
  <c r="FJ89" i="5" s="1"/>
  <c r="FK85" i="5" s="1"/>
  <c r="FK89" i="5" s="1"/>
  <c r="FL85" i="5" s="1"/>
  <c r="FL89" i="5" s="1"/>
  <c r="FM85" i="5" s="1"/>
  <c r="FM89" i="5" s="1"/>
  <c r="FN85" i="5" s="1"/>
  <c r="FN89" i="5" s="1"/>
  <c r="FO85" i="5" s="1"/>
  <c r="FO89" i="5" s="1"/>
  <c r="FP85" i="5" s="1"/>
  <c r="FP89" i="5" s="1"/>
  <c r="FQ85" i="5" s="1"/>
  <c r="FQ89" i="5" s="1"/>
  <c r="FR85" i="5" s="1"/>
  <c r="FR89" i="5" s="1"/>
  <c r="T38" i="6" s="1"/>
  <c r="I56" i="2" l="1"/>
  <c r="I81" i="2"/>
  <c r="I60" i="2" s="1"/>
  <c r="I62" i="2" s="1"/>
  <c r="N48" i="2"/>
  <c r="N74" i="2"/>
  <c r="N44" i="2"/>
  <c r="N80" i="2"/>
  <c r="O38" i="2"/>
  <c r="O39" i="2" s="1"/>
  <c r="O40" i="2" s="1"/>
  <c r="P36" i="2" s="1"/>
  <c r="AC80" i="5"/>
  <c r="AC76" i="5"/>
  <c r="AC77" i="5" s="1"/>
  <c r="FS85" i="5"/>
  <c r="FS89" i="5" s="1"/>
  <c r="FT85" i="5" s="1"/>
  <c r="FT89" i="5" s="1"/>
  <c r="FU85" i="5" s="1"/>
  <c r="FU89" i="5" s="1"/>
  <c r="FV85" i="5" s="1"/>
  <c r="FV89" i="5" s="1"/>
  <c r="FW85" i="5" s="1"/>
  <c r="FW89" i="5" s="1"/>
  <c r="FX85" i="5" s="1"/>
  <c r="FX89" i="5" s="1"/>
  <c r="FY85" i="5" s="1"/>
  <c r="FY89" i="5" s="1"/>
  <c r="FZ85" i="5" s="1"/>
  <c r="FZ89" i="5" s="1"/>
  <c r="GA85" i="5" s="1"/>
  <c r="GA89" i="5" s="1"/>
  <c r="GB85" i="5" s="1"/>
  <c r="GB89" i="5" s="1"/>
  <c r="GC85" i="5" s="1"/>
  <c r="GC89" i="5" s="1"/>
  <c r="GD85" i="5" s="1"/>
  <c r="GD89" i="5" s="1"/>
  <c r="I63" i="2" l="1"/>
  <c r="O44" i="2"/>
  <c r="O48" i="2"/>
  <c r="O74" i="2"/>
  <c r="O80" i="2"/>
  <c r="P38" i="2"/>
  <c r="P39" i="2" s="1"/>
  <c r="AD74" i="5"/>
  <c r="AC82" i="5"/>
  <c r="GE85" i="5"/>
  <c r="GE89" i="5" s="1"/>
  <c r="GF85" i="5" s="1"/>
  <c r="GF89" i="5" s="1"/>
  <c r="GG85" i="5" s="1"/>
  <c r="GG89" i="5" s="1"/>
  <c r="GH85" i="5" s="1"/>
  <c r="GH89" i="5" s="1"/>
  <c r="GI85" i="5" s="1"/>
  <c r="GI89" i="5" s="1"/>
  <c r="GJ85" i="5" s="1"/>
  <c r="GJ89" i="5" s="1"/>
  <c r="GK85" i="5" s="1"/>
  <c r="GK89" i="5" s="1"/>
  <c r="GL85" i="5" s="1"/>
  <c r="GL89" i="5" s="1"/>
  <c r="GM85" i="5" s="1"/>
  <c r="GM89" i="5" s="1"/>
  <c r="V38" i="6" s="1"/>
  <c r="U38" i="6"/>
  <c r="I66" i="2" l="1"/>
  <c r="I64" i="2"/>
  <c r="I76" i="2" s="1"/>
  <c r="I65" i="2"/>
  <c r="I82" i="2" s="1"/>
  <c r="P40" i="2"/>
  <c r="Q36" i="2" s="1"/>
  <c r="Q38" i="2" s="1"/>
  <c r="P44" i="2"/>
  <c r="P48" i="2"/>
  <c r="P80" i="2"/>
  <c r="P74" i="2"/>
  <c r="AD80" i="5"/>
  <c r="AD76" i="5"/>
  <c r="AD77" i="5" s="1"/>
  <c r="I70" i="2" l="1"/>
  <c r="I83" i="2" s="1"/>
  <c r="I84" i="2" s="1"/>
  <c r="I69" i="2"/>
  <c r="I77" i="2" s="1"/>
  <c r="I78" i="2" s="1"/>
  <c r="Q39" i="2"/>
  <c r="Q40" i="2" s="1"/>
  <c r="R36" i="2" s="1"/>
  <c r="AD82" i="5"/>
  <c r="AE74" i="5"/>
  <c r="I91" i="2" l="1"/>
  <c r="I92" i="2"/>
  <c r="I94" i="2"/>
  <c r="I86" i="2"/>
  <c r="I93" i="2"/>
  <c r="J52" i="2"/>
  <c r="J53" i="2" s="1"/>
  <c r="J54" i="2" s="1"/>
  <c r="I90" i="2"/>
  <c r="R39" i="2"/>
  <c r="R44" i="2" s="1"/>
  <c r="Q44" i="2"/>
  <c r="Q48" i="2"/>
  <c r="Q74" i="2"/>
  <c r="Q80" i="2"/>
  <c r="AE80" i="5"/>
  <c r="AE76" i="5"/>
  <c r="AE77" i="5" s="1"/>
  <c r="I96" i="2" l="1"/>
  <c r="I97" i="2" s="1"/>
  <c r="J49" i="2"/>
  <c r="J50" i="2" s="1"/>
  <c r="K45" i="2" s="1"/>
  <c r="K47" i="2" s="1"/>
  <c r="J55" i="2"/>
  <c r="J75" i="2"/>
  <c r="J59" i="2" s="1"/>
  <c r="J61" i="2" s="1"/>
  <c r="R40" i="2"/>
  <c r="S36" i="2" s="1"/>
  <c r="S39" i="2" s="1"/>
  <c r="S40" i="2" s="1"/>
  <c r="T36" i="2" s="1"/>
  <c r="R80" i="2"/>
  <c r="R48" i="2"/>
  <c r="R74" i="2"/>
  <c r="AF74" i="5"/>
  <c r="AE82" i="5"/>
  <c r="J81" i="2" l="1"/>
  <c r="J60" i="2" s="1"/>
  <c r="J62" i="2" s="1"/>
  <c r="J56" i="2"/>
  <c r="S44" i="2"/>
  <c r="S74" i="2"/>
  <c r="S80" i="2"/>
  <c r="S48" i="2"/>
  <c r="T39" i="2"/>
  <c r="T40" i="2" s="1"/>
  <c r="U36" i="2" s="1"/>
  <c r="AF80" i="5"/>
  <c r="AF76" i="5"/>
  <c r="AF77" i="5" s="1"/>
  <c r="J63" i="2" l="1"/>
  <c r="T44" i="2"/>
  <c r="T74" i="2"/>
  <c r="T80" i="2"/>
  <c r="T48" i="2"/>
  <c r="U39" i="2"/>
  <c r="U40" i="2" s="1"/>
  <c r="V36" i="2" s="1"/>
  <c r="AF82" i="5"/>
  <c r="AG74" i="5"/>
  <c r="J65" i="2" l="1"/>
  <c r="J82" i="2" s="1"/>
  <c r="J64" i="2"/>
  <c r="J76" i="2" s="1"/>
  <c r="J66" i="2"/>
  <c r="U44" i="2"/>
  <c r="U48" i="2"/>
  <c r="U74" i="2"/>
  <c r="U80" i="2"/>
  <c r="V39" i="2"/>
  <c r="V40" i="2" s="1"/>
  <c r="W36" i="2" s="1"/>
  <c r="AG76" i="5"/>
  <c r="AG77" i="5" s="1"/>
  <c r="AG80" i="5"/>
  <c r="J69" i="2" l="1"/>
  <c r="J77" i="2" s="1"/>
  <c r="J78" i="2" s="1"/>
  <c r="K52" i="2" s="1"/>
  <c r="K53" i="2" s="1"/>
  <c r="K54" i="2" s="1"/>
  <c r="J70" i="2"/>
  <c r="J83" i="2" s="1"/>
  <c r="J84" i="2" s="1"/>
  <c r="V44" i="2"/>
  <c r="V48" i="2"/>
  <c r="V74" i="2"/>
  <c r="V80" i="2"/>
  <c r="W39" i="2"/>
  <c r="W40" i="2" s="1"/>
  <c r="AG82" i="5"/>
  <c r="AH74" i="5"/>
  <c r="J93" i="2" l="1"/>
  <c r="J90" i="2"/>
  <c r="J92" i="2"/>
  <c r="J94" i="2"/>
  <c r="J91" i="2"/>
  <c r="J86" i="2"/>
  <c r="K49" i="2"/>
  <c r="K50" i="2" s="1"/>
  <c r="L45" i="2" s="1"/>
  <c r="L47" i="2" s="1"/>
  <c r="K55" i="2"/>
  <c r="K75" i="2"/>
  <c r="K59" i="2" s="1"/>
  <c r="K61" i="2" s="1"/>
  <c r="W44" i="2"/>
  <c r="W80" i="2"/>
  <c r="W48" i="2"/>
  <c r="W74" i="2"/>
  <c r="AH80" i="5"/>
  <c r="AH76" i="5"/>
  <c r="AH77" i="5" s="1"/>
  <c r="J96" i="2" l="1"/>
  <c r="J97" i="2" s="1"/>
  <c r="K81" i="2"/>
  <c r="K60" i="2" s="1"/>
  <c r="K62" i="2" s="1"/>
  <c r="K56" i="2"/>
  <c r="AH82" i="5"/>
  <c r="AI74" i="5"/>
  <c r="K63" i="2" l="1"/>
  <c r="AI80" i="5"/>
  <c r="AI76" i="5"/>
  <c r="AI77" i="5" s="1"/>
  <c r="K66" i="2" l="1"/>
  <c r="K65" i="2"/>
  <c r="K82" i="2" s="1"/>
  <c r="K64" i="2"/>
  <c r="K76" i="2" s="1"/>
  <c r="AI82" i="5"/>
  <c r="AJ74" i="5"/>
  <c r="K70" i="2" l="1"/>
  <c r="K83" i="2" s="1"/>
  <c r="K84" i="2" s="1"/>
  <c r="K69" i="2"/>
  <c r="K77" i="2" s="1"/>
  <c r="K78" i="2" s="1"/>
  <c r="AJ76" i="5"/>
  <c r="AJ77" i="5" s="1"/>
  <c r="AJ80" i="5"/>
  <c r="K92" i="2" l="1"/>
  <c r="K90" i="2"/>
  <c r="K86" i="2"/>
  <c r="K94" i="2"/>
  <c r="L52" i="2"/>
  <c r="L53" i="2" s="1"/>
  <c r="L54" i="2" s="1"/>
  <c r="K93" i="2"/>
  <c r="K91" i="2"/>
  <c r="AJ82" i="5"/>
  <c r="AK74" i="5"/>
  <c r="L55" i="2" l="1"/>
  <c r="L75" i="2"/>
  <c r="L59" i="2" s="1"/>
  <c r="L61" i="2" s="1"/>
  <c r="L49" i="2"/>
  <c r="L50" i="2" s="1"/>
  <c r="M45" i="2" s="1"/>
  <c r="M47" i="2" s="1"/>
  <c r="K96" i="2"/>
  <c r="K97" i="2" s="1"/>
  <c r="AK76" i="5"/>
  <c r="AK77" i="5" s="1"/>
  <c r="AK80" i="5"/>
  <c r="L56" i="2" l="1"/>
  <c r="L81" i="2"/>
  <c r="L60" i="2" s="1"/>
  <c r="L62" i="2" s="1"/>
  <c r="AL74" i="5"/>
  <c r="AK82" i="5"/>
  <c r="L63" i="2" l="1"/>
  <c r="AL76" i="5"/>
  <c r="AL77" i="5" s="1"/>
  <c r="AL80" i="5"/>
  <c r="L64" i="2" l="1"/>
  <c r="L76" i="2" s="1"/>
  <c r="L66" i="2"/>
  <c r="L65" i="2"/>
  <c r="L82" i="2" s="1"/>
  <c r="AL82" i="5"/>
  <c r="AM74" i="5"/>
  <c r="L70" i="2" l="1"/>
  <c r="L83" i="2" s="1"/>
  <c r="L84" i="2" s="1"/>
  <c r="L69" i="2"/>
  <c r="L77" i="2" s="1"/>
  <c r="L78" i="2" s="1"/>
  <c r="AM76" i="5"/>
  <c r="AM77" i="5" s="1"/>
  <c r="AM80" i="5"/>
  <c r="L93" i="2" l="1"/>
  <c r="L91" i="2"/>
  <c r="M52" i="2"/>
  <c r="M53" i="2" s="1"/>
  <c r="M54" i="2" s="1"/>
  <c r="M75" i="2" s="1"/>
  <c r="M59" i="2" s="1"/>
  <c r="M61" i="2" s="1"/>
  <c r="L86" i="2"/>
  <c r="L94" i="2"/>
  <c r="L92" i="2"/>
  <c r="L90" i="2"/>
  <c r="AN74" i="5"/>
  <c r="AM82" i="5"/>
  <c r="L96" i="2" l="1"/>
  <c r="L97" i="2" s="1"/>
  <c r="M49" i="2"/>
  <c r="M50" i="2" s="1"/>
  <c r="N45" i="2" s="1"/>
  <c r="N47" i="2" s="1"/>
  <c r="M55" i="2"/>
  <c r="AN80" i="5"/>
  <c r="AN76" i="5"/>
  <c r="AN77" i="5" s="1"/>
  <c r="M81" i="2" l="1"/>
  <c r="M60" i="2" s="1"/>
  <c r="M62" i="2" s="1"/>
  <c r="M56" i="2"/>
  <c r="AN82" i="5"/>
  <c r="AO74" i="5"/>
  <c r="M63" i="2" l="1"/>
  <c r="M66" i="2" s="1"/>
  <c r="AO80" i="5"/>
  <c r="AO76" i="5"/>
  <c r="AO77" i="5" s="1"/>
  <c r="M65" i="2" l="1"/>
  <c r="M82" i="2" s="1"/>
  <c r="M64" i="2"/>
  <c r="M76" i="2" s="1"/>
  <c r="M69" i="2"/>
  <c r="M77" i="2" s="1"/>
  <c r="M70" i="2"/>
  <c r="M83" i="2" s="1"/>
  <c r="AO82" i="5"/>
  <c r="AP74" i="5"/>
  <c r="M84" i="2" l="1"/>
  <c r="M78" i="2"/>
  <c r="AP80" i="5"/>
  <c r="AP76" i="5"/>
  <c r="AP77" i="5" s="1"/>
  <c r="M90" i="2" l="1"/>
  <c r="M86" i="2"/>
  <c r="M91" i="2"/>
  <c r="N52" i="2"/>
  <c r="N53" i="2" s="1"/>
  <c r="N54" i="2" s="1"/>
  <c r="M94" i="2"/>
  <c r="M92" i="2"/>
  <c r="M93" i="2"/>
  <c r="AP82" i="5"/>
  <c r="AQ74" i="5"/>
  <c r="M96" i="2" l="1"/>
  <c r="M97" i="2" s="1"/>
  <c r="N75" i="2"/>
  <c r="N59" i="2" s="1"/>
  <c r="N61" i="2" s="1"/>
  <c r="N55" i="2"/>
  <c r="N49" i="2"/>
  <c r="N50" i="2" s="1"/>
  <c r="O45" i="2" s="1"/>
  <c r="O47" i="2" s="1"/>
  <c r="AQ80" i="5"/>
  <c r="AQ76" i="5"/>
  <c r="AQ77" i="5" s="1"/>
  <c r="N81" i="2" l="1"/>
  <c r="N60" i="2" s="1"/>
  <c r="N62" i="2" s="1"/>
  <c r="N56" i="2"/>
  <c r="AQ82" i="5"/>
  <c r="AR74" i="5"/>
  <c r="N63" i="2" l="1"/>
  <c r="N66" i="2" s="1"/>
  <c r="AR76" i="5"/>
  <c r="AR77" i="5" s="1"/>
  <c r="AR80" i="5"/>
  <c r="N64" i="2" l="1"/>
  <c r="N76" i="2" s="1"/>
  <c r="N65" i="2"/>
  <c r="N82" i="2" s="1"/>
  <c r="N70" i="2"/>
  <c r="N83" i="2" s="1"/>
  <c r="N69" i="2"/>
  <c r="N77" i="2" s="1"/>
  <c r="AR82" i="5"/>
  <c r="AS74" i="5"/>
  <c r="N84" i="2" l="1"/>
  <c r="N78" i="2"/>
  <c r="O52" i="2" s="1"/>
  <c r="O53" i="2" s="1"/>
  <c r="O54" i="2" s="1"/>
  <c r="AS80" i="5"/>
  <c r="AS76" i="5"/>
  <c r="AS77" i="5" s="1"/>
  <c r="N90" i="2" l="1"/>
  <c r="N92" i="2"/>
  <c r="N94" i="2"/>
  <c r="N91" i="2"/>
  <c r="N86" i="2"/>
  <c r="N93" i="2"/>
  <c r="O49" i="2"/>
  <c r="O50" i="2" s="1"/>
  <c r="P45" i="2" s="1"/>
  <c r="P47" i="2" s="1"/>
  <c r="O55" i="2"/>
  <c r="O75" i="2"/>
  <c r="O59" i="2" s="1"/>
  <c r="O61" i="2" s="1"/>
  <c r="AS82" i="5"/>
  <c r="AT74" i="5"/>
  <c r="N96" i="2" l="1"/>
  <c r="N97" i="2" s="1"/>
  <c r="O56" i="2"/>
  <c r="O81" i="2"/>
  <c r="O60" i="2" s="1"/>
  <c r="O62" i="2" s="1"/>
  <c r="AT80" i="5"/>
  <c r="AT76" i="5"/>
  <c r="AT77" i="5" s="1"/>
  <c r="O63" i="2" l="1"/>
  <c r="AU74" i="5"/>
  <c r="AT82" i="5"/>
  <c r="O65" i="2" l="1"/>
  <c r="O82" i="2" s="1"/>
  <c r="O64" i="2"/>
  <c r="O76" i="2" s="1"/>
  <c r="O66" i="2"/>
  <c r="AU76" i="5"/>
  <c r="AU77" i="5" s="1"/>
  <c r="AU80" i="5"/>
  <c r="O69" i="2" l="1"/>
  <c r="O77" i="2" s="1"/>
  <c r="O78" i="2" s="1"/>
  <c r="O70" i="2"/>
  <c r="O83" i="2" s="1"/>
  <c r="O84" i="2" s="1"/>
  <c r="AV74" i="5"/>
  <c r="AU82" i="5"/>
  <c r="O93" i="2" l="1"/>
  <c r="O86" i="2"/>
  <c r="P52" i="2"/>
  <c r="P53" i="2" s="1"/>
  <c r="P54" i="2" s="1"/>
  <c r="O94" i="2"/>
  <c r="O92" i="2"/>
  <c r="O91" i="2"/>
  <c r="O90" i="2"/>
  <c r="AV76" i="5"/>
  <c r="AV77" i="5" s="1"/>
  <c r="AV80" i="5"/>
  <c r="O96" i="2" l="1"/>
  <c r="O97" i="2" s="1"/>
  <c r="P75" i="2"/>
  <c r="P59" i="2" s="1"/>
  <c r="P61" i="2" s="1"/>
  <c r="P49" i="2"/>
  <c r="P50" i="2" s="1"/>
  <c r="Q45" i="2" s="1"/>
  <c r="Q47" i="2" s="1"/>
  <c r="P55" i="2"/>
  <c r="AW74" i="5"/>
  <c r="AV82" i="5"/>
  <c r="P56" i="2" l="1"/>
  <c r="P81" i="2"/>
  <c r="P60" i="2" s="1"/>
  <c r="P62" i="2" s="1"/>
  <c r="AW76" i="5"/>
  <c r="AW77" i="5" s="1"/>
  <c r="AW80" i="5"/>
  <c r="P63" i="2" l="1"/>
  <c r="AW82" i="5"/>
  <c r="AX74" i="5"/>
  <c r="P66" i="2" l="1"/>
  <c r="P64" i="2"/>
  <c r="P76" i="2" s="1"/>
  <c r="P65" i="2"/>
  <c r="P82" i="2" s="1"/>
  <c r="AX80" i="5"/>
  <c r="AX76" i="5"/>
  <c r="AX77" i="5" s="1"/>
  <c r="P70" i="2" l="1"/>
  <c r="P83" i="2" s="1"/>
  <c r="P84" i="2" s="1"/>
  <c r="P69" i="2"/>
  <c r="P77" i="2" s="1"/>
  <c r="P78" i="2" s="1"/>
  <c r="AX82" i="5"/>
  <c r="AY74" i="5"/>
  <c r="Q52" i="2" l="1"/>
  <c r="Q53" i="2" s="1"/>
  <c r="Q54" i="2" s="1"/>
  <c r="P91" i="2"/>
  <c r="P94" i="2"/>
  <c r="P92" i="2"/>
  <c r="P90" i="2"/>
  <c r="P93" i="2"/>
  <c r="P86" i="2"/>
  <c r="AY76" i="5"/>
  <c r="AY77" i="5" s="1"/>
  <c r="AY80" i="5"/>
  <c r="P96" i="2" l="1"/>
  <c r="P97" i="2" s="1"/>
  <c r="Q55" i="2"/>
  <c r="Q49" i="2"/>
  <c r="Q50" i="2" s="1"/>
  <c r="R45" i="2" s="1"/>
  <c r="Q75" i="2"/>
  <c r="Q59" i="2" s="1"/>
  <c r="Q61" i="2" s="1"/>
  <c r="AY82" i="5"/>
  <c r="AZ74" i="5"/>
  <c r="Q56" i="2" l="1"/>
  <c r="Q81" i="2"/>
  <c r="Q60" i="2" s="1"/>
  <c r="Q62" i="2" s="1"/>
  <c r="AZ80" i="5"/>
  <c r="AZ76" i="5"/>
  <c r="AZ77" i="5" s="1"/>
  <c r="Q63" i="2" l="1"/>
  <c r="Q64" i="2" s="1"/>
  <c r="Q76" i="2" s="1"/>
  <c r="AZ82" i="5"/>
  <c r="BA74" i="5"/>
  <c r="Q65" i="2" l="1"/>
  <c r="Q82" i="2" s="1"/>
  <c r="Q66" i="2"/>
  <c r="BA80" i="5"/>
  <c r="BA76" i="5"/>
  <c r="BA77" i="5" s="1"/>
  <c r="Q69" i="2" l="1"/>
  <c r="Q77" i="2" s="1"/>
  <c r="Q78" i="2" s="1"/>
  <c r="Q91" i="2" s="1"/>
  <c r="Q70" i="2"/>
  <c r="Q83" i="2" s="1"/>
  <c r="Q84" i="2" s="1"/>
  <c r="BA82" i="5"/>
  <c r="BB74" i="5"/>
  <c r="R52" i="2" l="1"/>
  <c r="R53" i="2" s="1"/>
  <c r="R54" i="2" s="1"/>
  <c r="Q94" i="2"/>
  <c r="Q93" i="2"/>
  <c r="Q90" i="2"/>
  <c r="Q92" i="2"/>
  <c r="Q86" i="2"/>
  <c r="BB80" i="5"/>
  <c r="BB76" i="5"/>
  <c r="BB77" i="5" s="1"/>
  <c r="Q96" i="2" l="1"/>
  <c r="Q97" i="2" s="1"/>
  <c r="R75" i="2"/>
  <c r="R59" i="2" s="1"/>
  <c r="R61" i="2" s="1"/>
  <c r="R55" i="2"/>
  <c r="R49" i="2"/>
  <c r="R50" i="2" s="1"/>
  <c r="S45" i="2" s="1"/>
  <c r="BB82" i="5"/>
  <c r="BC74" i="5"/>
  <c r="R81" i="2" l="1"/>
  <c r="R60" i="2" s="1"/>
  <c r="R62" i="2" s="1"/>
  <c r="R56" i="2"/>
  <c r="BC76" i="5"/>
  <c r="BC77" i="5" s="1"/>
  <c r="BC80" i="5"/>
  <c r="R63" i="2" l="1"/>
  <c r="R64" i="2" s="1"/>
  <c r="R76" i="2" s="1"/>
  <c r="BC82" i="5"/>
  <c r="BD74" i="5"/>
  <c r="R65" i="2" l="1"/>
  <c r="R82" i="2" s="1"/>
  <c r="R66" i="2"/>
  <c r="BD80" i="5"/>
  <c r="BD76" i="5"/>
  <c r="BD77" i="5" s="1"/>
  <c r="R70" i="2" l="1"/>
  <c r="R83" i="2" s="1"/>
  <c r="R84" i="2" s="1"/>
  <c r="R69" i="2"/>
  <c r="R77" i="2" s="1"/>
  <c r="R78" i="2" s="1"/>
  <c r="BD82" i="5"/>
  <c r="BE74" i="5"/>
  <c r="R91" i="2" l="1"/>
  <c r="S52" i="2"/>
  <c r="S53" i="2" s="1"/>
  <c r="S54" i="2" s="1"/>
  <c r="R94" i="2"/>
  <c r="R86" i="2"/>
  <c r="R93" i="2"/>
  <c r="R92" i="2"/>
  <c r="R90" i="2"/>
  <c r="BE80" i="5"/>
  <c r="BE76" i="5"/>
  <c r="BE77" i="5" s="1"/>
  <c r="R96" i="2" l="1"/>
  <c r="R97" i="2" s="1"/>
  <c r="S49" i="2"/>
  <c r="S50" i="2" s="1"/>
  <c r="T45" i="2" s="1"/>
  <c r="S55" i="2"/>
  <c r="S75" i="2"/>
  <c r="S59" i="2" s="1"/>
  <c r="S61" i="2" s="1"/>
  <c r="BF74" i="5"/>
  <c r="BE82" i="5"/>
  <c r="S81" i="2" l="1"/>
  <c r="S60" i="2" s="1"/>
  <c r="S62" i="2" s="1"/>
  <c r="S56" i="2"/>
  <c r="BF80" i="5"/>
  <c r="BF76" i="5"/>
  <c r="BF77" i="5" s="1"/>
  <c r="S63" i="2" l="1"/>
  <c r="BG74" i="5"/>
  <c r="BF82" i="5"/>
  <c r="S65" i="2" l="1"/>
  <c r="S82" i="2" s="1"/>
  <c r="S64" i="2"/>
  <c r="S76" i="2" s="1"/>
  <c r="S66" i="2"/>
  <c r="BG80" i="5"/>
  <c r="BG76" i="5"/>
  <c r="BG77" i="5" s="1"/>
  <c r="S70" i="2" l="1"/>
  <c r="S83" i="2" s="1"/>
  <c r="S84" i="2" s="1"/>
  <c r="S69" i="2"/>
  <c r="S77" i="2" s="1"/>
  <c r="S78" i="2" s="1"/>
  <c r="BG82" i="5"/>
  <c r="BH74" i="5"/>
  <c r="T52" i="2" l="1"/>
  <c r="T53" i="2" s="1"/>
  <c r="T54" i="2" s="1"/>
  <c r="T75" i="2" s="1"/>
  <c r="T59" i="2" s="1"/>
  <c r="T61" i="2" s="1"/>
  <c r="S93" i="2"/>
  <c r="S91" i="2"/>
  <c r="S94" i="2"/>
  <c r="S92" i="2"/>
  <c r="S90" i="2"/>
  <c r="S86" i="2"/>
  <c r="BH76" i="5"/>
  <c r="BH77" i="5" s="1"/>
  <c r="BH80" i="5"/>
  <c r="S96" i="2" l="1"/>
  <c r="S97" i="2" s="1"/>
  <c r="T55" i="2"/>
  <c r="T49" i="2"/>
  <c r="T50" i="2" s="1"/>
  <c r="U45" i="2" s="1"/>
  <c r="BH82" i="5"/>
  <c r="BI74" i="5"/>
  <c r="T56" i="2" l="1"/>
  <c r="T81" i="2"/>
  <c r="T60" i="2" s="1"/>
  <c r="T62" i="2" s="1"/>
  <c r="BI80" i="5"/>
  <c r="BI76" i="5"/>
  <c r="BI77" i="5" s="1"/>
  <c r="T63" i="2" l="1"/>
  <c r="BJ74" i="5"/>
  <c r="BI82" i="5"/>
  <c r="T64" i="2" l="1"/>
  <c r="T76" i="2" s="1"/>
  <c r="T66" i="2"/>
  <c r="T65" i="2"/>
  <c r="T82" i="2" s="1"/>
  <c r="BJ80" i="5"/>
  <c r="BJ76" i="5"/>
  <c r="BJ77" i="5" s="1"/>
  <c r="T70" i="2" l="1"/>
  <c r="T83" i="2" s="1"/>
  <c r="T84" i="2" s="1"/>
  <c r="T69" i="2"/>
  <c r="T77" i="2" s="1"/>
  <c r="T78" i="2" s="1"/>
  <c r="U52" i="2" s="1"/>
  <c r="U53" i="2" s="1"/>
  <c r="U54" i="2" s="1"/>
  <c r="BJ82" i="5"/>
  <c r="BK74" i="5"/>
  <c r="T94" i="2" l="1"/>
  <c r="T91" i="2"/>
  <c r="T90" i="2"/>
  <c r="T93" i="2"/>
  <c r="T86" i="2"/>
  <c r="T92" i="2"/>
  <c r="U55" i="2"/>
  <c r="U75" i="2"/>
  <c r="U59" i="2" s="1"/>
  <c r="U61" i="2" s="1"/>
  <c r="U49" i="2"/>
  <c r="U50" i="2" s="1"/>
  <c r="V45" i="2" s="1"/>
  <c r="BK76" i="5"/>
  <c r="BK77" i="5" s="1"/>
  <c r="BK80" i="5"/>
  <c r="T96" i="2" l="1"/>
  <c r="T97" i="2" s="1"/>
  <c r="U56" i="2"/>
  <c r="U81" i="2"/>
  <c r="U60" i="2" s="1"/>
  <c r="U62" i="2" s="1"/>
  <c r="BK82" i="5"/>
  <c r="BL74" i="5"/>
  <c r="U63" i="2" l="1"/>
  <c r="BL76" i="5"/>
  <c r="BL77" i="5" s="1"/>
  <c r="BL80" i="5"/>
  <c r="U65" i="2" l="1"/>
  <c r="U82" i="2" s="1"/>
  <c r="U64" i="2"/>
  <c r="U76" i="2" s="1"/>
  <c r="U66" i="2"/>
  <c r="BL82" i="5"/>
  <c r="BM74" i="5"/>
  <c r="U69" i="2" l="1"/>
  <c r="U77" i="2" s="1"/>
  <c r="U78" i="2" s="1"/>
  <c r="U70" i="2"/>
  <c r="U83" i="2" s="1"/>
  <c r="U84" i="2" s="1"/>
  <c r="BM76" i="5"/>
  <c r="BM77" i="5" s="1"/>
  <c r="BM80" i="5"/>
  <c r="V52" i="2" l="1"/>
  <c r="V53" i="2" s="1"/>
  <c r="V54" i="2" s="1"/>
  <c r="U94" i="2"/>
  <c r="U92" i="2"/>
  <c r="U93" i="2"/>
  <c r="U91" i="2"/>
  <c r="U86" i="2"/>
  <c r="U90" i="2"/>
  <c r="BM82" i="5"/>
  <c r="BN74" i="5"/>
  <c r="U96" i="2" l="1"/>
  <c r="U97" i="2" s="1"/>
  <c r="V75" i="2"/>
  <c r="V59" i="2" s="1"/>
  <c r="V61" i="2" s="1"/>
  <c r="V49" i="2"/>
  <c r="V50" i="2" s="1"/>
  <c r="W45" i="2" s="1"/>
  <c r="V55" i="2"/>
  <c r="BN76" i="5"/>
  <c r="BN77" i="5" s="1"/>
  <c r="BN80" i="5"/>
  <c r="V56" i="2" l="1"/>
  <c r="V81" i="2"/>
  <c r="V60" i="2" s="1"/>
  <c r="V62" i="2" s="1"/>
  <c r="BO74" i="5"/>
  <c r="BN82" i="5"/>
  <c r="V63" i="2" l="1"/>
  <c r="BO80" i="5"/>
  <c r="BO76" i="5"/>
  <c r="BO77" i="5" s="1"/>
  <c r="V66" i="2" l="1"/>
  <c r="V65" i="2"/>
  <c r="V82" i="2" s="1"/>
  <c r="V64" i="2"/>
  <c r="V76" i="2" s="1"/>
  <c r="BO82" i="5"/>
  <c r="BP74" i="5"/>
  <c r="V70" i="2" l="1"/>
  <c r="V83" i="2" s="1"/>
  <c r="V84" i="2" s="1"/>
  <c r="V69" i="2"/>
  <c r="V77" i="2" s="1"/>
  <c r="V78" i="2" s="1"/>
  <c r="BP80" i="5"/>
  <c r="BP76" i="5"/>
  <c r="BP77" i="5" s="1"/>
  <c r="V92" i="2" l="1"/>
  <c r="V94" i="2"/>
  <c r="V90" i="2"/>
  <c r="W52" i="2"/>
  <c r="W53" i="2" s="1"/>
  <c r="W54" i="2" s="1"/>
  <c r="V93" i="2"/>
  <c r="V91" i="2"/>
  <c r="V86" i="2"/>
  <c r="BQ74" i="5"/>
  <c r="BP82" i="5"/>
  <c r="V96" i="2" l="1"/>
  <c r="V97" i="2" s="1"/>
  <c r="W75" i="2"/>
  <c r="W59" i="2" s="1"/>
  <c r="W61" i="2" s="1"/>
  <c r="W55" i="2"/>
  <c r="W49" i="2"/>
  <c r="W50" i="2" s="1"/>
  <c r="BQ76" i="5"/>
  <c r="BQ77" i="5" s="1"/>
  <c r="BQ80" i="5"/>
  <c r="W81" i="2" l="1"/>
  <c r="W60" i="2" s="1"/>
  <c r="W62" i="2" s="1"/>
  <c r="W56" i="2"/>
  <c r="BQ82" i="5"/>
  <c r="BR74" i="5"/>
  <c r="W63" i="2" l="1"/>
  <c r="BR76" i="5"/>
  <c r="BR77" i="5" s="1"/>
  <c r="BR80" i="5"/>
  <c r="W65" i="2" l="1"/>
  <c r="W82" i="2" s="1"/>
  <c r="W64" i="2"/>
  <c r="W76" i="2" s="1"/>
  <c r="W66" i="2"/>
  <c r="BR82" i="5"/>
  <c r="BS74" i="5"/>
  <c r="W70" i="2" l="1"/>
  <c r="W83" i="2" s="1"/>
  <c r="W84" i="2" s="1"/>
  <c r="W69" i="2"/>
  <c r="W77" i="2" s="1"/>
  <c r="W78" i="2" s="1"/>
  <c r="BS80" i="5"/>
  <c r="BS76" i="5"/>
  <c r="BS77" i="5" s="1"/>
  <c r="W86" i="2" l="1"/>
  <c r="W91" i="2"/>
  <c r="W90" i="2"/>
  <c r="H18" i="2" s="1"/>
  <c r="W92" i="2"/>
  <c r="W93" i="2"/>
  <c r="W94" i="2"/>
  <c r="BS82" i="5"/>
  <c r="BT74" i="5"/>
  <c r="F21" i="2" l="1"/>
  <c r="H21" i="2"/>
  <c r="F18" i="2"/>
  <c r="G18" i="2"/>
  <c r="W96" i="2"/>
  <c r="W97" i="2" s="1"/>
  <c r="H19" i="2"/>
  <c r="G19" i="2"/>
  <c r="F19" i="2"/>
  <c r="H22" i="2"/>
  <c r="F22" i="2"/>
  <c r="H20" i="2"/>
  <c r="F20" i="2"/>
  <c r="G20" i="2"/>
  <c r="BT76" i="5"/>
  <c r="BT77" i="5" s="1"/>
  <c r="BT80" i="5"/>
  <c r="BT82" i="5" l="1"/>
  <c r="BU74" i="5"/>
  <c r="BU80" i="5" l="1"/>
  <c r="BU76" i="5"/>
  <c r="BU77" i="5" s="1"/>
  <c r="BV74" i="5" l="1"/>
  <c r="BU82" i="5"/>
  <c r="BV76" i="5" l="1"/>
  <c r="BV77" i="5" s="1"/>
  <c r="BV80" i="5"/>
  <c r="BW74" i="5" l="1"/>
  <c r="BV82" i="5"/>
  <c r="BW80" i="5" l="1"/>
  <c r="BW76" i="5"/>
  <c r="BW77" i="5" s="1"/>
  <c r="BW82" i="5" l="1"/>
  <c r="BX74" i="5"/>
  <c r="BX76" i="5" l="1"/>
  <c r="BX77" i="5" s="1"/>
  <c r="BX80" i="5"/>
  <c r="BY74" i="5" l="1"/>
  <c r="BX82" i="5"/>
  <c r="BY76" i="5" l="1"/>
  <c r="BY77" i="5" s="1"/>
  <c r="BY80" i="5"/>
  <c r="BY82" i="5" l="1"/>
  <c r="BZ74" i="5"/>
  <c r="BZ80" i="5" l="1"/>
  <c r="BZ76" i="5"/>
  <c r="BZ77" i="5" s="1"/>
  <c r="BZ82" i="5" l="1"/>
  <c r="CA74" i="5"/>
  <c r="CA80" i="5" l="1"/>
  <c r="CA76" i="5"/>
  <c r="CA77" i="5" s="1"/>
  <c r="CB74" i="5" l="1"/>
  <c r="CA82" i="5"/>
  <c r="CB76" i="5" l="1"/>
  <c r="CB77" i="5" s="1"/>
  <c r="CB80" i="5"/>
  <c r="CB82" i="5" l="1"/>
  <c r="CC74" i="5"/>
  <c r="CC80" i="5" l="1"/>
  <c r="CC76" i="5"/>
  <c r="CC77" i="5" s="1"/>
  <c r="CD74" i="5" l="1"/>
  <c r="CC82" i="5"/>
  <c r="CD80" i="5" l="1"/>
  <c r="CD76" i="5"/>
  <c r="CD77" i="5" s="1"/>
  <c r="CE74" i="5" l="1"/>
  <c r="CD82" i="5"/>
  <c r="CE80" i="5" l="1"/>
  <c r="CE76" i="5"/>
  <c r="CE77" i="5" s="1"/>
  <c r="CE82" i="5" l="1"/>
  <c r="CF74" i="5"/>
  <c r="CF80" i="5" l="1"/>
  <c r="CF76" i="5"/>
  <c r="CF77" i="5" s="1"/>
  <c r="CF82" i="5" l="1"/>
  <c r="CG74" i="5"/>
  <c r="CG80" i="5" l="1"/>
  <c r="CG76" i="5"/>
  <c r="CG77" i="5" s="1"/>
  <c r="CG82" i="5" l="1"/>
  <c r="CH74" i="5"/>
  <c r="CH80" i="5" l="1"/>
  <c r="CH76" i="5"/>
  <c r="CH77" i="5" s="1"/>
  <c r="CH82" i="5" l="1"/>
  <c r="CI74" i="5"/>
  <c r="CI80" i="5" l="1"/>
  <c r="CI76" i="5"/>
  <c r="CI77" i="5" s="1"/>
  <c r="CJ74" i="5" l="1"/>
  <c r="CI82" i="5"/>
  <c r="CJ80" i="5" l="1"/>
  <c r="CJ76" i="5"/>
  <c r="CJ77" i="5" s="1"/>
  <c r="CK74" i="5" l="1"/>
  <c r="CJ82" i="5"/>
  <c r="CK80" i="5" l="1"/>
  <c r="CK76" i="5"/>
  <c r="CK77" i="5" s="1"/>
  <c r="CK82" i="5" l="1"/>
  <c r="CL74" i="5"/>
  <c r="CL80" i="5" l="1"/>
  <c r="CL76" i="5"/>
  <c r="CL77" i="5" s="1"/>
  <c r="CM74" i="5" l="1"/>
  <c r="CL82" i="5"/>
  <c r="CM76" i="5" l="1"/>
  <c r="CM77" i="5" s="1"/>
  <c r="CM80" i="5"/>
  <c r="CM82" i="5" l="1"/>
  <c r="CN74" i="5"/>
  <c r="CN80" i="5" l="1"/>
  <c r="CN76" i="5"/>
  <c r="CN77" i="5" s="1"/>
  <c r="CO74" i="5" l="1"/>
  <c r="CN82" i="5"/>
  <c r="CO80" i="5" l="1"/>
  <c r="CO76" i="5"/>
  <c r="CO77" i="5" s="1"/>
  <c r="CP74" i="5" l="1"/>
  <c r="CO82" i="5"/>
  <c r="CP76" i="5" l="1"/>
  <c r="CP77" i="5" s="1"/>
  <c r="CP80" i="5"/>
  <c r="CP82" i="5" l="1"/>
  <c r="CQ74" i="5"/>
  <c r="CQ80" i="5" l="1"/>
  <c r="CQ76" i="5"/>
  <c r="CQ77" i="5" s="1"/>
  <c r="CR74" i="5" l="1"/>
  <c r="CQ82" i="5"/>
  <c r="CR76" i="5" l="1"/>
  <c r="CR77" i="5" s="1"/>
  <c r="CR80" i="5"/>
  <c r="CR82" i="5" l="1"/>
  <c r="CS74" i="5"/>
  <c r="CS80" i="5" l="1"/>
  <c r="CS76" i="5"/>
  <c r="CS77" i="5" s="1"/>
  <c r="CS82" i="5" l="1"/>
  <c r="CT74" i="5"/>
  <c r="CT76" i="5" l="1"/>
  <c r="CT77" i="5" s="1"/>
  <c r="CT80" i="5"/>
  <c r="CU74" i="5" l="1"/>
  <c r="CT82" i="5"/>
  <c r="CU80" i="5" l="1"/>
  <c r="CU76" i="5"/>
  <c r="CU77" i="5" s="1"/>
  <c r="CU82" i="5" l="1"/>
  <c r="CV74" i="5"/>
  <c r="CV76" i="5" l="1"/>
  <c r="CV77" i="5" s="1"/>
  <c r="CV80" i="5"/>
  <c r="CW74" i="5" l="1"/>
  <c r="CV82" i="5"/>
  <c r="CW76" i="5" l="1"/>
  <c r="CW77" i="5" s="1"/>
  <c r="CW80" i="5"/>
  <c r="CX74" i="5" l="1"/>
  <c r="CW82" i="5"/>
  <c r="CX76" i="5" l="1"/>
  <c r="CX77" i="5" s="1"/>
  <c r="CX80" i="5"/>
  <c r="CY74" i="5" l="1"/>
  <c r="CX82" i="5"/>
  <c r="CY76" i="5" l="1"/>
  <c r="CY77" i="5" s="1"/>
  <c r="CY80" i="5"/>
  <c r="CY82" i="5" l="1"/>
  <c r="CZ74" i="5"/>
  <c r="D6" i="1" l="1"/>
  <c r="D32" i="14"/>
  <c r="CZ80" i="5"/>
  <c r="CZ76" i="5"/>
  <c r="CZ77" i="5" s="1"/>
  <c r="CZ82" i="5" l="1"/>
  <c r="DA74" i="5"/>
  <c r="DA76" i="5" l="1"/>
  <c r="DA77" i="5" s="1"/>
  <c r="DA80" i="5"/>
  <c r="DB74" i="5" l="1"/>
  <c r="DA82" i="5"/>
  <c r="DB80" i="5" l="1"/>
  <c r="DB76" i="5"/>
  <c r="DB77" i="5" s="1"/>
  <c r="DB82" i="5" l="1"/>
  <c r="DC74" i="5"/>
  <c r="DC80" i="5" l="1"/>
  <c r="DC76" i="5"/>
  <c r="DC77" i="5" s="1"/>
  <c r="DC82" i="5" l="1"/>
  <c r="DD74" i="5"/>
  <c r="DD76" i="5" l="1"/>
  <c r="DD77" i="5" s="1"/>
  <c r="DD80" i="5"/>
  <c r="DE74" i="5" l="1"/>
  <c r="DD82" i="5"/>
  <c r="DE80" i="5" l="1"/>
  <c r="DE76" i="5"/>
  <c r="DE77" i="5" s="1"/>
  <c r="DF74" i="5" l="1"/>
  <c r="DE82" i="5"/>
  <c r="DF80" i="5" l="1"/>
  <c r="DF76" i="5"/>
  <c r="DF77" i="5" s="1"/>
  <c r="DG74" i="5" l="1"/>
  <c r="DF82" i="5"/>
  <c r="DG80" i="5" l="1"/>
  <c r="DG76" i="5"/>
  <c r="DG77" i="5" s="1"/>
  <c r="DH74" i="5" l="1"/>
  <c r="DG82" i="5"/>
  <c r="DH76" i="5" l="1"/>
  <c r="DH77" i="5" s="1"/>
  <c r="DH80" i="5"/>
  <c r="DH82" i="5" l="1"/>
  <c r="DI74" i="5"/>
  <c r="DI80" i="5" l="1"/>
  <c r="DI76" i="5"/>
  <c r="DI77" i="5" s="1"/>
  <c r="DI82" i="5" l="1"/>
  <c r="DJ74" i="5"/>
  <c r="DJ80" i="5" l="1"/>
  <c r="DJ76" i="5"/>
  <c r="DJ77" i="5" s="1"/>
  <c r="DJ82" i="5" l="1"/>
  <c r="DK74" i="5"/>
  <c r="DK80" i="5" l="1"/>
  <c r="DK76" i="5"/>
  <c r="DK77" i="5" s="1"/>
  <c r="DK82" i="5" l="1"/>
  <c r="DL74" i="5"/>
  <c r="DL80" i="5" l="1"/>
  <c r="DL76" i="5"/>
  <c r="DL77" i="5" s="1"/>
  <c r="DM74" i="5" l="1"/>
  <c r="DL82" i="5"/>
  <c r="DM80" i="5" l="1"/>
  <c r="DM76" i="5"/>
  <c r="DM77" i="5" s="1"/>
  <c r="DN74" i="5" l="1"/>
  <c r="DM82" i="5"/>
  <c r="DN80" i="5" l="1"/>
  <c r="DN76" i="5"/>
  <c r="DN77" i="5" s="1"/>
  <c r="DN82" i="5" l="1"/>
  <c r="DO74" i="5"/>
  <c r="DO80" i="5" l="1"/>
  <c r="DO76" i="5"/>
  <c r="DO77" i="5" s="1"/>
  <c r="DP74" i="5" l="1"/>
  <c r="DO82" i="5"/>
  <c r="DP76" i="5" l="1"/>
  <c r="DP77" i="5" s="1"/>
  <c r="DP80" i="5"/>
  <c r="DQ74" i="5" l="1"/>
  <c r="DP82" i="5"/>
  <c r="DQ76" i="5" l="1"/>
  <c r="DQ77" i="5" s="1"/>
  <c r="DQ80" i="5"/>
  <c r="DR74" i="5" l="1"/>
  <c r="DQ82" i="5"/>
  <c r="DR76" i="5" l="1"/>
  <c r="DR77" i="5" s="1"/>
  <c r="DR80" i="5"/>
  <c r="DR82" i="5" l="1"/>
  <c r="DS74" i="5"/>
  <c r="DS80" i="5" l="1"/>
  <c r="DS76" i="5"/>
  <c r="DS77" i="5" s="1"/>
  <c r="DS82" i="5" l="1"/>
  <c r="DT74" i="5"/>
  <c r="DT80" i="5" l="1"/>
  <c r="DT76" i="5"/>
  <c r="DT77" i="5" s="1"/>
  <c r="DT82" i="5" l="1"/>
  <c r="DU74" i="5"/>
  <c r="DU76" i="5" l="1"/>
  <c r="DU77" i="5" s="1"/>
  <c r="DU80" i="5"/>
  <c r="DU82" i="5" l="1"/>
  <c r="DV74" i="5"/>
  <c r="DV80" i="5" l="1"/>
  <c r="DV76" i="5"/>
  <c r="DV77" i="5" s="1"/>
  <c r="DV82" i="5" l="1"/>
  <c r="DW74" i="5"/>
  <c r="DW80" i="5" l="1"/>
  <c r="DW76" i="5"/>
  <c r="DW77" i="5" s="1"/>
  <c r="DX74" i="5" l="1"/>
  <c r="DW82" i="5"/>
  <c r="DX76" i="5" l="1"/>
  <c r="DX77" i="5" s="1"/>
  <c r="DX80" i="5"/>
  <c r="DX82" i="5" l="1"/>
  <c r="DY74" i="5"/>
  <c r="DY76" i="5" l="1"/>
  <c r="DY77" i="5" s="1"/>
  <c r="DY80" i="5"/>
  <c r="DZ74" i="5" l="1"/>
  <c r="DY82" i="5"/>
  <c r="DZ80" i="5" l="1"/>
  <c r="DZ76" i="5"/>
  <c r="DZ77" i="5" s="1"/>
  <c r="EA74" i="5" l="1"/>
  <c r="DZ82" i="5"/>
  <c r="EA80" i="5" l="1"/>
  <c r="EA76" i="5"/>
  <c r="EA77" i="5" s="1"/>
  <c r="EB74" i="5" l="1"/>
  <c r="EA82" i="5"/>
  <c r="EB80" i="5" l="1"/>
  <c r="EB76" i="5"/>
  <c r="EB77" i="5" s="1"/>
  <c r="EB82" i="5" l="1"/>
  <c r="EC74" i="5"/>
  <c r="EC80" i="5" l="1"/>
  <c r="EC76" i="5"/>
  <c r="EC77" i="5" s="1"/>
  <c r="EC82" i="5" l="1"/>
  <c r="ED74" i="5"/>
  <c r="ED76" i="5" l="1"/>
  <c r="ED77" i="5" s="1"/>
  <c r="ED80" i="5"/>
  <c r="ED82" i="5" l="1"/>
  <c r="EE74" i="5"/>
  <c r="EE80" i="5" l="1"/>
  <c r="EE76" i="5"/>
  <c r="EE77" i="5" s="1"/>
  <c r="EE82" i="5" l="1"/>
  <c r="EF74" i="5"/>
  <c r="EF76" i="5" l="1"/>
  <c r="EF77" i="5" s="1"/>
  <c r="EF80" i="5"/>
  <c r="EF82" i="5" l="1"/>
  <c r="EG74" i="5"/>
  <c r="EG80" i="5" l="1"/>
  <c r="EG76" i="5"/>
  <c r="EG77" i="5" s="1"/>
  <c r="EG82" i="5" l="1"/>
  <c r="EH74" i="5"/>
  <c r="EH76" i="5" l="1"/>
  <c r="EH77" i="5" s="1"/>
  <c r="EH80" i="5"/>
  <c r="EH82" i="5" l="1"/>
  <c r="EI74" i="5"/>
  <c r="EI80" i="5" l="1"/>
  <c r="EI76" i="5"/>
  <c r="EI77" i="5" s="1"/>
  <c r="EI82" i="5" l="1"/>
  <c r="EJ74" i="5"/>
  <c r="EJ80" i="5" l="1"/>
  <c r="EJ76" i="5"/>
  <c r="EJ77" i="5" s="1"/>
  <c r="EK74" i="5" l="1"/>
  <c r="EJ82" i="5"/>
  <c r="EK80" i="5" l="1"/>
  <c r="EK76" i="5"/>
  <c r="EK77" i="5" s="1"/>
  <c r="EL74" i="5" l="1"/>
  <c r="EK82" i="5"/>
  <c r="EL80" i="5" l="1"/>
  <c r="EL76" i="5"/>
  <c r="EL77" i="5" s="1"/>
  <c r="EL82" i="5" l="1"/>
  <c r="EM74" i="5"/>
  <c r="EM80" i="5" l="1"/>
  <c r="EM76" i="5"/>
  <c r="EM77" i="5" s="1"/>
  <c r="EN74" i="5" l="1"/>
  <c r="EM82" i="5"/>
  <c r="EN76" i="5" l="1"/>
  <c r="EN77" i="5" s="1"/>
  <c r="EN80" i="5"/>
  <c r="EO74" i="5" l="1"/>
  <c r="EN82" i="5"/>
  <c r="EO80" i="5" l="1"/>
  <c r="EO76" i="5"/>
  <c r="EO77" i="5" s="1"/>
  <c r="EO82" i="5" l="1"/>
  <c r="EP74" i="5"/>
  <c r="EP76" i="5" l="1"/>
  <c r="EP77" i="5" s="1"/>
  <c r="EP80" i="5"/>
  <c r="EQ74" i="5" l="1"/>
  <c r="EP82" i="5"/>
  <c r="EQ80" i="5" l="1"/>
  <c r="EQ76" i="5"/>
  <c r="EQ77" i="5" s="1"/>
  <c r="ER74" i="5" l="1"/>
  <c r="EQ82" i="5"/>
  <c r="ER76" i="5" l="1"/>
  <c r="ER77" i="5" s="1"/>
  <c r="ER80" i="5"/>
  <c r="ES74" i="5" l="1"/>
  <c r="ER82" i="5"/>
  <c r="ES80" i="5" l="1"/>
  <c r="ES76" i="5"/>
  <c r="ES77" i="5" s="1"/>
  <c r="ET74" i="5" l="1"/>
  <c r="ES82" i="5"/>
  <c r="ET80" i="5" l="1"/>
  <c r="ET76" i="5"/>
  <c r="ET77" i="5" s="1"/>
  <c r="ET82" i="5" l="1"/>
  <c r="EU74" i="5"/>
  <c r="EU76" i="5" l="1"/>
  <c r="EU77" i="5" s="1"/>
  <c r="EU80" i="5"/>
  <c r="EU82" i="5" l="1"/>
  <c r="EV74" i="5"/>
  <c r="EV80" i="5" l="1"/>
  <c r="EV76" i="5"/>
  <c r="EV77" i="5" s="1"/>
  <c r="EW74" i="5" l="1"/>
  <c r="EV82" i="5"/>
  <c r="EW80" i="5" l="1"/>
  <c r="EW76" i="5"/>
  <c r="EW77" i="5" s="1"/>
  <c r="EW82" i="5" l="1"/>
  <c r="EX74" i="5"/>
  <c r="EX76" i="5" l="1"/>
  <c r="EX77" i="5" s="1"/>
  <c r="EX80" i="5"/>
  <c r="EY74" i="5" l="1"/>
  <c r="EX82" i="5"/>
  <c r="EY80" i="5" l="1"/>
  <c r="EY76" i="5"/>
  <c r="EY77" i="5" s="1"/>
  <c r="EZ74" i="5" l="1"/>
  <c r="EY82" i="5"/>
  <c r="EZ80" i="5" l="1"/>
  <c r="EZ76" i="5"/>
  <c r="EZ77" i="5" s="1"/>
  <c r="EZ82" i="5" l="1"/>
  <c r="FA74" i="5"/>
  <c r="FA76" i="5" l="1"/>
  <c r="FA77" i="5" s="1"/>
  <c r="FA80" i="5"/>
  <c r="FA82" i="5" l="1"/>
  <c r="FB74" i="5"/>
  <c r="FB80" i="5" l="1"/>
  <c r="FB76" i="5"/>
  <c r="FB77" i="5" s="1"/>
  <c r="FB82" i="5" l="1"/>
  <c r="FC74" i="5"/>
  <c r="FC80" i="5" l="1"/>
  <c r="FC76" i="5"/>
  <c r="FC77" i="5" s="1"/>
  <c r="FC82" i="5" l="1"/>
  <c r="FD74" i="5"/>
  <c r="FD80" i="5" l="1"/>
  <c r="FD76" i="5"/>
  <c r="FD77" i="5" s="1"/>
  <c r="FD82" i="5" l="1"/>
  <c r="FE74" i="5"/>
  <c r="FE80" i="5" l="1"/>
  <c r="FE76" i="5"/>
  <c r="FE77" i="5" s="1"/>
  <c r="FF74" i="5" l="1"/>
  <c r="FE82" i="5"/>
  <c r="FF76" i="5" l="1"/>
  <c r="FF77" i="5" s="1"/>
  <c r="FF80" i="5"/>
  <c r="FG74" i="5" l="1"/>
  <c r="FF82" i="5"/>
  <c r="FG76" i="5" l="1"/>
  <c r="FG77" i="5" s="1"/>
  <c r="FG80" i="5"/>
  <c r="FG82" i="5" l="1"/>
  <c r="FH74" i="5"/>
  <c r="FH80" i="5" l="1"/>
  <c r="FH76" i="5"/>
  <c r="FH77" i="5" s="1"/>
  <c r="FH82" i="5" l="1"/>
  <c r="FI74" i="5"/>
  <c r="FI76" i="5" l="1"/>
  <c r="FI77" i="5" s="1"/>
  <c r="FI80" i="5"/>
  <c r="FI82" i="5" l="1"/>
  <c r="FJ74" i="5"/>
  <c r="FJ80" i="5" l="1"/>
  <c r="FJ76" i="5"/>
  <c r="FJ77" i="5" s="1"/>
  <c r="FJ82" i="5" l="1"/>
  <c r="FK74" i="5"/>
  <c r="FK76" i="5" l="1"/>
  <c r="FK77" i="5" s="1"/>
  <c r="FK80" i="5"/>
  <c r="FL74" i="5" l="1"/>
  <c r="FK82" i="5"/>
  <c r="FL76" i="5" l="1"/>
  <c r="FL77" i="5" s="1"/>
  <c r="FL80" i="5"/>
  <c r="FL82" i="5" l="1"/>
  <c r="FM74" i="5"/>
  <c r="FM76" i="5" l="1"/>
  <c r="FM77" i="5" s="1"/>
  <c r="FM80" i="5"/>
  <c r="FM82" i="5" l="1"/>
  <c r="FN74" i="5"/>
  <c r="FN80" i="5" l="1"/>
  <c r="FN76" i="5"/>
  <c r="FN77" i="5" s="1"/>
  <c r="FN82" i="5" l="1"/>
  <c r="FO74" i="5"/>
  <c r="FO80" i="5" l="1"/>
  <c r="FO76" i="5"/>
  <c r="FO77" i="5" s="1"/>
  <c r="FO82" i="5" l="1"/>
  <c r="FP74" i="5"/>
  <c r="FP76" i="5" l="1"/>
  <c r="FP77" i="5" s="1"/>
  <c r="FP80" i="5"/>
  <c r="FP82" i="5" l="1"/>
  <c r="FQ74" i="5"/>
  <c r="FQ80" i="5" l="1"/>
  <c r="FQ76" i="5"/>
  <c r="FQ77" i="5" s="1"/>
  <c r="FR74" i="5" l="1"/>
  <c r="FQ82" i="5"/>
  <c r="FR76" i="5" l="1"/>
  <c r="FR77" i="5" s="1"/>
  <c r="FR80" i="5"/>
  <c r="FR82" i="5" l="1"/>
  <c r="FS74" i="5"/>
  <c r="FS80" i="5" l="1"/>
  <c r="FS76" i="5"/>
  <c r="FS77" i="5" s="1"/>
  <c r="FS82" i="5" l="1"/>
  <c r="FT74" i="5"/>
  <c r="FT80" i="5" l="1"/>
  <c r="FT76" i="5"/>
  <c r="FT77" i="5" s="1"/>
  <c r="FT82" i="5" l="1"/>
  <c r="FU74" i="5"/>
  <c r="FU80" i="5" l="1"/>
  <c r="FU76" i="5"/>
  <c r="FU77" i="5" s="1"/>
  <c r="FV74" i="5" l="1"/>
  <c r="FU82" i="5"/>
  <c r="FV76" i="5" l="1"/>
  <c r="FV77" i="5" s="1"/>
  <c r="FV80" i="5"/>
  <c r="FV82" i="5" l="1"/>
  <c r="FW74" i="5"/>
  <c r="FW80" i="5" l="1"/>
  <c r="FW76" i="5"/>
  <c r="FW77" i="5" s="1"/>
  <c r="FW82" i="5" l="1"/>
  <c r="FX74" i="5"/>
  <c r="FX76" i="5" l="1"/>
  <c r="FX77" i="5" s="1"/>
  <c r="FX80" i="5"/>
  <c r="FX82" i="5" l="1"/>
  <c r="FY74" i="5"/>
  <c r="FY80" i="5" l="1"/>
  <c r="FY76" i="5"/>
  <c r="FY77" i="5" s="1"/>
  <c r="FY82" i="5" l="1"/>
  <c r="FZ74" i="5"/>
  <c r="FZ76" i="5" l="1"/>
  <c r="FZ77" i="5" s="1"/>
  <c r="FZ80" i="5"/>
  <c r="FZ82" i="5" l="1"/>
  <c r="GA74" i="5"/>
  <c r="GA76" i="5" l="1"/>
  <c r="GA77" i="5" s="1"/>
  <c r="GA80" i="5"/>
  <c r="GB74" i="5" l="1"/>
  <c r="GA82" i="5"/>
  <c r="GB80" i="5" l="1"/>
  <c r="GB76" i="5"/>
  <c r="GB77" i="5" s="1"/>
  <c r="GB82" i="5" l="1"/>
  <c r="GC74" i="5"/>
  <c r="GC76" i="5" l="1"/>
  <c r="GC77" i="5" s="1"/>
  <c r="GC80" i="5"/>
  <c r="GD74" i="5" l="1"/>
  <c r="GC82" i="5"/>
  <c r="GD80" i="5" l="1"/>
  <c r="GD76" i="5"/>
  <c r="GD77" i="5" s="1"/>
  <c r="GD82" i="5" l="1"/>
  <c r="GE74" i="5"/>
  <c r="GE80" i="5" l="1"/>
  <c r="GE76" i="5"/>
  <c r="GE77" i="5" s="1"/>
  <c r="GE82" i="5" l="1"/>
  <c r="GF74" i="5"/>
  <c r="GF76" i="5" l="1"/>
  <c r="GF77" i="5" s="1"/>
  <c r="GF80" i="5"/>
  <c r="GG74" i="5" l="1"/>
  <c r="GF82" i="5"/>
  <c r="GG80" i="5" l="1"/>
  <c r="GG76" i="5"/>
  <c r="GG77" i="5" s="1"/>
  <c r="GH74" i="5" l="1"/>
  <c r="GG82" i="5"/>
  <c r="GH80" i="5" l="1"/>
  <c r="GH76" i="5"/>
  <c r="GH77" i="5" s="1"/>
  <c r="GH82" i="5" l="1"/>
  <c r="GI74" i="5"/>
  <c r="GI80" i="5" l="1"/>
  <c r="GI76" i="5"/>
  <c r="GI77" i="5" s="1"/>
  <c r="GI82" i="5" l="1"/>
  <c r="GJ74" i="5"/>
  <c r="GJ80" i="5" l="1"/>
  <c r="GJ76" i="5"/>
  <c r="GJ77" i="5" s="1"/>
  <c r="GJ82" i="5" l="1"/>
  <c r="GK74" i="5"/>
  <c r="GK76" i="5" l="1"/>
  <c r="GK77" i="5" s="1"/>
  <c r="GK80" i="5"/>
  <c r="GK82" i="5" l="1"/>
  <c r="GL74" i="5"/>
  <c r="GL76" i="5" l="1"/>
  <c r="GL77" i="5" s="1"/>
  <c r="GL80" i="5"/>
  <c r="GM74" i="5" l="1"/>
  <c r="GL82" i="5"/>
  <c r="GM80" i="5" l="1"/>
  <c r="GM76" i="5"/>
  <c r="GM77" i="5" s="1"/>
  <c r="GM82" i="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Ninja C</author>
  </authors>
  <commentList>
    <comment ref="G22" authorId="0" shapeId="0" xr:uid="{8DF6A0E7-5E90-6A4F-9372-C138179E2BB2}">
      <text>
        <r>
          <rPr>
            <b/>
            <sz val="10"/>
            <color rgb="FF000000"/>
            <rFont val="Tahoma"/>
            <family val="2"/>
          </rPr>
          <t>Ninja C:</t>
        </r>
        <r>
          <rPr>
            <sz val="10"/>
            <color rgb="FF000000"/>
            <rFont val="Tahoma"/>
            <family val="2"/>
          </rPr>
          <t xml:space="preserve">
</t>
        </r>
        <r>
          <rPr>
            <sz val="10"/>
            <color rgb="FF000000"/>
            <rFont val="Tahoma"/>
            <family val="2"/>
          </rPr>
          <t>Source: Dundas Brochure.pdf, uploaded 2026-09-04 — Financial Report rent roll page (unit sizes in SF).</t>
        </r>
      </text>
    </comment>
    <comment ref="H22" authorId="0" shapeId="0" xr:uid="{44594E47-DBC8-2B4B-A0BD-266B8DCE12BD}">
      <text>
        <r>
          <rPr>
            <b/>
            <sz val="10"/>
            <color rgb="FF000000"/>
            <rFont val="Tahoma"/>
            <family val="2"/>
          </rPr>
          <t>Ninja C:</t>
        </r>
        <r>
          <rPr>
            <sz val="10"/>
            <color rgb="FF000000"/>
            <rFont val="Tahoma"/>
            <family val="2"/>
          </rPr>
          <t xml:space="preserve">
</t>
        </r>
        <r>
          <rPr>
            <sz val="10"/>
            <color rgb="FF000000"/>
            <rFont val="Tahoma"/>
            <family val="2"/>
          </rPr>
          <t>Actual in-place rents hardcoded from Dundas Brochure.pdf (uploaded 2026-09-04), Financial Report rent roll page. Replaces prior estimate of 67% of market rate.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Ninja C</author>
  </authors>
  <commentList>
    <comment ref="B5" authorId="0" shapeId="0" xr:uid="{23BA0CB8-7C4A-2146-8B8A-3B92E5E5F572}">
      <text>
        <r>
          <rPr>
            <b/>
            <sz val="10"/>
            <color rgb="FF000000"/>
            <rFont val="Tahoma"/>
            <family val="2"/>
          </rPr>
          <t>Ninja C:</t>
        </r>
        <r>
          <rPr>
            <sz val="10"/>
            <color rgb="FF000000"/>
            <rFont val="Tahoma"/>
            <family val="2"/>
          </rPr>
          <t xml:space="preserve">
</t>
        </r>
        <r>
          <rPr>
            <sz val="10"/>
            <color rgb="FF000000"/>
            <rFont val="Tahoma"/>
            <family val="2"/>
          </rPr>
          <t>Source: Dundas Brochure.pdf, uploaded 2026-10-26, p. 10 &amp; p. 14 (Financial Report). Uploaded file.</t>
        </r>
      </text>
    </comment>
    <comment ref="C8" authorId="0" shapeId="0" xr:uid="{416B2983-6F9E-0342-80A0-E246631C250E}">
      <text>
        <r>
          <rPr>
            <b/>
            <sz val="10"/>
            <color rgb="FF000000"/>
            <rFont val="Tahoma"/>
            <family val="2"/>
          </rPr>
          <t>Ninja C:</t>
        </r>
        <r>
          <rPr>
            <sz val="10"/>
            <color rgb="FF000000"/>
            <rFont val="Tahoma"/>
            <family val="2"/>
          </rPr>
          <t xml:space="preserve">
The brochure's stated 10,756 sq. ft. exceeds the sum of the 14 listed units (10,651 sq. ft.) by 105 sq. ft. The brochure doesn't explain the gap (its lease footnote references a unit 'C2' that isn't in the rent roll). The model uses the 10,651 sq. ft. unit-level sum as rentable area.</t>
        </r>
      </text>
    </comment>
    <comment ref="B12" authorId="0" shapeId="0" xr:uid="{46E1D767-900E-5D4B-9F32-975BC1D238DE}">
      <text>
        <r>
          <rPr>
            <b/>
            <sz val="10"/>
            <color rgb="FF000000"/>
            <rFont val="Tahoma"/>
            <family val="2"/>
          </rPr>
          <t>Ninja C:</t>
        </r>
        <r>
          <rPr>
            <sz val="10"/>
            <color rgb="FF000000"/>
            <rFont val="Tahoma"/>
            <family val="2"/>
          </rPr>
          <t xml:space="preserve">
</t>
        </r>
        <r>
          <rPr>
            <sz val="10"/>
            <color rgb="FF000000"/>
            <rFont val="Tahoma"/>
            <family val="2"/>
          </rPr>
          <t>Source: Dundas Brochure.pdf, uploaded 2026-10-26, pp. 14–15 (Financial Report: rent roll and 12-month expenses Jan–Dec 2025). Uploaded file. Residential rent links to the Rent Roll tab.</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Ninja C</author>
  </authors>
  <commentList>
    <comment ref="E32" authorId="0" shapeId="0" xr:uid="{85667725-DB92-1A49-AB3B-0025BEF8610A}">
      <text>
        <r>
          <rPr>
            <b/>
            <sz val="10"/>
            <color rgb="FF000000"/>
            <rFont val="Tahoma"/>
            <family val="2"/>
          </rPr>
          <t>Ninja C:</t>
        </r>
        <r>
          <rPr>
            <sz val="10"/>
            <color rgb="FF000000"/>
            <rFont val="Tahoma"/>
            <family val="2"/>
          </rPr>
          <t xml:space="preserve">
</t>
        </r>
        <r>
          <rPr>
            <sz val="10"/>
            <color rgb="FF000000"/>
            <rFont val="Tahoma"/>
            <family val="2"/>
          </rPr>
          <t xml:space="preserve">Rounded to nearest hundred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<sst xmlns="http://schemas.openxmlformats.org/spreadsheetml/2006/main" count="1050" uniqueCount="523">
  <si>
    <t>Purchase Price</t>
  </si>
  <si>
    <t>Purchase Date</t>
  </si>
  <si>
    <t>Closing Costs</t>
  </si>
  <si>
    <t>Initial Renovation Costs</t>
  </si>
  <si>
    <t>Sale Price at Exit</t>
  </si>
  <si>
    <t>Cost of Sale</t>
  </si>
  <si>
    <t>Financing Sources</t>
  </si>
  <si>
    <t>Equity</t>
  </si>
  <si>
    <t>Debt</t>
  </si>
  <si>
    <t>Total Financing</t>
  </si>
  <si>
    <t>Unlevered Return</t>
  </si>
  <si>
    <t>Unlevered NPV</t>
  </si>
  <si>
    <t>Investors</t>
  </si>
  <si>
    <t>% Equity</t>
  </si>
  <si>
    <t>Total Investment</t>
  </si>
  <si>
    <t>IRR</t>
  </si>
  <si>
    <t>NPV</t>
  </si>
  <si>
    <t>Net Multiple</t>
  </si>
  <si>
    <t>Brian</t>
  </si>
  <si>
    <t>Chris</t>
  </si>
  <si>
    <t>Is Investor 1 a Manager?</t>
  </si>
  <si>
    <t>Yes</t>
  </si>
  <si>
    <t>1st-Tier</t>
  </si>
  <si>
    <t>Preferred Return to Investors</t>
  </si>
  <si>
    <t>Equity Required</t>
  </si>
  <si>
    <t>Equity Investors</t>
  </si>
  <si>
    <t>Project Manager</t>
  </si>
  <si>
    <t>then</t>
  </si>
  <si>
    <t>1st split to Investors</t>
  </si>
  <si>
    <t>until</t>
  </si>
  <si>
    <t>1st split to Manager</t>
  </si>
  <si>
    <t>2nd-Tier</t>
  </si>
  <si>
    <t>Cash Mult</t>
  </si>
  <si>
    <t>3rd-Tier</t>
  </si>
  <si>
    <t>Catch-up Manager</t>
  </si>
  <si>
    <t>To Investors</t>
  </si>
  <si>
    <t>4th-Tier</t>
  </si>
  <si>
    <t>Final Split to Investors</t>
  </si>
  <si>
    <t>Final Split to Manager</t>
  </si>
  <si>
    <t>Number of Months</t>
  </si>
  <si>
    <t>Date</t>
  </si>
  <si>
    <t>Available for Lease</t>
  </si>
  <si>
    <t>Annual Interest Rate</t>
  </si>
  <si>
    <t>Monthly</t>
  </si>
  <si>
    <t>Exit Sale</t>
  </si>
  <si>
    <t>Rental Growth Rate</t>
  </si>
  <si>
    <t xml:space="preserve"> </t>
  </si>
  <si>
    <t>Sale Price</t>
  </si>
  <si>
    <t>NOI</t>
  </si>
  <si>
    <t>Effective Gross Income</t>
  </si>
  <si>
    <t>Operating Assumptions</t>
  </si>
  <si>
    <t>Rental Revenue</t>
  </si>
  <si>
    <t>Acquisition Costs</t>
  </si>
  <si>
    <t>Total Acquisition Costs</t>
  </si>
  <si>
    <t>Unlevered Cash Flow</t>
  </si>
  <si>
    <t>Principal Repayment</t>
  </si>
  <si>
    <t>Exit</t>
  </si>
  <si>
    <t>Unlevered Cash Flows</t>
  </si>
  <si>
    <t>Levered Cash Flows</t>
  </si>
  <si>
    <t>Hold Period (years)</t>
  </si>
  <si>
    <t>Year</t>
  </si>
  <si>
    <t>Purchase</t>
  </si>
  <si>
    <t>Vacancy Allowance</t>
  </si>
  <si>
    <t>Property Management Fee</t>
  </si>
  <si>
    <t>Property Tax</t>
  </si>
  <si>
    <t>Insurance</t>
  </si>
  <si>
    <t>Total Operating Expense</t>
  </si>
  <si>
    <t>Total Debt Service</t>
  </si>
  <si>
    <t>Loan Balance</t>
  </si>
  <si>
    <t>Levered Cash Flow</t>
  </si>
  <si>
    <t>Exit Cap Rate</t>
  </si>
  <si>
    <t>Debt Service Coverage</t>
  </si>
  <si>
    <t>Waterfall Structure</t>
  </si>
  <si>
    <t>Total</t>
  </si>
  <si>
    <t>Discount Rate</t>
  </si>
  <si>
    <t>Interest-only or Amort. Loan</t>
  </si>
  <si>
    <t>Amortized</t>
  </si>
  <si>
    <t># Units</t>
  </si>
  <si>
    <t>Sq. Footage</t>
  </si>
  <si>
    <t>Total Purchase Price</t>
  </si>
  <si>
    <t>Operating Expenses</t>
  </si>
  <si>
    <t>Sensitivity Analysis</t>
  </si>
  <si>
    <t>Final Column</t>
  </si>
  <si>
    <t>Debt Service Coverage Ratio</t>
  </si>
  <si>
    <t>Annual Appreciation Rate</t>
  </si>
  <si>
    <t>-</t>
  </si>
  <si>
    <t>Year Built</t>
  </si>
  <si>
    <t>Age</t>
  </si>
  <si>
    <t>Listed Price</t>
  </si>
  <si>
    <t>Current NOI</t>
  </si>
  <si>
    <t>Implied Cap Rate</t>
  </si>
  <si>
    <t>Floorplan</t>
  </si>
  <si>
    <t>Unit #</t>
  </si>
  <si>
    <t>Rent Roll</t>
  </si>
  <si>
    <t>Tenant Name</t>
  </si>
  <si>
    <t>Rent Start</t>
  </si>
  <si>
    <t>Rent Expire</t>
  </si>
  <si>
    <t>Unit Type</t>
  </si>
  <si>
    <t>Annual Base Rent</t>
  </si>
  <si>
    <t>Annual Rent PSF</t>
  </si>
  <si>
    <t>Units Breakdown</t>
  </si>
  <si>
    <t>Revenue</t>
  </si>
  <si>
    <t>Notes</t>
  </si>
  <si>
    <t>Rental Upside</t>
  </si>
  <si>
    <t>Revenue Assumptions</t>
  </si>
  <si>
    <t>Operating Expenses Assumptions</t>
  </si>
  <si>
    <t>Repair &amp; Maintenance Allowance</t>
  </si>
  <si>
    <t>Total Equity Invested</t>
  </si>
  <si>
    <t>Opening Balance</t>
  </si>
  <si>
    <t>Closing Balance</t>
  </si>
  <si>
    <t>Rental Revenue Growth Rate</t>
  </si>
  <si>
    <t>Inflation Rate</t>
  </si>
  <si>
    <t>Potential Gross Revenue</t>
  </si>
  <si>
    <t>Aaron (Manager)</t>
  </si>
  <si>
    <t>Estimates</t>
  </si>
  <si>
    <t>Capital Structure</t>
  </si>
  <si>
    <t>100</t>
  </si>
  <si>
    <t>101</t>
  </si>
  <si>
    <t>102</t>
  </si>
  <si>
    <t>103</t>
  </si>
  <si>
    <t>2472</t>
  </si>
  <si>
    <t>2474</t>
  </si>
  <si>
    <t>200</t>
  </si>
  <si>
    <t>201</t>
  </si>
  <si>
    <t>202</t>
  </si>
  <si>
    <t>203</t>
  </si>
  <si>
    <t>204</t>
  </si>
  <si>
    <t>205</t>
  </si>
  <si>
    <t>C1</t>
  </si>
  <si>
    <t>C3</t>
  </si>
  <si>
    <t>Studio — Small</t>
  </si>
  <si>
    <t>Studio — Mid</t>
  </si>
  <si>
    <t>Studio — Large</t>
  </si>
  <si>
    <t>Avg. Sq. Ft</t>
  </si>
  <si>
    <t xml:space="preserve">Reduced cap rate due to significant renovations and surrounding area improvement, but still relatively high due to age and zoning issues. </t>
  </si>
  <si>
    <t>Market Rate</t>
  </si>
  <si>
    <t>Market Rents Applied --&gt;</t>
  </si>
  <si>
    <t>2480 Dundas St W</t>
  </si>
  <si>
    <t>Source</t>
  </si>
  <si>
    <t>Sale Brochure</t>
  </si>
  <si>
    <t>Name</t>
  </si>
  <si>
    <t>Units</t>
  </si>
  <si>
    <t>Property Name</t>
  </si>
  <si>
    <t>Property Type</t>
  </si>
  <si>
    <t>Multifamily</t>
  </si>
  <si>
    <t>Location</t>
  </si>
  <si>
    <t>Toronto</t>
  </si>
  <si>
    <t>Total Site Area</t>
  </si>
  <si>
    <t>Rentable Units</t>
  </si>
  <si>
    <t>Building Overview</t>
  </si>
  <si>
    <t>$</t>
  </si>
  <si>
    <t># Years</t>
  </si>
  <si>
    <t>Current Average Rent per sq. ft</t>
  </si>
  <si>
    <t>Assessed Value for Tax Purposes</t>
  </si>
  <si>
    <t>Assessed Value as % of Purchase Price</t>
  </si>
  <si>
    <t>%</t>
  </si>
  <si>
    <t>Closing Costs % of Purchase Price</t>
  </si>
  <si>
    <t>Price per Unit</t>
  </si>
  <si>
    <t>$ / Unit</t>
  </si>
  <si>
    <t>Renovation Assumptions</t>
  </si>
  <si>
    <t>$ / sq. ft.</t>
  </si>
  <si>
    <t>Purchase Price per Rentable sq. ft.</t>
  </si>
  <si>
    <t>sq. ft.</t>
  </si>
  <si>
    <t>Rentable sq. ft.</t>
  </si>
  <si>
    <t>Item</t>
  </si>
  <si>
    <t>Renovation Period</t>
  </si>
  <si>
    <t>Purchase &amp; Exit Assumptions</t>
  </si>
  <si>
    <t>Length of Hold</t>
  </si>
  <si>
    <t>Implied Purchasing Cap Rate</t>
  </si>
  <si>
    <t>Cost of Sale as % of Sale Price</t>
  </si>
  <si>
    <t>Renovation Start Date</t>
  </si>
  <si>
    <t>Renovation Start Month</t>
  </si>
  <si>
    <t># Months</t>
  </si>
  <si>
    <t>Month #</t>
  </si>
  <si>
    <t>Renovation End Date</t>
  </si>
  <si>
    <t>Renovation End Month</t>
  </si>
  <si>
    <t>Resume Rental Date</t>
  </si>
  <si>
    <t>Resume Rental Month</t>
  </si>
  <si>
    <t>Renovation Costs per sq. ft</t>
  </si>
  <si>
    <t>Renovation Costs</t>
  </si>
  <si>
    <t>% / year</t>
  </si>
  <si>
    <t>Reflects inflation rate from BoC + Operating premium. Rents will reach market rate after renovation ends (new rental terms)</t>
  </si>
  <si>
    <t>($ are stated in CAD)</t>
  </si>
  <si>
    <t>% of EGI</t>
  </si>
  <si>
    <t>% of Potential Rent Revenue</t>
  </si>
  <si>
    <t>Days</t>
  </si>
  <si>
    <t>BoC</t>
  </si>
  <si>
    <t>Vacant Days per year per unit</t>
  </si>
  <si>
    <t>$ / Rentable sq. ft.</t>
  </si>
  <si>
    <t>$ / Year</t>
  </si>
  <si>
    <t>$ / Unit / Year</t>
  </si>
  <si>
    <t>Total Repair &amp; Maintenance Allowance</t>
  </si>
  <si>
    <t>% of Assessed Value</t>
  </si>
  <si>
    <t>Property Tax Growth Rate</t>
  </si>
  <si>
    <t>Common Area Utilities</t>
  </si>
  <si>
    <t>Total Common Area Utilities</t>
  </si>
  <si>
    <t>$ / Total Site Area</t>
  </si>
  <si>
    <t>Total Insurance</t>
  </si>
  <si>
    <t>Repairs &amp; Maintenance</t>
  </si>
  <si>
    <t xml:space="preserve">Rounded from the Sale Brochure. Assumed current insurance expenses. </t>
  </si>
  <si>
    <t>Property Tax Rate</t>
  </si>
  <si>
    <t>Taken from City of Toronto Property Tax Rates as of Sept. 2026</t>
  </si>
  <si>
    <t xml:space="preserve">Gov Bond Yields of 4% + premium from other potential opportunities + Higher risk perceived from higher cap rates. </t>
  </si>
  <si>
    <t>Amortization Years</t>
  </si>
  <si>
    <t>Loan Type</t>
  </si>
  <si>
    <t>Bridge Loan</t>
  </si>
  <si>
    <t>Interest-only</t>
  </si>
  <si>
    <t>Loan Principal</t>
  </si>
  <si>
    <t>Loan Term</t>
  </si>
  <si>
    <t>Monthly Interest Rate</t>
  </si>
  <si>
    <t>Loan Issuance Fee</t>
  </si>
  <si>
    <t>Equity Contribution</t>
  </si>
  <si>
    <t>Acquisition and Renovation Financing</t>
  </si>
  <si>
    <t>Refinancing after Stabilization</t>
  </si>
  <si>
    <t>Debt - Bridge Loan</t>
  </si>
  <si>
    <t>Sources &amp; Uses of Funds</t>
  </si>
  <si>
    <t>Sources of Funds</t>
  </si>
  <si>
    <t>Uses of Funds</t>
  </si>
  <si>
    <t>Acquisition &amp; Closing Costs</t>
  </si>
  <si>
    <t>Time Period (Month #)</t>
  </si>
  <si>
    <t>Current Monthly Base Rent</t>
  </si>
  <si>
    <t>Market Base Rent</t>
  </si>
  <si>
    <t>Current Rental Rates</t>
  </si>
  <si>
    <t>Roof Sign Rental Rate</t>
  </si>
  <si>
    <t>$ / Month</t>
  </si>
  <si>
    <t>Market Rental Rates</t>
  </si>
  <si>
    <t>Annual Rental Revenue</t>
  </si>
  <si>
    <t>Rent per sq. ft.</t>
  </si>
  <si>
    <t>Monthly Cash Flows</t>
  </si>
  <si>
    <t>Operating Expenses Growth Rate</t>
  </si>
  <si>
    <t>Property Taxes Growth Rate</t>
  </si>
  <si>
    <t xml:space="preserve">Estimated to be the same as stated in Sale Brochure. Rounded up. Tenants are responsible for their in-unit utilities. Utilities during renovation periods are estimated to be higher, because no tenants to reimburse payments. </t>
  </si>
  <si>
    <t>Utilities Increase in Renovation Period</t>
  </si>
  <si>
    <t>Total Uses of Funds</t>
  </si>
  <si>
    <t>Total Sources of Funds</t>
  </si>
  <si>
    <t>%LTC</t>
  </si>
  <si>
    <t>Adjusted NOI</t>
  </si>
  <si>
    <t>Forward Final Year NOI</t>
  </si>
  <si>
    <t>Vacancy Allowance (stabilized)</t>
  </si>
  <si>
    <t>Vacancy Allowance (unstabilized)</t>
  </si>
  <si>
    <t>Unstabilized Months</t>
  </si>
  <si>
    <t>Vacancy Reduction per month</t>
  </si>
  <si>
    <t>% points</t>
  </si>
  <si>
    <t>Debt &amp; Equity Schedule</t>
  </si>
  <si>
    <t>Interest Reserve Coverage</t>
  </si>
  <si>
    <t>Loan-to-Cost Ratio</t>
  </si>
  <si>
    <t>Refinance Month</t>
  </si>
  <si>
    <t>Refinance LTV</t>
  </si>
  <si>
    <t>Refinance Cap Rate</t>
  </si>
  <si>
    <t>Forward 12-Month NOI at Refi</t>
  </si>
  <si>
    <t>Stabilized Value at Refi</t>
  </si>
  <si>
    <t>Refinance Fee</t>
  </si>
  <si>
    <t>% of Loan</t>
  </si>
  <si>
    <t>Monthly Debt Service</t>
  </si>
  <si>
    <t>Bridge Loan Fee</t>
  </si>
  <si>
    <t>Check: Sources - Uses</t>
  </si>
  <si>
    <t>Repayment at Refinance</t>
  </si>
  <si>
    <t>Interest Expense</t>
  </si>
  <si>
    <t>Permanent Loan</t>
  </si>
  <si>
    <t>Repayment at Exit</t>
  </si>
  <si>
    <t>x</t>
  </si>
  <si>
    <t>Bridge Loan Type</t>
  </si>
  <si>
    <t xml:space="preserve">Assumed to always be Interest-Only. Bridge Loans are rarely ever amortized. </t>
  </si>
  <si>
    <t xml:space="preserve">Reserves for Uses of Funds to cover any shortfalls in interest payments over the bridge loan term. </t>
  </si>
  <si>
    <t>Permanent Loan Type</t>
  </si>
  <si>
    <t>Bridge Loan Term</t>
  </si>
  <si>
    <t>Est. Monthly Bridge Interest (Reserve Sizing)</t>
  </si>
  <si>
    <t>Operating Reserve (Bridge Shortfalls)</t>
  </si>
  <si>
    <t>Units Completed per Month</t>
  </si>
  <si>
    <t>Vacancy Loss due to Renovations</t>
  </si>
  <si>
    <t>Equity &amp; Debt Draws</t>
  </si>
  <si>
    <t>Equity &amp; Debt Balances</t>
  </si>
  <si>
    <t>(-) Purchase Price</t>
  </si>
  <si>
    <t>(-) Closing Costs</t>
  </si>
  <si>
    <t>(-) Less Vacancy Allowance</t>
  </si>
  <si>
    <t>(-) Renovation Vacancy</t>
  </si>
  <si>
    <t>(-) Less Management Fee</t>
  </si>
  <si>
    <t>(-) Building Utilities</t>
  </si>
  <si>
    <t>(-) Repairs Allowance</t>
  </si>
  <si>
    <t>(-) Insurance</t>
  </si>
  <si>
    <t>(-) Property Taxes</t>
  </si>
  <si>
    <t>(-) CAPEX (Renovations)</t>
  </si>
  <si>
    <t>(-) Interest Payments</t>
  </si>
  <si>
    <t>(-) Principal Payments</t>
  </si>
  <si>
    <t>(+) Rental Revenue</t>
  </si>
  <si>
    <t>(+) Roof Sign Revenue</t>
  </si>
  <si>
    <t>(+) Sale Price</t>
  </si>
  <si>
    <t>(+) Equity Balance</t>
  </si>
  <si>
    <t>Total Equity &amp; Debt Balances</t>
  </si>
  <si>
    <t>(+) Equity Draws</t>
  </si>
  <si>
    <t>(+) Debt Draws</t>
  </si>
  <si>
    <t>Total Draws</t>
  </si>
  <si>
    <t>(+) Additional Equity (Capital Call)</t>
  </si>
  <si>
    <t>(-) Loan Origination Fees</t>
  </si>
  <si>
    <t>(+) Permanent Loan Proceeds</t>
  </si>
  <si>
    <t>(-) Bridge Loan Repayment at Refinance</t>
  </si>
  <si>
    <t>(-) Permanent Loan Repayment at Exit</t>
  </si>
  <si>
    <t>Funding Need / (Surplus) before Draws</t>
  </si>
  <si>
    <t>(+) Bridge Loan Draws</t>
  </si>
  <si>
    <t>(-) Cost of Sales</t>
  </si>
  <si>
    <t>Net Sale Proceeds</t>
  </si>
  <si>
    <t>Interest Coverage Ratio</t>
  </si>
  <si>
    <t>Equity Multiple</t>
  </si>
  <si>
    <t>Memo: Renovation Contingency (Undrawn Bridge)</t>
  </si>
  <si>
    <t>Contingency as % of Renovation Budget</t>
  </si>
  <si>
    <t>Rent Premium from Renovations</t>
  </si>
  <si>
    <t>(+) Undrawn Debt</t>
  </si>
  <si>
    <t>Hold Period Flag (1 = within hold)</t>
  </si>
  <si>
    <t>Revenue Growth Rate</t>
  </si>
  <si>
    <t>(+/-) Refinance, Exit Loan Repayment &amp; Fees</t>
  </si>
  <si>
    <t>Check: Levered CF vs Monthly P&amp;L (should be 0)</t>
  </si>
  <si>
    <t>NOI Yield on Total Project Cost</t>
  </si>
  <si>
    <t>Levered Cash Yield on Equity</t>
  </si>
  <si>
    <t>Equity Waterfall</t>
  </si>
  <si>
    <t>Cash Flow Available to Equity Investors</t>
  </si>
  <si>
    <t>(-) Vacancy Allowance</t>
  </si>
  <si>
    <t>(-) Property Management Fee</t>
  </si>
  <si>
    <t>(-) Utilities</t>
  </si>
  <si>
    <t>(-) Property Tax</t>
  </si>
  <si>
    <t>(+) Exit Sale Price</t>
  </si>
  <si>
    <t>(-) Exit Sale Costs</t>
  </si>
  <si>
    <t>(+) Investor Injections</t>
  </si>
  <si>
    <t>(+) Beginning Balance</t>
  </si>
  <si>
    <t>(-) Tier-1 Distributions</t>
  </si>
  <si>
    <t>Ending Balance</t>
  </si>
  <si>
    <t>Cash Available after Tier-1</t>
  </si>
  <si>
    <t>(+) Investor Accruals</t>
  </si>
  <si>
    <t>(-) Tier-2 Distributions</t>
  </si>
  <si>
    <t>Ending Balance (IRR Hurdle)</t>
  </si>
  <si>
    <t>Equity Multiple Hurdle Shortfall</t>
  </si>
  <si>
    <t>Tier-2 Requirement to Investors</t>
  </si>
  <si>
    <t>Tier-2 Distributions to Investors</t>
  </si>
  <si>
    <t>Tier-2 Distributions to Manager</t>
  </si>
  <si>
    <t>Cash Available after Tier-2</t>
  </si>
  <si>
    <t>Investor Profit before Tier-3</t>
  </si>
  <si>
    <t>Manager Promote before Tier-3</t>
  </si>
  <si>
    <t>Target Manager / Investor Profit</t>
  </si>
  <si>
    <t>Tier-3 Cash Required</t>
  </si>
  <si>
    <t>Tier-3 Cash Distributed</t>
  </si>
  <si>
    <t>Tier-3 Distributions to Investors</t>
  </si>
  <si>
    <t>Tier-3 Distributions to Manager</t>
  </si>
  <si>
    <t>Cash Available after Tier-3</t>
  </si>
  <si>
    <t>Tier-4 Distributions to Investors</t>
  </si>
  <si>
    <t>Tier-4 Distributions to Manager</t>
  </si>
  <si>
    <t>Distribution Summary</t>
  </si>
  <si>
    <t>(+) Tier-1 to Investors</t>
  </si>
  <si>
    <t>(+) Tier-2 to Investors</t>
  </si>
  <si>
    <t>(+) Tier-3 to Investors</t>
  </si>
  <si>
    <t>(+) Tier-4 to Investors</t>
  </si>
  <si>
    <t>Total Distributions to Investors</t>
  </si>
  <si>
    <t>(+) Tier-1 to Manager</t>
  </si>
  <si>
    <t>(+) Tier-2 to Manager</t>
  </si>
  <si>
    <t>(+) Tier-3 to Manager</t>
  </si>
  <si>
    <t>(+) Tier-4 to Manager</t>
  </si>
  <si>
    <t>Total Manager Promote</t>
  </si>
  <si>
    <t>Check: Distributions - Available Cash (should be 0)</t>
  </si>
  <si>
    <t>Cash Flows by Partner</t>
  </si>
  <si>
    <t>Total Cash Flow to Equity</t>
  </si>
  <si>
    <t>Check: vs Cash Flow Available (should be 0)</t>
  </si>
  <si>
    <t>or</t>
  </si>
  <si>
    <t>Loan-to-Cost</t>
  </si>
  <si>
    <t>Permanent Loan (Refinance)</t>
  </si>
  <si>
    <t>Annual Cash Flows</t>
  </si>
  <si>
    <t>Debt Yield Ratio</t>
  </si>
  <si>
    <t>NOI Margin</t>
  </si>
  <si>
    <t>Net Proceeds From Sale</t>
  </si>
  <si>
    <t>Cash Flows &amp; Performance</t>
  </si>
  <si>
    <t>Key Deal Terms &amp; Assumptions</t>
  </si>
  <si>
    <t>All values link to the Assumptions &amp; Inputs tab (green = cross-sheet link). Change inputs there, not here.</t>
  </si>
  <si>
    <t>Property Overview</t>
  </si>
  <si>
    <t>Pricing &amp; Valuation</t>
  </si>
  <si>
    <t>Age at Purchase</t>
  </si>
  <si>
    <t>Rentable Area</t>
  </si>
  <si>
    <t>Price per Rentable sq. ft.</t>
  </si>
  <si>
    <t>Going-in Cap Rate</t>
  </si>
  <si>
    <t>Renovation Plan</t>
  </si>
  <si>
    <t>Exit Assumptions</t>
  </si>
  <si>
    <t>Renovation Cost per sq. ft.</t>
  </si>
  <si>
    <t>Total Renovation Budget</t>
  </si>
  <si>
    <t>Post-Reno WA Market Rent</t>
  </si>
  <si>
    <t>% of Sale Price</t>
  </si>
  <si>
    <t>Implied Annual Appreciation</t>
  </si>
  <si>
    <t>Bridge Loan (Acquisition &amp; Renovation)</t>
  </si>
  <si>
    <t>Inflation Rate (OpEx)</t>
  </si>
  <si>
    <t>Vacancy Allowance (Stabilized)</t>
  </si>
  <si>
    <t>% of PGR</t>
  </si>
  <si>
    <t>Repair &amp; Maintenance</t>
  </si>
  <si>
    <t>% of Assessed</t>
  </si>
  <si>
    <t>Type</t>
  </si>
  <si>
    <t>Issuance Fee</t>
  </si>
  <si>
    <t>Equity % of Total Cost</t>
  </si>
  <si>
    <t>Total Project Cost</t>
  </si>
  <si>
    <t>Amortization</t>
  </si>
  <si>
    <t>Unlevered Return Multiple</t>
  </si>
  <si>
    <t>Increments (bps)</t>
  </si>
  <si>
    <t>Increments (%)</t>
  </si>
  <si>
    <t>Current Levered IRR --&gt;</t>
  </si>
  <si>
    <t>Increments ($)</t>
  </si>
  <si>
    <t>Rent Premium</t>
  </si>
  <si>
    <t>Bridge Loan Interest Rate</t>
  </si>
  <si>
    <t>Cap Rate at Refinance</t>
  </si>
  <si>
    <t>Sensitivity Analysis – Levered IRR</t>
  </si>
  <si>
    <t>Base Levered IRR</t>
  </si>
  <si>
    <t>Mirrors the Data Tables on Assumptions &amp; Inputs (rows 104–153). Press F9 if tables don't refresh.</t>
  </si>
  <si>
    <t>Sale Price Analysis</t>
  </si>
  <si>
    <t>2480 Dundas St W – Brochure Financial Report</t>
  </si>
  <si>
    <t>($ are stated in CAD) | Per-sq.-ft. figures use rentable area from the Rent Roll</t>
  </si>
  <si>
    <t>Area Basis</t>
  </si>
  <si>
    <t>Rentable Area (sum of 14 units, Rent Roll)</t>
  </si>
  <si>
    <t>Brochure Stated Leasable Area</t>
  </si>
  <si>
    <t>Common Area</t>
  </si>
  <si>
    <t>Total Building Area</t>
  </si>
  <si>
    <t>Income &amp; Expense Statement</t>
  </si>
  <si>
    <t>Annual</t>
  </si>
  <si>
    <t>% of PGI</t>
  </si>
  <si>
    <t>Residential Rent (14 units)</t>
  </si>
  <si>
    <t>Roof Sign Income</t>
  </si>
  <si>
    <t>Potential Gross Income (PGI)</t>
  </si>
  <si>
    <t>(-) Vacancy Allowance (2.0%)</t>
  </si>
  <si>
    <t>Effective Gross Income (EGI)</t>
  </si>
  <si>
    <t>Operating Expenses (Jan–Dec 2025)</t>
  </si>
  <si>
    <t>City of Toronto Property Taxes (2025)</t>
  </si>
  <si>
    <t>Enbridge Gas</t>
  </si>
  <si>
    <t>Electricity</t>
  </si>
  <si>
    <t>Fire Alarm</t>
  </si>
  <si>
    <t>Water / Sewage / Garbage</t>
  </si>
  <si>
    <t>Internet / Security</t>
  </si>
  <si>
    <t>Superintendent</t>
  </si>
  <si>
    <t>Management (3.5%)</t>
  </si>
  <si>
    <t>Maintenance</t>
  </si>
  <si>
    <t>Property Insurance</t>
  </si>
  <si>
    <t>Total Operating Expenses</t>
  </si>
  <si>
    <t>Net Operating Income (NOI)</t>
  </si>
  <si>
    <t>Brochure Stated NOI</t>
  </si>
  <si>
    <t>Property Tax – Implied Assessed Value</t>
  </si>
  <si>
    <t>Value</t>
  </si>
  <si>
    <t>2025 Property Taxes (Brochure)</t>
  </si>
  <si>
    <t>Property Tax Rate (City of Toronto)</t>
  </si>
  <si>
    <t>% of AV</t>
  </si>
  <si>
    <t>Implied Assessed Value</t>
  </si>
  <si>
    <t>Asking Price</t>
  </si>
  <si>
    <t>Implied Assessed Value as % of Asking Price</t>
  </si>
  <si>
    <t>Model Assumption: Assessed Value as % of Price</t>
  </si>
  <si>
    <t>Model-Implied Annual Property Tax</t>
  </si>
  <si>
    <t>Tax Increase vs. 2025 Bill</t>
  </si>
  <si>
    <t>Difference (rounding)</t>
  </si>
  <si>
    <t xml:space="preserve">Tax Correction </t>
  </si>
  <si>
    <t>Corrected NOI</t>
  </si>
  <si>
    <t>Levered IRR</t>
  </si>
  <si>
    <t>Levered Equity Multiple</t>
  </si>
  <si>
    <t>Levered NPV</t>
  </si>
  <si>
    <t>Corrected Listing Price</t>
  </si>
  <si>
    <t>Original Listing Price</t>
  </si>
  <si>
    <t>NOI Correction</t>
  </si>
  <si>
    <t>Sale Price Correction</t>
  </si>
  <si>
    <t>Difference in Original and Corrected</t>
  </si>
  <si>
    <t>Premium</t>
  </si>
  <si>
    <t>Stabilized Month</t>
  </si>
  <si>
    <t>market comparables</t>
  </si>
  <si>
    <t>Sources</t>
  </si>
  <si>
    <t>Scenario Snapshot – Purchase at Corrected Price</t>
  </si>
  <si>
    <t>Static values (not linked): model outputs with Purchase Price set to the Corrected Listing Price of $5,384,128 (J86). Re-run the model at that price to refresh.</t>
  </si>
  <si>
    <t>Variance vs. Rent Roll (unreconciled – not used)</t>
  </si>
  <si>
    <t xml:space="preserve">Current tax expenses are based on an outdated assessed value of the building. Assumed the new assessed value of the property will be approximately 75% of the purchase price. </t>
  </si>
  <si>
    <t xml:space="preserve">Assumed renovation is carried out as rents expire and current tenants move out. Makes sense for this property because most of the rent agreements are Month-to-Month. </t>
  </si>
  <si>
    <t xml:space="preserve">15 days vacant per year per unit. Location in hot market, expected turnover and lease up times are expected to be low. However, current rents are Month-to-Month, so vacancy assumption is a little higher to compensate for historical rental structure. Stays the same during renovation period because it is already accounted for with Renovation Vacancy Assumption. The rest of the building is assumed to be operating stably. </t>
  </si>
  <si>
    <t xml:space="preserve">Property is 108 years old. Regular repairs and maintenance are expected. </t>
  </si>
  <si>
    <t xml:space="preserve">Assumed it would take 18 months for the property to fully stabilize and be ready to take on a permanent loan. </t>
  </si>
  <si>
    <t xml:space="preserve">Assumed to always be Amortized. These loans are almost always amortized. </t>
  </si>
  <si>
    <t xml:space="preserve">New WA Market Rent per sq. ft. </t>
  </si>
  <si>
    <t>Rooftop Sign Revenue Growth Rate</t>
  </si>
  <si>
    <t xml:space="preserve">Weighted Average Rent per sq. ft. </t>
  </si>
  <si>
    <t>Applied to Operating Expenses and Roof Sign revenues</t>
  </si>
  <si>
    <t>Levered Return</t>
  </si>
  <si>
    <t>Levered Return Multiple</t>
  </si>
  <si>
    <t>Building is over 100 years old and will require renovations.</t>
  </si>
  <si>
    <t>Colliers</t>
  </si>
  <si>
    <t>MTM</t>
  </si>
  <si>
    <t>2480 Dundas St W.v4 (10-year hold)</t>
  </si>
  <si>
    <t>File Name</t>
  </si>
  <si>
    <t>Analysis Date</t>
  </si>
  <si>
    <t>Author</t>
  </si>
  <si>
    <t>Punnakorn (Ninja) Chaiphanichapun</t>
  </si>
  <si>
    <t>Description:</t>
  </si>
  <si>
    <t xml:space="preserve">Independent analysis of public online commerical real estate listing. Done to self-teach real estate model, practice Excel and financial modelling. </t>
  </si>
  <si>
    <t>Summary</t>
  </si>
  <si>
    <t>Model</t>
  </si>
  <si>
    <t>Data</t>
  </si>
  <si>
    <t>#</t>
  </si>
  <si>
    <t>Sheet Name</t>
  </si>
  <si>
    <t>Link to Sheet</t>
  </si>
  <si>
    <t>Deal Summary</t>
  </si>
  <si>
    <t>Brochure Financials</t>
  </si>
  <si>
    <t>Monthly P&amp;L</t>
  </si>
  <si>
    <t>Annual P&amp;L</t>
  </si>
  <si>
    <t>Assumptions &amp; Inputs</t>
  </si>
  <si>
    <t>Deal Summary, Key Considerations, and Conclusion</t>
  </si>
  <si>
    <t>Rent Roll, Unit Breakdown</t>
  </si>
  <si>
    <t>Property Historical Financials</t>
  </si>
  <si>
    <t>Equity Waterfall, Investor Assumptions</t>
  </si>
  <si>
    <t>Assumptions &amp; Inputs, Sensitivity Analysis</t>
  </si>
  <si>
    <t>Key Considerations</t>
  </si>
  <si>
    <t>Zoning</t>
  </si>
  <si>
    <t>2480 Dundas St W is classified as Industrial Commercial (IC), yet it is currently operated as a multi-residential live/work property. While this flexible use has merit, it creates potential issues for future redevelopment and could complicate the property's valuation. There is a risk that zoning restrictions may impose complications during any future sale or redevelopment. For this model, it is assumed all units will remain residential.</t>
  </si>
  <si>
    <t>High Purchase Cap Rate</t>
  </si>
  <si>
    <t xml:space="preserve">The purchase cap rate is slightly over 6%, significantly higher than the recommended 4.0% to 4.75% range for Toronto Class A and Class B multifamily properties. This elevated cap rate signals substantial risks the buyer assumes at purchase. </t>
  </si>
  <si>
    <t>As a standalone multifamily investment, the property carries risk due to its age and the need for ongoing major capital expenditures despite recent renovations. Additionally, the zoning complexity presents a future obstacle if redevelopment becomes necessary. Compounding these concerns, most rents are on month-to-month (MTM) leases, creating vacancy and rental rate volatility.</t>
  </si>
  <si>
    <t>However, when viewed as an industrial property aligned with its actual zoning, the 6% cap rate aligns perfectly with industrial property cap rates from the Q2 2026 Colliers Toronto Cap Rate Report. This interpretation reconciles the pricing with the building's Industrial Commercial classification.</t>
  </si>
  <si>
    <t>The exit cap rate assumes multifamily property logic, reduced to reflect the substantial renovations, but with an additional premium applied for zoning risk.</t>
  </si>
  <si>
    <t xml:space="preserve">Current in-place rents are above market rates. Because these rents are on MTM leases, fast tenant turnover is expected, and rents will decline to market rates quickly. However, due value-add renovations, the model believes a premium should be applied to the market prices for units. In-depth market research should conducted to ensure up to date market rates for units similar to those in this property. </t>
  </si>
  <si>
    <t>Revenue Adjustment</t>
  </si>
  <si>
    <t>DSCR Concerns</t>
  </si>
  <si>
    <t xml:space="preserve">Due to the nature of the financing structure, the Debt-Service-Coverage is expected to be a non-issue. The first Bridge Loan will not require a minimum DSCR because the project is yet to be stabilized. Later in Year 2, or Month 18 of the project, when the property is stabilized the Bridge Loan is refinanced to a Permanent Loan. Upon that time, the DSCR is above the minimum of 1.25x for all years required by lenders. </t>
  </si>
  <si>
    <t>The lowest DSCR is expected is 1.28x in the first year of operations, which is a slim cushion.</t>
  </si>
  <si>
    <t>Tax Payments</t>
  </si>
  <si>
    <t>Property taxes are modeled as monthly accruals rather than annual lump-sum payments. While taxes are paid annually in practice, this approach smooths monthly cash flows and minimizes reserve draws during high-tax months. The total tax burden remains unchanged; this is a cash management approach that enhances model clarity.</t>
  </si>
  <si>
    <t>The tax estimate was recalculated from the sale brochure information. The seller's claimed tax payment of approximately $17,350 appears suspiciously low for a property with an asking price near $6 million.</t>
  </si>
  <si>
    <t>Conclusion &amp; Decision: Poor Investment Opportunity</t>
  </si>
  <si>
    <t>The brochure's disclosed taxes of about $17,000 look understated. They imply an assessed value of only $1.43M, about 24% of the asking price. A reassessment at purchase would raise taxes by about $37,000 a year and cut NOI from the stated $368,000 to about $331,000. At the quoted 6.15% cap rate, that NOI supports a value of about $5.38M, so the $5.99M asking price carries an 11% (~$601,000) premium.</t>
  </si>
  <si>
    <t>The rent base adds risk. Nearly all leases are month-to-month, which makes renovation turnover easy but means the income is unstable over the long term. The value-add plan works only if renovated units can be re-leased on longer terms at a premium to market rents. Without renovations the outlook is worse: in-place rents are above market and falling, so turnover would push income down to market levels. The building's age (over 100 years) also means significant ongoing capital spending.</t>
  </si>
  <si>
    <t>At the asking price, the deal returns a levered IRR of 8.7%, below the 10% discount rate, and a levered NPV of –$254,000. At the corrected price of $5.38M, IRR rises about 4 points to 12.8% and NPV improves by about $705,000, to +$463,000. Understated taxes, unstable above-market rents and a century-old building make this a poor investment at the current asking price.</t>
  </si>
  <si>
    <t xml:space="preserve">This deal would be a more attractive opportunity with a lower acquisition price. </t>
  </si>
  <si>
    <t>The brochure's 2025 property tax of $17,356, at the City of Toronto's 1.21% multi-residential rate, implies an assessed value of just $1.43M, or 24% of the $5.99M asking price. If the City reassesses at purchase, taxes rise by about $37K a year. That cuts NOI from $368K to $331K.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</si>
</sst>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41" formatCode="_(* #,##0_);_(* \(#,##0\);_(* &quot;-&quot;_);_(@_)"/>
    <numFmt numFmtId="43" formatCode="_(* #,##0.00_);_(* \(#,##0.00\);_(* &quot;-&quot;??_);_(@_)"/>
    <numFmt numFmtId="164" formatCode="m/d/yy;@"/>
    <numFmt numFmtId="165" formatCode="_(* #,##0_);_(* \(#,##0\);_(* &quot;-&quot;??_);_(@_)"/>
    <numFmt numFmtId="166" formatCode="#,##0;\(#,##0\);\-;@"/>
    <numFmt numFmtId="167" formatCode="0.0%;\(0.0%\);\-;@"/>
    <numFmt numFmtId="168" formatCode="0.00%;\(0.00%\);\-;@"/>
    <numFmt numFmtId="169" formatCode="0.00\x"/>
    <numFmt numFmtId="170" formatCode="0.0%"/>
    <numFmt numFmtId="171" formatCode="_([$$-409]* #,##0_);_([$$-409]* \(#,##0\);_([$$-409]* &quot;-&quot;??_);_(@_)"/>
    <numFmt numFmtId="172" formatCode="_([$$-409]* #,##0.00_);_([$$-409]* \(#,##0.00\);_([$$-409]* &quot;-&quot;??_);_(@_)"/>
    <numFmt numFmtId="173" formatCode="0,000&quot; sq. ft&quot;"/>
    <numFmt numFmtId="174" formatCode="0.00&quot;x&quot;;\(0.00&quot;x&quot;\);&quot;-&quot;"/>
    <numFmt numFmtId="175" formatCode="#,##0;\(#,##0\);&quot;-&quot;"/>
    <numFmt numFmtId="176" formatCode="mmm\ d\,\ yyyy"/>
    <numFmt numFmtId="177" formatCode="0.00%;\(0.00%\);&quot;-&quot;"/>
    <numFmt numFmtId="178" formatCode="0.0%;\(0.0%\);&quot;-&quot;"/>
    <numFmt numFmtId="179" formatCode="[$$-409]#,##0.00"/>
    <numFmt numFmtId="180" formatCode="[$$-409]#,##0"/>
    <numFmt numFmtId="181" formatCode="yyyy\-mm\-dd;@"/>
  </numFmts>
  <fonts count="68" x14ac:knownFonts="1">
    <font>
      <sz val="8"/>
      <color theme="1"/>
      <name val="Aptos Narrow"/>
      <family val="2"/>
      <scheme val="minor"/>
    </font>
    <font>
      <sz val="8"/>
      <color theme="1"/>
      <name val="Aptos Narrow"/>
      <family val="2"/>
      <scheme val="minor"/>
    </font>
    <font>
      <b/>
      <sz val="8"/>
      <color theme="1"/>
      <name val="Aptos Narrow"/>
      <scheme val="minor"/>
    </font>
    <font>
      <sz val="8"/>
      <color theme="1"/>
      <name val="Aptos Narrow"/>
      <scheme val="minor"/>
    </font>
    <font>
      <sz val="10"/>
      <color rgb="FF000000"/>
      <name val="Tahoma"/>
      <family val="2"/>
    </font>
    <font>
      <b/>
      <sz val="10"/>
      <color rgb="FF000000"/>
      <name val="Tahoma"/>
      <family val="2"/>
    </font>
    <font>
      <b/>
      <sz val="12"/>
      <color theme="1"/>
      <name val="Aptos Narrow"/>
      <scheme val="minor"/>
    </font>
    <font>
      <sz val="8"/>
      <color theme="0"/>
      <name val="Aptos Narrow"/>
      <family val="2"/>
      <scheme val="minor"/>
    </font>
    <font>
      <sz val="8"/>
      <name val="Aptos Narrow"/>
      <family val="2"/>
      <scheme val="minor"/>
    </font>
    <font>
      <sz val="8"/>
      <color theme="0"/>
      <name val="Aptos Narrow"/>
      <scheme val="minor"/>
    </font>
    <font>
      <i/>
      <sz val="8"/>
      <color theme="0"/>
      <name val="Aptos Narrow"/>
      <scheme val="minor"/>
    </font>
    <font>
      <sz val="10"/>
      <name val="Arial"/>
      <family val="2"/>
    </font>
    <font>
      <sz val="8"/>
      <color rgb="FF000000"/>
      <name val="Aptos Narrow"/>
      <family val="2"/>
      <scheme val="minor"/>
    </font>
    <font>
      <b/>
      <i/>
      <sz val="8"/>
      <color theme="1"/>
      <name val="Aptos Narrow"/>
      <scheme val="minor"/>
    </font>
    <font>
      <sz val="8"/>
      <color rgb="FFFF0000"/>
      <name val="Aptos Narrow"/>
      <family val="2"/>
      <scheme val="minor"/>
    </font>
    <font>
      <b/>
      <sz val="8"/>
      <color theme="3" tint="0.249977111117893"/>
      <name val="Aptos Narrow"/>
      <scheme val="minor"/>
    </font>
    <font>
      <b/>
      <sz val="8"/>
      <color theme="1"/>
      <name val="Aptos Narrow"/>
      <family val="2"/>
      <scheme val="minor"/>
    </font>
    <font>
      <sz val="8"/>
      <color rgb="FF0000FF"/>
      <name val="Aptos Narrow"/>
      <family val="2"/>
      <scheme val="minor"/>
    </font>
    <font>
      <b/>
      <sz val="14"/>
      <color theme="1"/>
      <name val="Calibri"/>
      <family val="2"/>
    </font>
    <font>
      <sz val="8"/>
      <color theme="1"/>
      <name val="Calibri"/>
      <family val="2"/>
    </font>
    <font>
      <sz val="10"/>
      <name val="Calibri"/>
      <family val="2"/>
    </font>
    <font>
      <sz val="8"/>
      <name val="Calibri"/>
      <family val="2"/>
    </font>
    <font>
      <sz val="10"/>
      <color theme="0"/>
      <name val="Calibri"/>
      <family val="2"/>
    </font>
    <font>
      <sz val="8"/>
      <color theme="0"/>
      <name val="Calibri"/>
      <family val="2"/>
    </font>
    <font>
      <sz val="8"/>
      <color theme="4"/>
      <name val="Calibri"/>
      <family val="2"/>
    </font>
    <font>
      <b/>
      <sz val="8"/>
      <name val="Calibri"/>
      <family val="2"/>
    </font>
    <font>
      <b/>
      <sz val="8"/>
      <color theme="1"/>
      <name val="Calibri"/>
      <family val="2"/>
    </font>
    <font>
      <sz val="8"/>
      <color rgb="FF000000"/>
      <name val="Calibri"/>
      <family val="2"/>
    </font>
    <font>
      <sz val="8"/>
      <color rgb="FF0000FF"/>
      <name val="Calibri"/>
      <family val="2"/>
    </font>
    <font>
      <i/>
      <sz val="8"/>
      <color theme="1"/>
      <name val="Calibri"/>
      <family val="2"/>
    </font>
    <font>
      <b/>
      <sz val="14"/>
      <color theme="0"/>
      <name val="Calibri"/>
      <family val="2"/>
    </font>
    <font>
      <sz val="12"/>
      <color rgb="FF0000FF"/>
      <name val="Calibri"/>
      <family val="2"/>
    </font>
    <font>
      <i/>
      <sz val="8"/>
      <color rgb="FF1C1EFF"/>
      <name val="Calibri"/>
      <family val="2"/>
    </font>
    <font>
      <b/>
      <sz val="10"/>
      <name val="Calibri"/>
      <family val="2"/>
    </font>
    <font>
      <i/>
      <sz val="8"/>
      <color theme="3" tint="0.249977111117893"/>
      <name val="Calibri"/>
      <family val="2"/>
    </font>
    <font>
      <sz val="8"/>
      <color rgb="FF00B050"/>
      <name val="Calibri"/>
      <family val="2"/>
    </font>
    <font>
      <i/>
      <sz val="8"/>
      <color rgb="FF0000FF"/>
      <name val="Calibri"/>
      <family val="2"/>
    </font>
    <font>
      <b/>
      <i/>
      <sz val="8"/>
      <color theme="1"/>
      <name val="Calibri"/>
      <family val="2"/>
    </font>
    <font>
      <i/>
      <sz val="8"/>
      <color theme="1"/>
      <name val="Aptos Narrow"/>
      <scheme val="minor"/>
    </font>
    <font>
      <sz val="8"/>
      <color rgb="FF000000"/>
      <name val="Aptos Narrow"/>
      <scheme val="minor"/>
    </font>
    <font>
      <sz val="8"/>
      <color rgb="FF00B050"/>
      <name val="Aptos Narrow"/>
      <scheme val="minor"/>
    </font>
    <font>
      <sz val="8"/>
      <color rgb="FF00B050"/>
      <name val="Aptos Narrow"/>
      <family val="2"/>
      <scheme val="minor"/>
    </font>
    <font>
      <i/>
      <sz val="8"/>
      <color theme="1"/>
      <name val="Aptos Narrow"/>
      <family val="2"/>
      <scheme val="minor"/>
    </font>
    <font>
      <b/>
      <sz val="8"/>
      <color rgb="FF000000"/>
      <name val="Aptos Narrow"/>
      <scheme val="minor"/>
    </font>
    <font>
      <b/>
      <sz val="12"/>
      <color theme="1"/>
      <name val="Aptos Narrow"/>
    </font>
    <font>
      <i/>
      <sz val="8"/>
      <color rgb="FF7F7F7F"/>
      <name val="Calibri"/>
      <family val="2"/>
    </font>
    <font>
      <b/>
      <sz val="10"/>
      <color rgb="FFFFFFFF"/>
      <name val="Calibri"/>
      <family val="2"/>
    </font>
    <font>
      <sz val="8"/>
      <color rgb="FF008000"/>
      <name val="Calibri"/>
      <family val="2"/>
    </font>
    <font>
      <b/>
      <sz val="8"/>
      <color rgb="FFFFFFFF"/>
      <name val="Calibri"/>
      <family val="2"/>
    </font>
    <font>
      <sz val="8"/>
      <color rgb="FFFFFFFF"/>
      <name val="Calibri"/>
      <family val="2"/>
    </font>
    <font>
      <sz val="9"/>
      <color theme="1"/>
      <name val="Calibri"/>
      <family val="2"/>
    </font>
    <font>
      <i/>
      <sz val="9"/>
      <color rgb="FF7F7F7F"/>
      <name val="Calibri"/>
      <family val="2"/>
    </font>
    <font>
      <b/>
      <sz val="9"/>
      <color rgb="FFFFFFFF"/>
      <name val="Calibri"/>
      <family val="2"/>
    </font>
    <font>
      <sz val="9"/>
      <color rgb="FF008000"/>
      <name val="Calibri"/>
      <family val="2"/>
    </font>
    <font>
      <sz val="9"/>
      <color rgb="FF0000FF"/>
      <name val="Calibri"/>
      <family val="2"/>
    </font>
    <font>
      <b/>
      <sz val="9"/>
      <color theme="1"/>
      <name val="Calibri"/>
      <family val="2"/>
    </font>
    <font>
      <sz val="9"/>
      <color rgb="FF000000"/>
      <name val="Calibri"/>
      <family val="2"/>
    </font>
    <font>
      <b/>
      <sz val="9"/>
      <color rgb="FF000000"/>
      <name val="Calibri"/>
      <family val="2"/>
    </font>
    <font>
      <b/>
      <i/>
      <sz val="9"/>
      <color rgb="FF7F7F7F"/>
      <name val="Calibri"/>
      <family val="2"/>
    </font>
    <font>
      <b/>
      <sz val="12"/>
      <color theme="0"/>
      <name val="Aptos Narrow"/>
      <scheme val="minor"/>
    </font>
    <font>
      <u/>
      <sz val="8"/>
      <color rgb="FF0563C1"/>
      <name val="Calibri"/>
      <family val="2"/>
    </font>
    <font>
      <b/>
      <sz val="8"/>
      <color rgb="FFFFFFFF"/>
      <name val="Aptos Narrow"/>
    </font>
    <font>
      <b/>
      <sz val="8"/>
      <color rgb="FFFFFFFF"/>
      <name val="Aptos Narrow"/>
      <scheme val="minor"/>
    </font>
    <font>
      <u/>
      <sz val="8"/>
      <color theme="10"/>
      <name val="Aptos Narrow"/>
      <family val="2"/>
      <scheme val="minor"/>
    </font>
    <font>
      <u/>
      <sz val="8"/>
      <color rgb="FF0000FF"/>
      <name val="Aptos Narrow"/>
      <scheme val="minor"/>
    </font>
    <font>
      <b/>
      <sz val="12"/>
      <color theme="3" tint="0.249977111117893"/>
      <name val="Calibri"/>
      <family val="2"/>
    </font>
    <font>
      <sz val="11"/>
      <color rgb="FF000000"/>
      <name val="Aptos Narrow"/>
      <scheme val="minor"/>
    </font>
    <font>
      <sz val="11"/>
      <color theme="1"/>
      <name val="Aptos Narrow"/>
      <family val="2"/>
      <scheme val="minor"/>
    </font>
  </fonts>
  <fills count="18">
    <fill>
      <patternFill patternType="none"/>
    </fill>
    <fill>
      <patternFill patternType="gray125"/>
    </fill>
    <fill>
      <patternFill patternType="solid">
        <fgColor theme="2" tint="-9.9978637043366805E-2"/>
        <bgColor indexed="64"/>
      </patternFill>
    </fill>
    <fill>
      <patternFill patternType="solid">
        <fgColor theme="7" tint="0.79998168889431442"/>
        <bgColor indexed="64"/>
      </patternFill>
    </fill>
    <fill>
      <patternFill patternType="solid">
        <fgColor theme="2"/>
        <bgColor indexed="64"/>
      </patternFill>
    </fill>
    <fill>
      <patternFill patternType="solid">
        <fgColor theme="9" tint="0.79998168889431442"/>
        <bgColor indexed="64"/>
      </patternFill>
    </fill>
    <fill>
      <patternFill patternType="solid">
        <fgColor theme="3" tint="0.249977111117893"/>
        <bgColor indexed="64"/>
      </patternFill>
    </fill>
    <fill>
      <patternFill patternType="solid">
        <fgColor theme="3" tint="0.89999084444715716"/>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FF99"/>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rgb="FF215C98"/>
        <bgColor indexed="64"/>
      </patternFill>
    </fill>
    <fill>
      <patternFill patternType="solid">
        <fgColor rgb="FFD9D9D9"/>
        <bgColor indexed="64"/>
      </patternFill>
    </fill>
    <fill>
      <patternFill patternType="solid">
        <fgColor rgb="FFFFFF00"/>
        <bgColor indexed="64"/>
      </patternFill>
    </fill>
    <fill>
      <patternFill patternType="solid">
        <fgColor theme="3" tint="0.749992370372631"/>
        <bgColor indexed="64"/>
      </patternFill>
    </fill>
  </fills>
  <borders count="51">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auto="1"/>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right style="thin">
        <color auto="1"/>
      </right>
      <top/>
      <bottom/>
      <diagonal/>
    </border>
    <border>
      <left style="thin">
        <color rgb="FFB2B2B2"/>
      </left>
      <right style="thin">
        <color rgb="FFB2B2B2"/>
      </right>
      <top style="thin">
        <color rgb="FFB2B2B2"/>
      </top>
      <bottom style="thin">
        <color rgb="FFB2B2B2"/>
      </bottom>
      <diagonal/>
    </border>
    <border>
      <left style="thin">
        <color rgb="FFB2B2B2"/>
      </left>
      <right style="thin">
        <color rgb="FFB2B2B2"/>
      </right>
      <top style="thin">
        <color rgb="FFB2B2B2"/>
      </top>
      <bottom style="thin">
        <color indexed="64"/>
      </bottom>
      <diagonal/>
    </border>
    <border>
      <left style="thin">
        <color rgb="FFB2B2B2"/>
      </left>
      <right style="thin">
        <color rgb="FFB2B2B2"/>
      </right>
      <top/>
      <bottom style="thin">
        <color rgb="FFB2B2B2"/>
      </bottom>
      <diagonal/>
    </border>
    <border>
      <left/>
      <right/>
      <top/>
      <bottom style="thin">
        <color theme="0" tint="-0.14999847407452621"/>
      </bottom>
      <diagonal/>
    </border>
    <border>
      <left/>
      <right/>
      <top/>
      <bottom style="thin">
        <color theme="1"/>
      </bottom>
      <diagonal/>
    </border>
    <border>
      <left/>
      <right/>
      <top style="thin">
        <color theme="1"/>
      </top>
      <bottom style="thin">
        <color theme="1"/>
      </bottom>
      <diagonal/>
    </border>
    <border>
      <left/>
      <right/>
      <top style="thin">
        <color theme="0" tint="-0.14999847407452621"/>
      </top>
      <bottom/>
      <diagonal/>
    </border>
    <border>
      <left/>
      <right/>
      <top style="thin">
        <color theme="1"/>
      </top>
      <bottom/>
      <diagonal/>
    </border>
    <border>
      <left style="thin">
        <color theme="1"/>
      </left>
      <right/>
      <top/>
      <bottom/>
      <diagonal/>
    </border>
    <border>
      <left/>
      <right style="thin">
        <color theme="1"/>
      </right>
      <top/>
      <bottom/>
      <diagonal/>
    </border>
    <border>
      <left/>
      <right style="thin">
        <color theme="1"/>
      </right>
      <top/>
      <bottom style="thin">
        <color indexed="64"/>
      </bottom>
      <diagonal/>
    </border>
    <border>
      <left/>
      <right style="thin">
        <color rgb="FFB2B2B2"/>
      </right>
      <top style="thin">
        <color rgb="FFB2B2B2"/>
      </top>
      <bottom style="thin">
        <color rgb="FFB2B2B2"/>
      </bottom>
      <diagonal/>
    </border>
    <border>
      <left/>
      <right style="thin">
        <color rgb="FFB2B2B2"/>
      </right>
      <top style="thin">
        <color rgb="FFB2B2B2"/>
      </top>
      <bottom style="thin">
        <color indexed="64"/>
      </bottom>
      <diagonal/>
    </border>
    <border>
      <left/>
      <right style="thin">
        <color theme="1"/>
      </right>
      <top style="thin">
        <color indexed="64"/>
      </top>
      <bottom style="thin">
        <color indexed="64"/>
      </bottom>
      <diagonal/>
    </border>
    <border>
      <left style="thin">
        <color rgb="FFB2B2B2"/>
      </left>
      <right style="thin">
        <color theme="1"/>
      </right>
      <top style="thin">
        <color rgb="FFB2B2B2"/>
      </top>
      <bottom style="thin">
        <color rgb="FFB2B2B2"/>
      </bottom>
      <diagonal/>
    </border>
    <border>
      <left style="thin">
        <color rgb="FFB2B2B2"/>
      </left>
      <right style="thin">
        <color theme="1"/>
      </right>
      <top style="thin">
        <color rgb="FFB2B2B2"/>
      </top>
      <bottom style="thin">
        <color indexed="64"/>
      </bottom>
      <diagonal/>
    </border>
    <border>
      <left style="thin">
        <color theme="1"/>
      </left>
      <right/>
      <top/>
      <bottom style="thin">
        <color indexed="64"/>
      </bottom>
      <diagonal/>
    </border>
    <border>
      <left/>
      <right style="thin">
        <color theme="1"/>
      </right>
      <top/>
      <bottom style="thin">
        <color theme="1"/>
      </bottom>
      <diagonal/>
    </border>
    <border>
      <left/>
      <right style="thin">
        <color indexed="64"/>
      </right>
      <top/>
      <bottom style="thin">
        <color theme="1"/>
      </bottom>
      <diagonal/>
    </border>
    <border>
      <left/>
      <right style="thin">
        <color indexed="64"/>
      </right>
      <top style="thin">
        <color theme="1"/>
      </top>
      <bottom/>
      <diagonal/>
    </border>
    <border>
      <left/>
      <right style="thin">
        <color indexed="64"/>
      </right>
      <top style="thin">
        <color theme="1"/>
      </top>
      <bottom style="thin">
        <color theme="1"/>
      </bottom>
      <diagonal/>
    </border>
    <border>
      <left style="thin">
        <color indexed="64"/>
      </left>
      <right style="thin">
        <color rgb="FFB2B2B2"/>
      </right>
      <top style="thin">
        <color rgb="FFB2B2B2"/>
      </top>
      <bottom style="thin">
        <color theme="1"/>
      </bottom>
      <diagonal/>
    </border>
    <border>
      <left style="thin">
        <color rgb="FFB2B2B2"/>
      </left>
      <right style="thin">
        <color rgb="FFB2B2B2"/>
      </right>
      <top style="thin">
        <color rgb="FFB2B2B2"/>
      </top>
      <bottom style="thin">
        <color theme="1"/>
      </bottom>
      <diagonal/>
    </border>
    <border>
      <left/>
      <right/>
      <top style="thin">
        <color indexed="64"/>
      </top>
      <bottom style="thin">
        <color theme="1"/>
      </bottom>
      <diagonal/>
    </border>
    <border>
      <left/>
      <right style="thin">
        <color theme="1"/>
      </right>
      <top style="thin">
        <color theme="1"/>
      </top>
      <bottom/>
      <diagonal/>
    </border>
    <border>
      <left/>
      <right style="thin">
        <color theme="1"/>
      </right>
      <top style="thin">
        <color theme="1"/>
      </top>
      <bottom style="thin">
        <color theme="1"/>
      </bottom>
      <diagonal/>
    </border>
    <border>
      <left style="thin">
        <color theme="1"/>
      </left>
      <right/>
      <top/>
      <bottom style="thin">
        <color theme="1"/>
      </bottom>
      <diagonal/>
    </border>
    <border>
      <left style="thin">
        <color theme="1"/>
      </left>
      <right/>
      <top style="thin">
        <color theme="1"/>
      </top>
      <bottom/>
      <diagonal/>
    </border>
    <border>
      <left style="thin">
        <color theme="1"/>
      </left>
      <right/>
      <top style="thin">
        <color theme="1"/>
      </top>
      <bottom style="thin">
        <color theme="1"/>
      </bottom>
      <diagonal/>
    </border>
    <border>
      <left/>
      <right/>
      <top/>
      <bottom style="thin">
        <color rgb="FFD9D9D9"/>
      </bottom>
      <diagonal/>
    </border>
    <border>
      <left/>
      <right/>
      <top style="thin">
        <color rgb="FFD9D9D9"/>
      </top>
      <bottom style="thin">
        <color rgb="FFD9D9D9"/>
      </bottom>
      <diagonal/>
    </border>
    <border>
      <left/>
      <right/>
      <top style="thin">
        <color rgb="FFD9D9D9"/>
      </top>
      <bottom/>
      <diagonal/>
    </border>
    <border>
      <left/>
      <right/>
      <top style="thin">
        <color rgb="FF000000"/>
      </top>
      <bottom/>
      <diagonal/>
    </border>
    <border>
      <left/>
      <right/>
      <top style="thin">
        <color rgb="FF000000"/>
      </top>
      <bottom style="double">
        <color rgb="FF000000"/>
      </bottom>
      <diagonal/>
    </border>
    <border>
      <left style="thin">
        <color theme="1"/>
      </left>
      <right style="thin">
        <color theme="1"/>
      </right>
      <top/>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s>
  <cellStyleXfs count="5">
    <xf numFmtId="0" fontId="0" fillId="0" borderId="0"/>
    <xf numFmtId="43" fontId="1" fillId="0" borderId="0" applyFont="0" applyFill="0" applyBorder="0" applyAlignment="0" applyProtection="0"/>
    <xf numFmtId="9" fontId="1" fillId="0" borderId="0" applyFont="0" applyFill="0" applyBorder="0" applyAlignment="0" applyProtection="0"/>
    <xf numFmtId="0" fontId="11" fillId="0" borderId="0"/>
    <xf numFmtId="0" fontId="63" fillId="0" borderId="0" applyNumberFormat="0" applyFill="0" applyBorder="0" applyAlignment="0" applyProtection="0"/>
  </cellStyleXfs>
  <cellXfs count="678">
    <xf numFmtId="0" fontId="0" fillId="0" borderId="0" xfId="0"/>
    <xf numFmtId="165" fontId="0" fillId="0" borderId="0" xfId="1" applyNumberFormat="1" applyFont="1"/>
    <xf numFmtId="166" fontId="0" fillId="0" borderId="0" xfId="0" applyNumberFormat="1"/>
    <xf numFmtId="0" fontId="2" fillId="0" borderId="0" xfId="0" applyFont="1"/>
    <xf numFmtId="9" fontId="0" fillId="0" borderId="0" xfId="0" applyNumberFormat="1"/>
    <xf numFmtId="0" fontId="0" fillId="0" borderId="1" xfId="0" applyBorder="1"/>
    <xf numFmtId="0" fontId="0" fillId="0" borderId="0" xfId="0" applyAlignment="1">
      <alignment horizontal="center"/>
    </xf>
    <xf numFmtId="0" fontId="0" fillId="2" borderId="1" xfId="0" applyFill="1" applyBorder="1"/>
    <xf numFmtId="0" fontId="2" fillId="2" borderId="1" xfId="0" applyFont="1" applyFill="1" applyBorder="1"/>
    <xf numFmtId="0" fontId="0" fillId="0" borderId="4" xfId="0" applyBorder="1"/>
    <xf numFmtId="9" fontId="0" fillId="0" borderId="4" xfId="0" applyNumberFormat="1" applyBorder="1" applyAlignment="1">
      <alignment horizontal="center"/>
    </xf>
    <xf numFmtId="165" fontId="0" fillId="0" borderId="1" xfId="0" applyNumberFormat="1" applyBorder="1"/>
    <xf numFmtId="0" fontId="0" fillId="0" borderId="0" xfId="0" applyAlignment="1">
      <alignment horizontal="left" indent="1"/>
    </xf>
    <xf numFmtId="165" fontId="0" fillId="0" borderId="0" xfId="0" applyNumberFormat="1" applyAlignment="1">
      <alignment horizontal="center"/>
    </xf>
    <xf numFmtId="165" fontId="0" fillId="0" borderId="1" xfId="0" applyNumberFormat="1" applyBorder="1" applyAlignment="1">
      <alignment horizontal="center"/>
    </xf>
    <xf numFmtId="9" fontId="0" fillId="0" borderId="1" xfId="0" applyNumberFormat="1" applyBorder="1" applyAlignment="1">
      <alignment horizontal="center"/>
    </xf>
    <xf numFmtId="0" fontId="0" fillId="4" borderId="1" xfId="0" applyFill="1" applyBorder="1"/>
    <xf numFmtId="0" fontId="0" fillId="4" borderId="1" xfId="0" applyFill="1" applyBorder="1" applyAlignment="1">
      <alignment horizontal="center"/>
    </xf>
    <xf numFmtId="0" fontId="6" fillId="0" borderId="0" xfId="0" applyFont="1"/>
    <xf numFmtId="0" fontId="0" fillId="5" borderId="3" xfId="0" applyFill="1" applyBorder="1"/>
    <xf numFmtId="0" fontId="0" fillId="5" borderId="0" xfId="0" applyFill="1"/>
    <xf numFmtId="0" fontId="0" fillId="5" borderId="1" xfId="0" applyFill="1" applyBorder="1"/>
    <xf numFmtId="0" fontId="0" fillId="3" borderId="0" xfId="0" applyFill="1"/>
    <xf numFmtId="0" fontId="0" fillId="3" borderId="1" xfId="0" applyFill="1" applyBorder="1"/>
    <xf numFmtId="0" fontId="0" fillId="0" borderId="5" xfId="0" applyBorder="1"/>
    <xf numFmtId="10" fontId="0" fillId="0" borderId="0" xfId="2" applyNumberFormat="1" applyFont="1"/>
    <xf numFmtId="0" fontId="0" fillId="0" borderId="0" xfId="0" applyAlignment="1">
      <alignment horizontal="left"/>
    </xf>
    <xf numFmtId="165" fontId="0" fillId="0" borderId="0" xfId="0" applyNumberFormat="1"/>
    <xf numFmtId="0" fontId="2" fillId="0" borderId="0" xfId="0" applyFont="1" applyAlignment="1">
      <alignment horizontal="center"/>
    </xf>
    <xf numFmtId="0" fontId="2" fillId="0" borderId="1" xfId="0" applyFont="1" applyBorder="1"/>
    <xf numFmtId="0" fontId="3" fillId="0" borderId="0" xfId="0" applyFont="1" applyAlignment="1">
      <alignment horizontal="right"/>
    </xf>
    <xf numFmtId="0" fontId="3" fillId="0" borderId="0" xfId="0" applyFont="1"/>
    <xf numFmtId="165" fontId="3" fillId="0" borderId="0" xfId="0" applyNumberFormat="1" applyFont="1"/>
    <xf numFmtId="0" fontId="0" fillId="0" borderId="0" xfId="0" quotePrefix="1"/>
    <xf numFmtId="10" fontId="0" fillId="0" borderId="0" xfId="2" applyNumberFormat="1" applyFont="1" applyBorder="1"/>
    <xf numFmtId="165" fontId="0" fillId="0" borderId="1" xfId="1" applyNumberFormat="1" applyFont="1" applyBorder="1"/>
    <xf numFmtId="43" fontId="0" fillId="0" borderId="0" xfId="0" applyNumberFormat="1"/>
    <xf numFmtId="165" fontId="0" fillId="0" borderId="0" xfId="1" applyNumberFormat="1" applyFont="1" applyBorder="1"/>
    <xf numFmtId="0" fontId="2" fillId="2" borderId="6" xfId="0" applyFont="1" applyFill="1" applyBorder="1"/>
    <xf numFmtId="0" fontId="0" fillId="0" borderId="7" xfId="0" applyBorder="1"/>
    <xf numFmtId="0" fontId="0" fillId="0" borderId="8" xfId="0" applyBorder="1"/>
    <xf numFmtId="0" fontId="0" fillId="2" borderId="2" xfId="0" applyFill="1" applyBorder="1"/>
    <xf numFmtId="0" fontId="0" fillId="2" borderId="9" xfId="0" applyFill="1" applyBorder="1"/>
    <xf numFmtId="0" fontId="3" fillId="0" borderId="1" xfId="0" applyFont="1" applyBorder="1"/>
    <xf numFmtId="165" fontId="0" fillId="0" borderId="0" xfId="1" applyNumberFormat="1" applyFont="1" applyAlignment="1">
      <alignment horizontal="center"/>
    </xf>
    <xf numFmtId="0" fontId="7" fillId="6" borderId="0" xfId="0" applyFont="1" applyFill="1"/>
    <xf numFmtId="0" fontId="7" fillId="6" borderId="0" xfId="0" applyFont="1" applyFill="1" applyAlignment="1">
      <alignment horizontal="center"/>
    </xf>
    <xf numFmtId="164" fontId="7" fillId="6" borderId="0" xfId="0" applyNumberFormat="1" applyFont="1" applyFill="1" applyAlignment="1">
      <alignment horizontal="center"/>
    </xf>
    <xf numFmtId="43" fontId="0" fillId="0" borderId="0" xfId="0" applyNumberFormat="1" applyAlignment="1">
      <alignment horizontal="center"/>
    </xf>
    <xf numFmtId="0" fontId="9" fillId="6" borderId="0" xfId="0" applyFont="1" applyFill="1"/>
    <xf numFmtId="165" fontId="2" fillId="0" borderId="0" xfId="0" applyNumberFormat="1" applyFont="1" applyAlignment="1">
      <alignment horizontal="center"/>
    </xf>
    <xf numFmtId="165" fontId="0" fillId="0" borderId="1" xfId="1" applyNumberFormat="1" applyFont="1" applyBorder="1" applyAlignment="1">
      <alignment horizontal="center"/>
    </xf>
    <xf numFmtId="165" fontId="3" fillId="0" borderId="0" xfId="1" applyNumberFormat="1" applyFont="1" applyAlignment="1">
      <alignment horizontal="center"/>
    </xf>
    <xf numFmtId="165" fontId="3" fillId="0" borderId="1" xfId="1" applyNumberFormat="1" applyFont="1" applyBorder="1" applyAlignment="1">
      <alignment horizontal="center"/>
    </xf>
    <xf numFmtId="164" fontId="10" fillId="6" borderId="0" xfId="0" applyNumberFormat="1" applyFont="1" applyFill="1" applyAlignment="1">
      <alignment horizontal="center"/>
    </xf>
    <xf numFmtId="0" fontId="2" fillId="0" borderId="0" xfId="0" applyFont="1" applyAlignment="1">
      <alignment horizontal="right"/>
    </xf>
    <xf numFmtId="0" fontId="0" fillId="0" borderId="0" xfId="0" applyAlignment="1">
      <alignment horizontal="right"/>
    </xf>
    <xf numFmtId="0" fontId="9" fillId="6" borderId="3" xfId="0" applyFont="1" applyFill="1" applyBorder="1"/>
    <xf numFmtId="0" fontId="9" fillId="6" borderId="3" xfId="0" applyFont="1" applyFill="1" applyBorder="1" applyAlignment="1">
      <alignment horizontal="center"/>
    </xf>
    <xf numFmtId="0" fontId="2" fillId="4" borderId="0" xfId="0" applyFont="1" applyFill="1"/>
    <xf numFmtId="171" fontId="2" fillId="4" borderId="0" xfId="0" applyNumberFormat="1" applyFont="1" applyFill="1" applyAlignment="1">
      <alignment horizontal="center"/>
    </xf>
    <xf numFmtId="171" fontId="2" fillId="4" borderId="0" xfId="1" applyNumberFormat="1" applyFont="1" applyFill="1"/>
    <xf numFmtId="171" fontId="2" fillId="4" borderId="0" xfId="0" applyNumberFormat="1" applyFont="1" applyFill="1"/>
    <xf numFmtId="165" fontId="0" fillId="0" borderId="0" xfId="1" applyNumberFormat="1" applyFont="1" applyFill="1" applyBorder="1"/>
    <xf numFmtId="0" fontId="3" fillId="0" borderId="0" xfId="0" applyFont="1" applyAlignment="1">
      <alignment horizontal="center"/>
    </xf>
    <xf numFmtId="165" fontId="0" fillId="0" borderId="0" xfId="1" applyNumberFormat="1" applyFont="1" applyFill="1" applyBorder="1" applyAlignment="1">
      <alignment horizontal="center"/>
    </xf>
    <xf numFmtId="9" fontId="0" fillId="0" borderId="0" xfId="0" applyNumberFormat="1" applyAlignment="1">
      <alignment horizontal="center"/>
    </xf>
    <xf numFmtId="165" fontId="0" fillId="0" borderId="0" xfId="2" applyNumberFormat="1" applyFont="1"/>
    <xf numFmtId="165" fontId="12" fillId="0" borderId="0" xfId="0" applyNumberFormat="1" applyFont="1"/>
    <xf numFmtId="0" fontId="0" fillId="0" borderId="10" xfId="0" applyBorder="1"/>
    <xf numFmtId="170" fontId="0" fillId="0" borderId="0" xfId="0" applyNumberFormat="1"/>
    <xf numFmtId="0" fontId="3" fillId="0" borderId="0" xfId="0" applyFont="1" applyAlignment="1">
      <alignment horizontal="left" indent="1"/>
    </xf>
    <xf numFmtId="0" fontId="8" fillId="0" borderId="0" xfId="0" applyFont="1" applyAlignment="1">
      <alignment horizontal="right"/>
    </xf>
    <xf numFmtId="171" fontId="0" fillId="0" borderId="4" xfId="0" applyNumberFormat="1" applyBorder="1" applyAlignment="1">
      <alignment horizontal="center"/>
    </xf>
    <xf numFmtId="171" fontId="0" fillId="0" borderId="5" xfId="0" applyNumberFormat="1" applyBorder="1" applyAlignment="1">
      <alignment horizontal="center"/>
    </xf>
    <xf numFmtId="0" fontId="2" fillId="0" borderId="2" xfId="0" applyFont="1" applyBorder="1" applyAlignment="1">
      <alignment horizontal="center"/>
    </xf>
    <xf numFmtId="0" fontId="2" fillId="0" borderId="9" xfId="0" applyFont="1" applyBorder="1" applyAlignment="1">
      <alignment horizontal="center"/>
    </xf>
    <xf numFmtId="0" fontId="2" fillId="5" borderId="2" xfId="0" applyFont="1" applyFill="1" applyBorder="1" applyAlignment="1">
      <alignment horizontal="center"/>
    </xf>
    <xf numFmtId="0" fontId="0" fillId="0" borderId="7" xfId="0" applyBorder="1" applyAlignment="1">
      <alignment horizontal="left" indent="1"/>
    </xf>
    <xf numFmtId="9" fontId="0" fillId="0" borderId="4" xfId="2" applyFont="1" applyBorder="1" applyAlignment="1">
      <alignment horizontal="center"/>
    </xf>
    <xf numFmtId="0" fontId="0" fillId="0" borderId="8" xfId="0" applyBorder="1" applyAlignment="1">
      <alignment horizontal="left" indent="1"/>
    </xf>
    <xf numFmtId="9" fontId="0" fillId="0" borderId="5" xfId="2" applyFont="1" applyBorder="1" applyAlignment="1">
      <alignment horizontal="center"/>
    </xf>
    <xf numFmtId="0" fontId="2" fillId="4" borderId="8" xfId="0" applyFont="1" applyFill="1" applyBorder="1"/>
    <xf numFmtId="0" fontId="0" fillId="4" borderId="5" xfId="0" applyFill="1" applyBorder="1"/>
    <xf numFmtId="0" fontId="0" fillId="0" borderId="4" xfId="0" applyBorder="1" applyAlignment="1">
      <alignment horizontal="center"/>
    </xf>
    <xf numFmtId="0" fontId="0" fillId="0" borderId="5" xfId="0" applyBorder="1" applyAlignment="1">
      <alignment horizontal="center"/>
    </xf>
    <xf numFmtId="0" fontId="13" fillId="0" borderId="3" xfId="0" applyFont="1" applyBorder="1" applyAlignment="1">
      <alignment horizontal="center"/>
    </xf>
    <xf numFmtId="10" fontId="0" fillId="5" borderId="3" xfId="0" applyNumberFormat="1" applyFill="1" applyBorder="1"/>
    <xf numFmtId="169" fontId="0" fillId="5" borderId="0" xfId="0" applyNumberFormat="1" applyFill="1"/>
    <xf numFmtId="171" fontId="0" fillId="5" borderId="1" xfId="1" applyNumberFormat="1" applyFont="1" applyFill="1" applyBorder="1"/>
    <xf numFmtId="10" fontId="0" fillId="3" borderId="0" xfId="0" applyNumberFormat="1" applyFill="1"/>
    <xf numFmtId="169" fontId="0" fillId="3" borderId="0" xfId="0" applyNumberFormat="1" applyFill="1"/>
    <xf numFmtId="171" fontId="0" fillId="3" borderId="1" xfId="1" applyNumberFormat="1" applyFont="1" applyFill="1" applyBorder="1"/>
    <xf numFmtId="171" fontId="0" fillId="0" borderId="0" xfId="0" applyNumberFormat="1"/>
    <xf numFmtId="0" fontId="3" fillId="0" borderId="0" xfId="0" applyFont="1" applyAlignment="1">
      <alignment horizontal="left" indent="2"/>
    </xf>
    <xf numFmtId="165" fontId="2" fillId="0" borderId="0" xfId="1" applyNumberFormat="1" applyFont="1" applyBorder="1"/>
    <xf numFmtId="0" fontId="2" fillId="0" borderId="0" xfId="0" applyFont="1" applyAlignment="1">
      <alignment horizontal="left" indent="1"/>
    </xf>
    <xf numFmtId="165" fontId="3" fillId="0" borderId="0" xfId="1" applyNumberFormat="1" applyFont="1" applyAlignment="1">
      <alignment horizontal="left" indent="2"/>
    </xf>
    <xf numFmtId="10" fontId="3" fillId="0" borderId="0" xfId="0" applyNumberFormat="1" applyFont="1" applyAlignment="1">
      <alignment horizontal="left" indent="2"/>
    </xf>
    <xf numFmtId="0" fontId="7" fillId="6" borderId="4" xfId="0" applyFont="1" applyFill="1" applyBorder="1"/>
    <xf numFmtId="0" fontId="0" fillId="0" borderId="4" xfId="0" applyBorder="1" applyAlignment="1">
      <alignment horizontal="left" indent="1"/>
    </xf>
    <xf numFmtId="0" fontId="2" fillId="0" borderId="4" xfId="0" applyFont="1" applyBorder="1"/>
    <xf numFmtId="165" fontId="3" fillId="0" borderId="1" xfId="1" applyNumberFormat="1" applyFont="1" applyBorder="1" applyAlignment="1">
      <alignment horizontal="left" indent="2"/>
    </xf>
    <xf numFmtId="0" fontId="9" fillId="0" borderId="0" xfId="0" applyFont="1" applyAlignment="1">
      <alignment horizontal="center"/>
    </xf>
    <xf numFmtId="43" fontId="0" fillId="0" borderId="0" xfId="1" applyFont="1"/>
    <xf numFmtId="172" fontId="0" fillId="0" borderId="0" xfId="0" applyNumberFormat="1"/>
    <xf numFmtId="10" fontId="0" fillId="0" borderId="1" xfId="2" applyNumberFormat="1" applyFont="1" applyBorder="1" applyAlignment="1">
      <alignment horizontal="center"/>
    </xf>
    <xf numFmtId="169" fontId="0" fillId="0" borderId="0" xfId="0" applyNumberFormat="1"/>
    <xf numFmtId="171" fontId="2" fillId="0" borderId="0" xfId="1" applyNumberFormat="1" applyFont="1" applyAlignment="1">
      <alignment horizontal="center"/>
    </xf>
    <xf numFmtId="171" fontId="2" fillId="0" borderId="0" xfId="0" applyNumberFormat="1" applyFont="1" applyAlignment="1">
      <alignment horizontal="center"/>
    </xf>
    <xf numFmtId="10" fontId="2" fillId="0" borderId="0" xfId="2" applyNumberFormat="1" applyFont="1" applyAlignment="1">
      <alignment horizontal="center"/>
    </xf>
    <xf numFmtId="171" fontId="0" fillId="0" borderId="0" xfId="0" applyNumberFormat="1" applyAlignment="1">
      <alignment horizontal="center"/>
    </xf>
    <xf numFmtId="170" fontId="0" fillId="5" borderId="1" xfId="2" applyNumberFormat="1" applyFont="1" applyFill="1" applyBorder="1" applyAlignment="1">
      <alignment horizontal="center"/>
    </xf>
    <xf numFmtId="0" fontId="2" fillId="7" borderId="9" xfId="0" applyFont="1" applyFill="1" applyBorder="1" applyAlignment="1">
      <alignment horizontal="center"/>
    </xf>
    <xf numFmtId="169" fontId="0" fillId="7" borderId="4" xfId="2" applyNumberFormat="1" applyFont="1" applyFill="1" applyBorder="1" applyAlignment="1">
      <alignment horizontal="center"/>
    </xf>
    <xf numFmtId="165" fontId="0" fillId="5" borderId="1" xfId="1" applyNumberFormat="1" applyFont="1" applyFill="1" applyBorder="1" applyAlignment="1">
      <alignment horizontal="center"/>
    </xf>
    <xf numFmtId="169" fontId="0" fillId="7" borderId="5" xfId="2" applyNumberFormat="1" applyFont="1" applyFill="1" applyBorder="1" applyAlignment="1">
      <alignment horizontal="center"/>
    </xf>
    <xf numFmtId="171" fontId="0" fillId="0" borderId="0" xfId="1" applyNumberFormat="1" applyFont="1" applyBorder="1"/>
    <xf numFmtId="10" fontId="0" fillId="0" borderId="0" xfId="2" applyNumberFormat="1" applyFont="1" applyAlignment="1">
      <alignment horizontal="center"/>
    </xf>
    <xf numFmtId="165" fontId="2" fillId="0" borderId="0" xfId="0" applyNumberFormat="1" applyFont="1"/>
    <xf numFmtId="10" fontId="0" fillId="0" borderId="0" xfId="2" applyNumberFormat="1" applyFont="1" applyBorder="1" applyAlignment="1">
      <alignment horizontal="center"/>
    </xf>
    <xf numFmtId="0" fontId="14" fillId="0" borderId="0" xfId="0" applyFont="1"/>
    <xf numFmtId="0" fontId="15" fillId="9" borderId="0" xfId="0" applyFont="1" applyFill="1" applyAlignment="1">
      <alignment horizontal="left"/>
    </xf>
    <xf numFmtId="0" fontId="3" fillId="0" borderId="1" xfId="0" applyFont="1" applyBorder="1" applyAlignment="1">
      <alignment horizontal="right"/>
    </xf>
    <xf numFmtId="10" fontId="3" fillId="0" borderId="0" xfId="2" applyNumberFormat="1" applyFont="1" applyAlignment="1">
      <alignment horizontal="right"/>
    </xf>
    <xf numFmtId="165" fontId="3" fillId="0" borderId="0" xfId="1" applyNumberFormat="1" applyFont="1" applyAlignment="1">
      <alignment horizontal="right"/>
    </xf>
    <xf numFmtId="165" fontId="3" fillId="0" borderId="1" xfId="1" applyNumberFormat="1" applyFont="1" applyBorder="1" applyAlignment="1">
      <alignment horizontal="right"/>
    </xf>
    <xf numFmtId="0" fontId="8" fillId="0" borderId="0" xfId="0" applyFont="1"/>
    <xf numFmtId="0" fontId="0" fillId="0" borderId="6" xfId="0" applyBorder="1"/>
    <xf numFmtId="170" fontId="0" fillId="5" borderId="0" xfId="2" applyNumberFormat="1" applyFont="1" applyFill="1" applyBorder="1" applyAlignment="1">
      <alignment horizontal="center"/>
    </xf>
    <xf numFmtId="165" fontId="0" fillId="5" borderId="0" xfId="1" applyNumberFormat="1" applyFont="1" applyFill="1" applyBorder="1" applyAlignment="1">
      <alignment horizontal="center"/>
    </xf>
    <xf numFmtId="0" fontId="0" fillId="0" borderId="11" xfId="0" applyBorder="1"/>
    <xf numFmtId="9" fontId="8" fillId="0" borderId="0" xfId="0" applyNumberFormat="1" applyFont="1" applyAlignment="1">
      <alignment horizontal="center"/>
    </xf>
    <xf numFmtId="0" fontId="16" fillId="0" borderId="0" xfId="0" applyFont="1"/>
    <xf numFmtId="0" fontId="0" fillId="0" borderId="13" xfId="0" applyBorder="1"/>
    <xf numFmtId="165" fontId="0" fillId="0" borderId="0" xfId="1" applyNumberFormat="1" applyFont="1" applyBorder="1" applyAlignment="1">
      <alignment horizontal="center"/>
    </xf>
    <xf numFmtId="171" fontId="17" fillId="10" borderId="14" xfId="0" applyNumberFormat="1" applyFont="1" applyFill="1" applyBorder="1" applyAlignment="1">
      <alignment horizontal="center"/>
    </xf>
    <xf numFmtId="0" fontId="18" fillId="0" borderId="0" xfId="0" applyFont="1" applyAlignment="1">
      <alignment vertical="center"/>
    </xf>
    <xf numFmtId="0" fontId="19" fillId="0" borderId="0" xfId="0" applyFont="1" applyAlignment="1">
      <alignment vertical="center"/>
    </xf>
    <xf numFmtId="0" fontId="19" fillId="5" borderId="3" xfId="0" applyFont="1" applyFill="1" applyBorder="1" applyAlignment="1">
      <alignment vertical="center"/>
    </xf>
    <xf numFmtId="10" fontId="19" fillId="5" borderId="3" xfId="0" applyNumberFormat="1" applyFont="1" applyFill="1" applyBorder="1" applyAlignment="1">
      <alignment vertical="center"/>
    </xf>
    <xf numFmtId="0" fontId="19" fillId="5" borderId="0" xfId="0" applyFont="1" applyFill="1" applyAlignment="1">
      <alignment vertical="center"/>
    </xf>
    <xf numFmtId="169" fontId="19" fillId="5" borderId="0" xfId="0" applyNumberFormat="1" applyFont="1" applyFill="1" applyAlignment="1">
      <alignment vertical="center"/>
    </xf>
    <xf numFmtId="0" fontId="21" fillId="0" borderId="0" xfId="0" applyFont="1" applyAlignment="1">
      <alignment horizontal="center" vertical="center"/>
    </xf>
    <xf numFmtId="0" fontId="19" fillId="5" borderId="1" xfId="0" applyFont="1" applyFill="1" applyBorder="1" applyAlignment="1">
      <alignment vertical="center"/>
    </xf>
    <xf numFmtId="171" fontId="19" fillId="5" borderId="1" xfId="1" applyNumberFormat="1" applyFont="1" applyFill="1" applyBorder="1" applyAlignment="1">
      <alignment vertical="center"/>
    </xf>
    <xf numFmtId="171" fontId="21" fillId="0" borderId="0" xfId="2" applyNumberFormat="1" applyFont="1" applyFill="1" applyBorder="1" applyAlignment="1">
      <alignment horizontal="center" vertical="center"/>
    </xf>
    <xf numFmtId="171" fontId="21" fillId="0" borderId="0" xfId="1" applyNumberFormat="1" applyFont="1" applyFill="1" applyBorder="1" applyAlignment="1">
      <alignment horizontal="center" vertical="center"/>
    </xf>
    <xf numFmtId="165" fontId="21" fillId="0" borderId="0" xfId="1" applyNumberFormat="1" applyFont="1" applyFill="1" applyBorder="1" applyAlignment="1">
      <alignment vertical="center"/>
    </xf>
    <xf numFmtId="10" fontId="19" fillId="0" borderId="0" xfId="2" applyNumberFormat="1" applyFont="1" applyAlignment="1">
      <alignment vertical="center"/>
    </xf>
    <xf numFmtId="0" fontId="19" fillId="3" borderId="0" xfId="0" applyFont="1" applyFill="1" applyAlignment="1">
      <alignment vertical="center"/>
    </xf>
    <xf numFmtId="10" fontId="19" fillId="3" borderId="0" xfId="0" applyNumberFormat="1" applyFont="1" applyFill="1" applyAlignment="1">
      <alignment vertical="center"/>
    </xf>
    <xf numFmtId="171" fontId="21" fillId="0" borderId="0" xfId="0" applyNumberFormat="1" applyFont="1" applyAlignment="1">
      <alignment horizontal="center" vertical="center"/>
    </xf>
    <xf numFmtId="169" fontId="19" fillId="3" borderId="0" xfId="0" applyNumberFormat="1" applyFont="1" applyFill="1" applyAlignment="1">
      <alignment vertical="center"/>
    </xf>
    <xf numFmtId="0" fontId="19" fillId="3" borderId="1" xfId="0" applyFont="1" applyFill="1" applyBorder="1" applyAlignment="1">
      <alignment vertical="center"/>
    </xf>
    <xf numFmtId="171" fontId="19" fillId="3" borderId="1" xfId="1" applyNumberFormat="1" applyFont="1" applyFill="1" applyBorder="1" applyAlignment="1">
      <alignment vertical="center"/>
    </xf>
    <xf numFmtId="0" fontId="19" fillId="0" borderId="1" xfId="0" applyFont="1" applyBorder="1" applyAlignment="1">
      <alignment vertical="center"/>
    </xf>
    <xf numFmtId="171" fontId="19" fillId="0" borderId="1" xfId="1" applyNumberFormat="1" applyFont="1" applyFill="1" applyBorder="1" applyAlignment="1">
      <alignment vertical="center"/>
    </xf>
    <xf numFmtId="0" fontId="22" fillId="6" borderId="6" xfId="0" applyFont="1" applyFill="1" applyBorder="1" applyAlignment="1">
      <alignment vertical="center"/>
    </xf>
    <xf numFmtId="0" fontId="23" fillId="6" borderId="2" xfId="0" applyFont="1" applyFill="1" applyBorder="1" applyAlignment="1">
      <alignment vertical="center"/>
    </xf>
    <xf numFmtId="167" fontId="19" fillId="0" borderId="0" xfId="2" quotePrefix="1" applyNumberFormat="1" applyFont="1" applyBorder="1" applyAlignment="1">
      <alignment horizontal="left" vertical="center"/>
    </xf>
    <xf numFmtId="0" fontId="19" fillId="0" borderId="0" xfId="0" applyFont="1" applyAlignment="1">
      <alignment horizontal="center" vertical="center"/>
    </xf>
    <xf numFmtId="172" fontId="19" fillId="0" borderId="0" xfId="0" applyNumberFormat="1" applyFont="1" applyAlignment="1">
      <alignment vertical="center"/>
    </xf>
    <xf numFmtId="49" fontId="21" fillId="0" borderId="0" xfId="2" applyNumberFormat="1" applyFont="1" applyFill="1" applyBorder="1" applyAlignment="1">
      <alignment vertical="center"/>
    </xf>
    <xf numFmtId="0" fontId="19" fillId="0" borderId="0" xfId="0" applyFont="1" applyAlignment="1">
      <alignment horizontal="left" vertical="center"/>
    </xf>
    <xf numFmtId="0" fontId="26" fillId="0" borderId="0" xfId="0" applyFont="1" applyAlignment="1">
      <alignment vertical="center"/>
    </xf>
    <xf numFmtId="0" fontId="19" fillId="0" borderId="1" xfId="0" applyFont="1" applyBorder="1" applyAlignment="1">
      <alignment horizontal="center" vertical="center"/>
    </xf>
    <xf numFmtId="0" fontId="27" fillId="0" borderId="0" xfId="0" applyFont="1" applyAlignment="1">
      <alignment horizontal="center" vertical="center"/>
    </xf>
    <xf numFmtId="10" fontId="19" fillId="0" borderId="0" xfId="0" applyNumberFormat="1" applyFont="1" applyAlignment="1">
      <alignment horizontal="center" vertical="center"/>
    </xf>
    <xf numFmtId="0" fontId="19" fillId="0" borderId="0" xfId="0" quotePrefix="1" applyFont="1" applyAlignment="1">
      <alignment horizontal="left" vertical="center"/>
    </xf>
    <xf numFmtId="10" fontId="28" fillId="10" borderId="14" xfId="0" applyNumberFormat="1" applyFont="1" applyFill="1" applyBorder="1" applyAlignment="1">
      <alignment horizontal="center" vertical="center"/>
    </xf>
    <xf numFmtId="171" fontId="21" fillId="0" borderId="0" xfId="1" applyNumberFormat="1" applyFont="1" applyFill="1" applyBorder="1" applyAlignment="1">
      <alignment vertical="center"/>
    </xf>
    <xf numFmtId="164" fontId="28" fillId="10" borderId="14" xfId="1" applyNumberFormat="1" applyFont="1" applyFill="1" applyBorder="1" applyAlignment="1">
      <alignment horizontal="center" vertical="center"/>
    </xf>
    <xf numFmtId="171" fontId="27" fillId="0" borderId="0" xfId="1" applyNumberFormat="1" applyFont="1" applyFill="1" applyBorder="1" applyAlignment="1">
      <alignment horizontal="center" vertical="center"/>
    </xf>
    <xf numFmtId="166" fontId="24" fillId="0" borderId="0" xfId="1" applyNumberFormat="1" applyFont="1" applyFill="1" applyBorder="1" applyAlignment="1">
      <alignment vertical="center"/>
    </xf>
    <xf numFmtId="171" fontId="19" fillId="0" borderId="0" xfId="1" applyNumberFormat="1" applyFont="1" applyFill="1" applyBorder="1" applyAlignment="1">
      <alignment vertical="center"/>
    </xf>
    <xf numFmtId="0" fontId="23" fillId="6" borderId="2" xfId="0" applyFont="1" applyFill="1" applyBorder="1" applyAlignment="1">
      <alignment horizontal="center" vertical="center"/>
    </xf>
    <xf numFmtId="0" fontId="29" fillId="0" borderId="0" xfId="0" applyFont="1" applyAlignment="1">
      <alignment horizontal="center" vertical="center"/>
    </xf>
    <xf numFmtId="171" fontId="29" fillId="0" borderId="0" xfId="1" applyNumberFormat="1" applyFont="1" applyFill="1" applyBorder="1" applyAlignment="1">
      <alignment horizontal="center" vertical="center"/>
    </xf>
    <xf numFmtId="0" fontId="19" fillId="0" borderId="0" xfId="0" applyFont="1"/>
    <xf numFmtId="0" fontId="23" fillId="6" borderId="6" xfId="0" applyFont="1" applyFill="1" applyBorder="1"/>
    <xf numFmtId="0" fontId="23" fillId="6" borderId="2" xfId="0" applyFont="1" applyFill="1" applyBorder="1"/>
    <xf numFmtId="0" fontId="23" fillId="6" borderId="9" xfId="0" applyFont="1" applyFill="1" applyBorder="1"/>
    <xf numFmtId="171" fontId="26" fillId="0" borderId="0" xfId="0" applyNumberFormat="1" applyFont="1"/>
    <xf numFmtId="0" fontId="19" fillId="0" borderId="1" xfId="0" applyFont="1" applyBorder="1"/>
    <xf numFmtId="0" fontId="19" fillId="0" borderId="0" xfId="0" applyFont="1" applyAlignment="1">
      <alignment horizontal="center"/>
    </xf>
    <xf numFmtId="0" fontId="27" fillId="0" borderId="8" xfId="0" applyFont="1" applyBorder="1"/>
    <xf numFmtId="0" fontId="27" fillId="0" borderId="1" xfId="0" applyFont="1" applyBorder="1" applyAlignment="1">
      <alignment horizontal="center"/>
    </xf>
    <xf numFmtId="0" fontId="27" fillId="0" borderId="1" xfId="0" applyFont="1" applyBorder="1"/>
    <xf numFmtId="0" fontId="27" fillId="0" borderId="7" xfId="0" applyFont="1" applyBorder="1"/>
    <xf numFmtId="0" fontId="28" fillId="0" borderId="0" xfId="0" applyFont="1" applyAlignment="1">
      <alignment horizontal="center"/>
    </xf>
    <xf numFmtId="1" fontId="27" fillId="0" borderId="0" xfId="0" applyNumberFormat="1" applyFont="1" applyAlignment="1">
      <alignment horizontal="center"/>
    </xf>
    <xf numFmtId="171" fontId="28" fillId="10" borderId="14" xfId="1" applyNumberFormat="1" applyFont="1" applyFill="1" applyBorder="1" applyAlignment="1">
      <alignment horizontal="center"/>
    </xf>
    <xf numFmtId="171" fontId="27" fillId="0" borderId="0" xfId="1" applyNumberFormat="1" applyFont="1" applyBorder="1"/>
    <xf numFmtId="171" fontId="19" fillId="0" borderId="0" xfId="0" applyNumberFormat="1" applyFont="1"/>
    <xf numFmtId="0" fontId="28" fillId="0" borderId="1" xfId="0" applyFont="1" applyBorder="1" applyAlignment="1">
      <alignment horizontal="center"/>
    </xf>
    <xf numFmtId="1" fontId="27" fillId="0" borderId="1" xfId="0" applyNumberFormat="1" applyFont="1" applyBorder="1" applyAlignment="1">
      <alignment horizontal="center"/>
    </xf>
    <xf numFmtId="171" fontId="28" fillId="10" borderId="15" xfId="1" applyNumberFormat="1" applyFont="1" applyFill="1" applyBorder="1" applyAlignment="1">
      <alignment horizontal="center"/>
    </xf>
    <xf numFmtId="171" fontId="27" fillId="0" borderId="1" xfId="1" applyNumberFormat="1" applyFont="1" applyBorder="1"/>
    <xf numFmtId="172" fontId="19" fillId="0" borderId="0" xfId="0" applyNumberFormat="1" applyFont="1"/>
    <xf numFmtId="0" fontId="32" fillId="0" borderId="0" xfId="0" applyFont="1"/>
    <xf numFmtId="0" fontId="33" fillId="0" borderId="0" xfId="0" applyFont="1" applyAlignment="1">
      <alignment horizontal="left" vertical="center"/>
    </xf>
    <xf numFmtId="0" fontId="34" fillId="0" borderId="1" xfId="0" applyFont="1" applyBorder="1" applyAlignment="1">
      <alignment horizontal="center"/>
    </xf>
    <xf numFmtId="14" fontId="34" fillId="0" borderId="1" xfId="0" applyNumberFormat="1" applyFont="1" applyBorder="1" applyAlignment="1">
      <alignment horizontal="center"/>
    </xf>
    <xf numFmtId="0" fontId="25" fillId="0" borderId="1" xfId="0" applyFont="1" applyBorder="1" applyAlignment="1">
      <alignment horizontal="center" vertical="center" wrapText="1"/>
    </xf>
    <xf numFmtId="0" fontId="28" fillId="10" borderId="14" xfId="0" applyFont="1" applyFill="1" applyBorder="1" applyAlignment="1">
      <alignment horizontal="center" vertical="center"/>
    </xf>
    <xf numFmtId="171" fontId="28" fillId="10" borderId="14" xfId="0" applyNumberFormat="1" applyFont="1" applyFill="1" applyBorder="1" applyAlignment="1">
      <alignment horizontal="center" vertical="center"/>
    </xf>
    <xf numFmtId="171" fontId="19" fillId="0" borderId="0" xfId="0" applyNumberFormat="1" applyFont="1" applyAlignment="1">
      <alignment horizontal="center" vertical="center"/>
    </xf>
    <xf numFmtId="10" fontId="28" fillId="10" borderId="14" xfId="2" applyNumberFormat="1" applyFont="1" applyFill="1" applyBorder="1" applyAlignment="1">
      <alignment horizontal="center" vertical="center"/>
    </xf>
    <xf numFmtId="0" fontId="21" fillId="0" borderId="1" xfId="0" applyFont="1" applyBorder="1" applyAlignment="1">
      <alignment horizontal="center" vertical="center"/>
    </xf>
    <xf numFmtId="173" fontId="35" fillId="0" borderId="0" xfId="0" applyNumberFormat="1" applyFont="1" applyAlignment="1">
      <alignment vertical="center"/>
    </xf>
    <xf numFmtId="173" fontId="28" fillId="10" borderId="14" xfId="0" applyNumberFormat="1" applyFont="1" applyFill="1" applyBorder="1" applyAlignment="1">
      <alignment horizontal="center" vertical="center"/>
    </xf>
    <xf numFmtId="0" fontId="22" fillId="0" borderId="0" xfId="0" applyFont="1" applyAlignment="1">
      <alignment vertical="center"/>
    </xf>
    <xf numFmtId="0" fontId="23" fillId="0" borderId="0" xfId="0" applyFont="1" applyAlignment="1">
      <alignment vertical="center"/>
    </xf>
    <xf numFmtId="0" fontId="23" fillId="0" borderId="0" xfId="0" applyFont="1" applyAlignment="1">
      <alignment horizontal="center" vertical="center"/>
    </xf>
    <xf numFmtId="0" fontId="23" fillId="6" borderId="1" xfId="0" applyFont="1" applyFill="1" applyBorder="1" applyAlignment="1">
      <alignment vertical="center"/>
    </xf>
    <xf numFmtId="173" fontId="35" fillId="0" borderId="0" xfId="0" applyNumberFormat="1" applyFont="1" applyAlignment="1">
      <alignment horizontal="center" vertical="center"/>
    </xf>
    <xf numFmtId="172" fontId="35" fillId="0" borderId="0" xfId="0" applyNumberFormat="1" applyFont="1" applyAlignment="1">
      <alignment vertical="center"/>
    </xf>
    <xf numFmtId="0" fontId="23" fillId="6" borderId="1" xfId="0" applyFont="1" applyFill="1" applyBorder="1" applyAlignment="1">
      <alignment horizontal="center" vertical="center"/>
    </xf>
    <xf numFmtId="0" fontId="21" fillId="0" borderId="0" xfId="0" applyFont="1" applyAlignment="1">
      <alignment vertical="center"/>
    </xf>
    <xf numFmtId="164" fontId="28" fillId="0" borderId="0" xfId="1" applyNumberFormat="1" applyFont="1" applyFill="1" applyBorder="1" applyAlignment="1">
      <alignment horizontal="center" vertical="center"/>
    </xf>
    <xf numFmtId="0" fontId="21" fillId="0" borderId="0" xfId="0" applyFont="1" applyAlignment="1">
      <alignment horizontal="left" vertical="center"/>
    </xf>
    <xf numFmtId="165" fontId="19" fillId="0" borderId="0" xfId="1" applyNumberFormat="1" applyFont="1" applyBorder="1" applyAlignment="1">
      <alignment vertical="center"/>
    </xf>
    <xf numFmtId="0" fontId="21" fillId="0" borderId="17" xfId="0" applyFont="1" applyBorder="1" applyAlignment="1">
      <alignment horizontal="left" vertical="center"/>
    </xf>
    <xf numFmtId="0" fontId="21" fillId="0" borderId="17" xfId="0" applyFont="1" applyBorder="1" applyAlignment="1">
      <alignment horizontal="center" vertical="center"/>
    </xf>
    <xf numFmtId="0" fontId="21" fillId="0" borderId="17" xfId="0" applyFont="1" applyBorder="1" applyAlignment="1">
      <alignment vertical="center"/>
    </xf>
    <xf numFmtId="0" fontId="29" fillId="0" borderId="0" xfId="0" applyFont="1" applyAlignment="1">
      <alignment vertical="center"/>
    </xf>
    <xf numFmtId="171" fontId="19" fillId="0" borderId="0" xfId="0" applyNumberFormat="1" applyFont="1" applyAlignment="1">
      <alignment vertical="center"/>
    </xf>
    <xf numFmtId="0" fontId="20" fillId="12" borderId="19" xfId="0" applyFont="1" applyFill="1" applyBorder="1" applyAlignment="1">
      <alignment vertical="center"/>
    </xf>
    <xf numFmtId="0" fontId="20" fillId="12" borderId="19" xfId="0" applyFont="1" applyFill="1" applyBorder="1" applyAlignment="1">
      <alignment horizontal="center" vertical="center"/>
    </xf>
    <xf numFmtId="0" fontId="20" fillId="12" borderId="21" xfId="0" applyFont="1" applyFill="1" applyBorder="1" applyAlignment="1">
      <alignment horizontal="center" vertical="center"/>
    </xf>
    <xf numFmtId="0" fontId="20" fillId="12" borderId="21" xfId="0" applyFont="1" applyFill="1" applyBorder="1" applyAlignment="1">
      <alignment vertical="center"/>
    </xf>
    <xf numFmtId="0" fontId="19" fillId="0" borderId="21" xfId="0" applyFont="1" applyBorder="1" applyAlignment="1">
      <alignment vertical="center"/>
    </xf>
    <xf numFmtId="0" fontId="21" fillId="0" borderId="21" xfId="0" applyFont="1" applyBorder="1" applyAlignment="1">
      <alignment horizontal="center" vertical="center"/>
    </xf>
    <xf numFmtId="171" fontId="21" fillId="0" borderId="21" xfId="2" applyNumberFormat="1" applyFont="1" applyFill="1" applyBorder="1" applyAlignment="1">
      <alignment horizontal="center" vertical="center"/>
    </xf>
    <xf numFmtId="171" fontId="21" fillId="0" borderId="21" xfId="1" applyNumberFormat="1" applyFont="1" applyFill="1" applyBorder="1" applyAlignment="1">
      <alignment horizontal="center" vertical="center"/>
    </xf>
    <xf numFmtId="0" fontId="19" fillId="0" borderId="0" xfId="0" quotePrefix="1" applyFont="1" applyAlignment="1">
      <alignment vertical="center"/>
    </xf>
    <xf numFmtId="0" fontId="19" fillId="0" borderId="0" xfId="0" quotePrefix="1" applyFont="1" applyAlignment="1">
      <alignment vertical="center" wrapText="1"/>
    </xf>
    <xf numFmtId="0" fontId="19" fillId="0" borderId="0" xfId="0" quotePrefix="1" applyFont="1" applyAlignment="1">
      <alignment horizontal="left" vertical="center" wrapText="1"/>
    </xf>
    <xf numFmtId="0" fontId="21" fillId="0" borderId="20" xfId="0" applyFont="1" applyBorder="1" applyAlignment="1">
      <alignment horizontal="left" vertical="center"/>
    </xf>
    <xf numFmtId="10" fontId="27" fillId="0" borderId="0" xfId="2" applyNumberFormat="1" applyFont="1" applyFill="1" applyBorder="1" applyAlignment="1">
      <alignment horizontal="center" vertical="center"/>
    </xf>
    <xf numFmtId="10" fontId="19" fillId="0" borderId="0" xfId="2" applyNumberFormat="1" applyFont="1" applyFill="1" applyBorder="1" applyAlignment="1">
      <alignment horizontal="center" vertical="center"/>
    </xf>
    <xf numFmtId="168" fontId="28" fillId="10" borderId="14" xfId="0" applyNumberFormat="1" applyFont="1" applyFill="1" applyBorder="1" applyAlignment="1">
      <alignment horizontal="center" vertical="center"/>
    </xf>
    <xf numFmtId="171" fontId="19" fillId="0" borderId="0" xfId="1" applyNumberFormat="1" applyFont="1" applyAlignment="1">
      <alignment vertical="center"/>
    </xf>
    <xf numFmtId="164" fontId="19" fillId="0" borderId="0" xfId="0" applyNumberFormat="1" applyFont="1" applyAlignment="1">
      <alignment horizontal="center" vertical="center"/>
    </xf>
    <xf numFmtId="164" fontId="27" fillId="0" borderId="0" xfId="0" applyNumberFormat="1" applyFont="1" applyAlignment="1">
      <alignment horizontal="center" vertical="center"/>
    </xf>
    <xf numFmtId="0" fontId="17" fillId="0" borderId="0" xfId="0" applyFont="1" applyAlignment="1">
      <alignment horizontal="center"/>
    </xf>
    <xf numFmtId="0" fontId="20" fillId="0" borderId="0" xfId="0" applyFont="1" applyAlignment="1">
      <alignment horizontal="left" vertical="center"/>
    </xf>
    <xf numFmtId="0" fontId="20" fillId="0" borderId="0" xfId="0" applyFont="1" applyAlignment="1">
      <alignment vertical="center"/>
    </xf>
    <xf numFmtId="1" fontId="19" fillId="0" borderId="0" xfId="0" applyNumberFormat="1" applyFont="1" applyAlignment="1">
      <alignment horizontal="center" vertical="center"/>
    </xf>
    <xf numFmtId="0" fontId="19" fillId="0" borderId="0" xfId="0" applyFont="1" applyAlignment="1">
      <alignment horizontal="left" vertical="center" indent="1"/>
    </xf>
    <xf numFmtId="0" fontId="21" fillId="0" borderId="20" xfId="0" applyFont="1" applyBorder="1" applyAlignment="1">
      <alignment vertical="center"/>
    </xf>
    <xf numFmtId="0" fontId="19" fillId="0" borderId="20" xfId="0" quotePrefix="1" applyFont="1" applyBorder="1" applyAlignment="1">
      <alignment vertical="center" wrapText="1"/>
    </xf>
    <xf numFmtId="0" fontId="19" fillId="0" borderId="20" xfId="0" quotePrefix="1" applyFont="1" applyBorder="1" applyAlignment="1">
      <alignment vertical="center"/>
    </xf>
    <xf numFmtId="172" fontId="28" fillId="10" borderId="14" xfId="0" applyNumberFormat="1" applyFont="1" applyFill="1" applyBorder="1" applyAlignment="1">
      <alignment horizontal="center" vertical="center"/>
    </xf>
    <xf numFmtId="171" fontId="27" fillId="0" borderId="0" xfId="0" applyNumberFormat="1" applyFont="1" applyAlignment="1">
      <alignment horizontal="center" vertical="center"/>
    </xf>
    <xf numFmtId="0" fontId="29" fillId="0" borderId="0" xfId="0" applyFont="1" applyAlignment="1">
      <alignment horizontal="left" vertical="center"/>
    </xf>
    <xf numFmtId="171" fontId="36" fillId="0" borderId="0" xfId="0" applyNumberFormat="1" applyFont="1" applyAlignment="1">
      <alignment horizontal="center" vertical="center"/>
    </xf>
    <xf numFmtId="165" fontId="24" fillId="0" borderId="0" xfId="1" applyNumberFormat="1" applyFont="1" applyFill="1" applyBorder="1" applyAlignment="1">
      <alignment vertical="center"/>
    </xf>
    <xf numFmtId="0" fontId="26" fillId="0" borderId="18" xfId="0" applyFont="1" applyBorder="1" applyAlignment="1">
      <alignment horizontal="left" vertical="center"/>
    </xf>
    <xf numFmtId="0" fontId="29" fillId="0" borderId="18" xfId="0" applyFont="1" applyBorder="1" applyAlignment="1">
      <alignment vertical="center"/>
    </xf>
    <xf numFmtId="0" fontId="29" fillId="0" borderId="18" xfId="0" applyFont="1" applyBorder="1" applyAlignment="1">
      <alignment horizontal="center" vertical="center"/>
    </xf>
    <xf numFmtId="171" fontId="36" fillId="0" borderId="18" xfId="0" applyNumberFormat="1" applyFont="1" applyBorder="1" applyAlignment="1">
      <alignment horizontal="center" vertical="center"/>
    </xf>
    <xf numFmtId="10" fontId="28" fillId="10" borderId="16" xfId="2" applyNumberFormat="1" applyFont="1" applyFill="1" applyBorder="1" applyAlignment="1">
      <alignment horizontal="center" vertical="center"/>
    </xf>
    <xf numFmtId="0" fontId="26" fillId="11" borderId="18" xfId="0" applyFont="1" applyFill="1" applyBorder="1" applyAlignment="1">
      <alignment horizontal="left" vertical="center"/>
    </xf>
    <xf numFmtId="0" fontId="29" fillId="11" borderId="18" xfId="0" applyFont="1" applyFill="1" applyBorder="1" applyAlignment="1">
      <alignment vertical="center"/>
    </xf>
    <xf numFmtId="0" fontId="29" fillId="11" borderId="18" xfId="0" applyFont="1" applyFill="1" applyBorder="1" applyAlignment="1">
      <alignment horizontal="center" vertical="center"/>
    </xf>
    <xf numFmtId="171" fontId="36" fillId="11" borderId="18" xfId="0" applyNumberFormat="1" applyFont="1" applyFill="1" applyBorder="1" applyAlignment="1">
      <alignment horizontal="center" vertical="center"/>
    </xf>
    <xf numFmtId="168" fontId="28" fillId="10" borderId="16" xfId="0" applyNumberFormat="1" applyFont="1" applyFill="1" applyBorder="1" applyAlignment="1">
      <alignment horizontal="center" vertical="center"/>
    </xf>
    <xf numFmtId="0" fontId="26" fillId="0" borderId="18" xfId="0" applyFont="1" applyBorder="1" applyAlignment="1">
      <alignment vertical="center"/>
    </xf>
    <xf numFmtId="0" fontId="19" fillId="0" borderId="18" xfId="0" applyFont="1" applyBorder="1" applyAlignment="1">
      <alignment vertical="center"/>
    </xf>
    <xf numFmtId="171" fontId="19" fillId="0" borderId="18" xfId="0" applyNumberFormat="1" applyFont="1" applyBorder="1" applyAlignment="1">
      <alignment vertical="center"/>
    </xf>
    <xf numFmtId="10" fontId="27" fillId="10" borderId="16" xfId="0" applyNumberFormat="1" applyFont="1" applyFill="1" applyBorder="1" applyAlignment="1">
      <alignment horizontal="center" vertical="center"/>
    </xf>
    <xf numFmtId="0" fontId="27" fillId="0" borderId="18" xfId="0" applyFont="1" applyBorder="1" applyAlignment="1">
      <alignment horizontal="center" vertical="center"/>
    </xf>
    <xf numFmtId="0" fontId="26" fillId="0" borderId="19" xfId="0" applyFont="1" applyBorder="1" applyAlignment="1">
      <alignment vertical="center"/>
    </xf>
    <xf numFmtId="0" fontId="29" fillId="0" borderId="19" xfId="0" applyFont="1" applyBorder="1" applyAlignment="1">
      <alignment horizontal="center" vertical="center"/>
    </xf>
    <xf numFmtId="171" fontId="25" fillId="0" borderId="19" xfId="1" applyNumberFormat="1" applyFont="1" applyFill="1" applyBorder="1" applyAlignment="1">
      <alignment vertical="center"/>
    </xf>
    <xf numFmtId="10" fontId="19" fillId="0" borderId="0" xfId="2" applyNumberFormat="1" applyFont="1" applyFill="1" applyAlignment="1">
      <alignment horizontal="center" vertical="center"/>
    </xf>
    <xf numFmtId="164" fontId="7" fillId="0" borderId="0" xfId="0" applyNumberFormat="1" applyFont="1" applyAlignment="1">
      <alignment horizontal="center"/>
    </xf>
    <xf numFmtId="165" fontId="2" fillId="0" borderId="0" xfId="1" applyNumberFormat="1" applyFont="1" applyFill="1" applyBorder="1"/>
    <xf numFmtId="10" fontId="0" fillId="0" borderId="0" xfId="2" applyNumberFormat="1" applyFont="1" applyFill="1" applyBorder="1"/>
    <xf numFmtId="0" fontId="0" fillId="0" borderId="17" xfId="0" applyBorder="1" applyAlignment="1">
      <alignment horizontal="left" vertical="center"/>
    </xf>
    <xf numFmtId="0" fontId="0" fillId="0" borderId="17" xfId="0" applyBorder="1" applyAlignment="1">
      <alignment horizontal="left" vertical="center" wrapText="1"/>
    </xf>
    <xf numFmtId="0" fontId="19" fillId="0" borderId="0" xfId="0" applyFont="1" applyAlignment="1">
      <alignment horizontal="left"/>
    </xf>
    <xf numFmtId="171" fontId="27" fillId="0" borderId="0" xfId="0" applyNumberFormat="1" applyFont="1"/>
    <xf numFmtId="0" fontId="19" fillId="0" borderId="0" xfId="0" applyFont="1" applyAlignment="1">
      <alignment horizontal="left" indent="1"/>
    </xf>
    <xf numFmtId="9" fontId="27" fillId="0" borderId="0" xfId="2" applyFont="1" applyBorder="1"/>
    <xf numFmtId="10" fontId="19" fillId="0" borderId="0" xfId="2" applyNumberFormat="1" applyFont="1"/>
    <xf numFmtId="0" fontId="26" fillId="0" borderId="0" xfId="0" applyFont="1" applyAlignment="1">
      <alignment horizontal="center"/>
    </xf>
    <xf numFmtId="0" fontId="26" fillId="0" borderId="24" xfId="0" applyFont="1" applyBorder="1" applyAlignment="1">
      <alignment horizontal="center" vertical="center" wrapText="1"/>
    </xf>
    <xf numFmtId="172" fontId="19" fillId="0" borderId="23" xfId="0" applyNumberFormat="1" applyFont="1" applyBorder="1" applyAlignment="1">
      <alignment vertical="center"/>
    </xf>
    <xf numFmtId="172" fontId="19" fillId="0" borderId="24" xfId="0" applyNumberFormat="1" applyFont="1" applyBorder="1" applyAlignment="1">
      <alignment vertical="center"/>
    </xf>
    <xf numFmtId="172" fontId="26" fillId="0" borderId="23" xfId="0" applyNumberFormat="1" applyFont="1" applyBorder="1"/>
    <xf numFmtId="171" fontId="28" fillId="10" borderId="25" xfId="0" applyNumberFormat="1" applyFont="1" applyFill="1" applyBorder="1" applyAlignment="1">
      <alignment horizontal="center" vertical="center"/>
    </xf>
    <xf numFmtId="171" fontId="28" fillId="10" borderId="26" xfId="0" applyNumberFormat="1" applyFont="1" applyFill="1" applyBorder="1" applyAlignment="1">
      <alignment horizontal="center" vertical="center"/>
    </xf>
    <xf numFmtId="0" fontId="25" fillId="0" borderId="27" xfId="0" applyFont="1" applyBorder="1" applyAlignment="1">
      <alignment horizontal="center" vertical="center" wrapText="1"/>
    </xf>
    <xf numFmtId="0" fontId="28" fillId="10" borderId="28" xfId="0" applyFont="1" applyFill="1" applyBorder="1" applyAlignment="1">
      <alignment horizontal="center" vertical="center"/>
    </xf>
    <xf numFmtId="0" fontId="28" fillId="10" borderId="29" xfId="0" applyFont="1" applyFill="1" applyBorder="1" applyAlignment="1">
      <alignment horizontal="center" vertical="center"/>
    </xf>
    <xf numFmtId="173" fontId="26" fillId="0" borderId="23" xfId="0" applyNumberFormat="1" applyFont="1" applyBorder="1" applyAlignment="1">
      <alignment horizontal="center"/>
    </xf>
    <xf numFmtId="0" fontId="26" fillId="0" borderId="30" xfId="0" applyFont="1" applyBorder="1" applyAlignment="1">
      <alignment horizontal="center" vertical="center" wrapText="1"/>
    </xf>
    <xf numFmtId="171" fontId="19" fillId="0" borderId="22" xfId="0" applyNumberFormat="1" applyFont="1" applyBorder="1" applyAlignment="1">
      <alignment horizontal="center" vertical="center"/>
    </xf>
    <xf numFmtId="171" fontId="19" fillId="0" borderId="30" xfId="0" applyNumberFormat="1" applyFont="1" applyBorder="1" applyAlignment="1">
      <alignment horizontal="center" vertical="center"/>
    </xf>
    <xf numFmtId="171" fontId="26" fillId="0" borderId="22" xfId="0" applyNumberFormat="1" applyFont="1" applyBorder="1"/>
    <xf numFmtId="172" fontId="19" fillId="0" borderId="23" xfId="0" applyNumberFormat="1" applyFont="1" applyBorder="1" applyAlignment="1">
      <alignment horizontal="center" vertical="center"/>
    </xf>
    <xf numFmtId="172" fontId="19" fillId="0" borderId="31" xfId="0" applyNumberFormat="1" applyFont="1" applyBorder="1" applyAlignment="1">
      <alignment horizontal="center" vertical="center"/>
    </xf>
    <xf numFmtId="0" fontId="19" fillId="0" borderId="18" xfId="0" applyFont="1" applyBorder="1" applyAlignment="1">
      <alignment horizontal="left"/>
    </xf>
    <xf numFmtId="171" fontId="19" fillId="0" borderId="18" xfId="0" applyNumberFormat="1" applyFont="1" applyBorder="1" applyAlignment="1">
      <alignment horizontal="left"/>
    </xf>
    <xf numFmtId="0" fontId="23" fillId="6" borderId="2" xfId="0" applyFont="1" applyFill="1" applyBorder="1" applyAlignment="1">
      <alignment horizontal="center"/>
    </xf>
    <xf numFmtId="0" fontId="23" fillId="6" borderId="0" xfId="0" applyFont="1" applyFill="1"/>
    <xf numFmtId="0" fontId="23" fillId="6" borderId="0" xfId="0" applyFont="1" applyFill="1" applyAlignment="1">
      <alignment horizontal="center"/>
    </xf>
    <xf numFmtId="172" fontId="19" fillId="0" borderId="0" xfId="0" applyNumberFormat="1" applyFont="1" applyAlignment="1">
      <alignment horizontal="left"/>
    </xf>
    <xf numFmtId="10" fontId="19" fillId="0" borderId="0" xfId="2" applyNumberFormat="1" applyFont="1" applyFill="1" applyBorder="1" applyAlignment="1">
      <alignment horizontal="right"/>
    </xf>
    <xf numFmtId="0" fontId="38" fillId="0" borderId="0" xfId="0" applyFont="1" applyAlignment="1">
      <alignment horizontal="center"/>
    </xf>
    <xf numFmtId="0" fontId="38" fillId="0" borderId="1" xfId="0" applyFont="1" applyBorder="1" applyAlignment="1">
      <alignment horizontal="center"/>
    </xf>
    <xf numFmtId="0" fontId="38" fillId="0" borderId="18" xfId="0" applyFont="1" applyBorder="1" applyAlignment="1">
      <alignment horizontal="center"/>
    </xf>
    <xf numFmtId="0" fontId="0" fillId="0" borderId="18" xfId="0" applyBorder="1"/>
    <xf numFmtId="165" fontId="0" fillId="0" borderId="18" xfId="1" applyNumberFormat="1" applyFont="1" applyBorder="1" applyAlignment="1">
      <alignment horizontal="center"/>
    </xf>
    <xf numFmtId="165" fontId="0" fillId="0" borderId="18" xfId="1" applyNumberFormat="1" applyFont="1" applyBorder="1"/>
    <xf numFmtId="165" fontId="0" fillId="0" borderId="21" xfId="0" applyNumberFormat="1" applyBorder="1"/>
    <xf numFmtId="0" fontId="3" fillId="0" borderId="18" xfId="0" applyFont="1" applyBorder="1"/>
    <xf numFmtId="0" fontId="0" fillId="0" borderId="32" xfId="0" applyBorder="1"/>
    <xf numFmtId="10" fontId="40" fillId="0" borderId="0" xfId="0" applyNumberFormat="1" applyFont="1" applyAlignment="1">
      <alignment horizontal="center"/>
    </xf>
    <xf numFmtId="0" fontId="2" fillId="0" borderId="13" xfId="0" applyFont="1" applyBorder="1"/>
    <xf numFmtId="41" fontId="19" fillId="0" borderId="0" xfId="0" applyNumberFormat="1" applyFont="1" applyAlignment="1">
      <alignment vertical="center"/>
    </xf>
    <xf numFmtId="41" fontId="19" fillId="0" borderId="18" xfId="0" applyNumberFormat="1" applyFont="1" applyBorder="1" applyAlignment="1">
      <alignment vertical="center"/>
    </xf>
    <xf numFmtId="171" fontId="26" fillId="0" borderId="0" xfId="0" applyNumberFormat="1" applyFont="1" applyAlignment="1">
      <alignment vertical="center"/>
    </xf>
    <xf numFmtId="171" fontId="26" fillId="0" borderId="21" xfId="0" applyNumberFormat="1" applyFont="1" applyBorder="1" applyAlignment="1">
      <alignment vertical="center"/>
    </xf>
    <xf numFmtId="0" fontId="26" fillId="11" borderId="18" xfId="0" applyFont="1" applyFill="1" applyBorder="1" applyAlignment="1">
      <alignment horizontal="center" vertical="center"/>
    </xf>
    <xf numFmtId="9" fontId="19" fillId="0" borderId="0" xfId="2" applyFont="1" applyAlignment="1">
      <alignment horizontal="center" vertical="center"/>
    </xf>
    <xf numFmtId="9" fontId="19" fillId="0" borderId="0" xfId="0" applyNumberFormat="1" applyFont="1" applyAlignment="1">
      <alignment horizontal="center" vertical="center"/>
    </xf>
    <xf numFmtId="9" fontId="19" fillId="0" borderId="21" xfId="0" applyNumberFormat="1" applyFont="1" applyBorder="1" applyAlignment="1">
      <alignment horizontal="center" vertical="center"/>
    </xf>
    <xf numFmtId="9" fontId="19" fillId="0" borderId="18" xfId="2" applyFont="1" applyBorder="1" applyAlignment="1">
      <alignment horizontal="center" vertical="center"/>
    </xf>
    <xf numFmtId="0" fontId="2" fillId="0" borderId="21" xfId="0" applyFont="1" applyBorder="1"/>
    <xf numFmtId="0" fontId="0" fillId="0" borderId="21" xfId="0" applyBorder="1"/>
    <xf numFmtId="0" fontId="0" fillId="0" borderId="33" xfId="0" applyBorder="1"/>
    <xf numFmtId="165" fontId="40" fillId="0" borderId="0" xfId="1" applyNumberFormat="1" applyFont="1" applyAlignment="1">
      <alignment horizontal="right"/>
    </xf>
    <xf numFmtId="165" fontId="40" fillId="0" borderId="1" xfId="1" applyNumberFormat="1" applyFont="1" applyBorder="1" applyAlignment="1">
      <alignment horizontal="right"/>
    </xf>
    <xf numFmtId="10" fontId="40" fillId="0" borderId="0" xfId="2" applyNumberFormat="1" applyFont="1" applyAlignment="1">
      <alignment horizontal="right"/>
    </xf>
    <xf numFmtId="10" fontId="40" fillId="0" borderId="1" xfId="2" applyNumberFormat="1" applyFont="1" applyBorder="1" applyAlignment="1">
      <alignment horizontal="right"/>
    </xf>
    <xf numFmtId="0" fontId="41" fillId="0" borderId="0" xfId="0" applyFont="1" applyAlignment="1">
      <alignment horizontal="center"/>
    </xf>
    <xf numFmtId="0" fontId="9" fillId="6" borderId="0" xfId="0" applyFont="1" applyFill="1" applyAlignment="1">
      <alignment horizontal="center"/>
    </xf>
    <xf numFmtId="165" fontId="3" fillId="0" borderId="0" xfId="1" applyNumberFormat="1" applyFont="1" applyBorder="1" applyAlignment="1">
      <alignment horizontal="center"/>
    </xf>
    <xf numFmtId="165" fontId="3" fillId="0" borderId="0" xfId="0" applyNumberFormat="1" applyFont="1" applyAlignment="1">
      <alignment horizontal="center"/>
    </xf>
    <xf numFmtId="164" fontId="10" fillId="0" borderId="0" xfId="0" applyNumberFormat="1" applyFont="1" applyAlignment="1">
      <alignment horizontal="center"/>
    </xf>
    <xf numFmtId="165" fontId="3" fillId="0" borderId="0" xfId="1" applyNumberFormat="1" applyFont="1" applyFill="1" applyBorder="1" applyAlignment="1">
      <alignment horizontal="center"/>
    </xf>
    <xf numFmtId="10" fontId="0" fillId="0" borderId="0" xfId="2" applyNumberFormat="1" applyFont="1" applyFill="1" applyBorder="1" applyAlignment="1">
      <alignment horizontal="right"/>
    </xf>
    <xf numFmtId="165" fontId="2" fillId="0" borderId="0" xfId="1" applyNumberFormat="1" applyFont="1" applyAlignment="1">
      <alignment horizontal="center"/>
    </xf>
    <xf numFmtId="0" fontId="9" fillId="6" borderId="3" xfId="0" applyFont="1" applyFill="1" applyBorder="1" applyAlignment="1">
      <alignment horizontal="right"/>
    </xf>
    <xf numFmtId="0" fontId="9" fillId="6" borderId="0" xfId="0" applyFont="1" applyFill="1" applyAlignment="1">
      <alignment horizontal="right"/>
    </xf>
    <xf numFmtId="0" fontId="2" fillId="4" borderId="0" xfId="0" applyFont="1" applyFill="1" applyAlignment="1">
      <alignment horizontal="right"/>
    </xf>
    <xf numFmtId="43" fontId="3" fillId="0" borderId="0" xfId="0" applyNumberFormat="1" applyFont="1" applyAlignment="1">
      <alignment horizontal="right"/>
    </xf>
    <xf numFmtId="0" fontId="2" fillId="0" borderId="33" xfId="0" applyFont="1" applyBorder="1"/>
    <xf numFmtId="165" fontId="2" fillId="0" borderId="21" xfId="1" applyNumberFormat="1" applyFont="1" applyBorder="1"/>
    <xf numFmtId="0" fontId="2" fillId="0" borderId="19" xfId="0" applyFont="1" applyBorder="1"/>
    <xf numFmtId="0" fontId="2" fillId="0" borderId="34" xfId="0" applyFont="1" applyBorder="1"/>
    <xf numFmtId="165" fontId="2" fillId="0" borderId="19" xfId="1" applyNumberFormat="1" applyFont="1" applyBorder="1"/>
    <xf numFmtId="165" fontId="0" fillId="0" borderId="18" xfId="0" applyNumberFormat="1" applyBorder="1"/>
    <xf numFmtId="9" fontId="26" fillId="0" borderId="0" xfId="0" applyNumberFormat="1" applyFont="1" applyAlignment="1">
      <alignment vertical="center"/>
    </xf>
    <xf numFmtId="171" fontId="27" fillId="0" borderId="0" xfId="0" applyNumberFormat="1" applyFont="1" applyAlignment="1">
      <alignment vertical="center"/>
    </xf>
    <xf numFmtId="174" fontId="0" fillId="0" borderId="0" xfId="1" applyNumberFormat="1" applyFont="1" applyBorder="1"/>
    <xf numFmtId="1" fontId="27" fillId="0" borderId="0" xfId="0" applyNumberFormat="1" applyFont="1" applyAlignment="1">
      <alignment horizontal="center" vertical="center"/>
    </xf>
    <xf numFmtId="168" fontId="36" fillId="10" borderId="14" xfId="0" applyNumberFormat="1" applyFont="1" applyFill="1" applyBorder="1" applyAlignment="1">
      <alignment horizontal="center" vertical="center"/>
    </xf>
    <xf numFmtId="168" fontId="27" fillId="0" borderId="0" xfId="0" applyNumberFormat="1" applyFont="1" applyAlignment="1">
      <alignment horizontal="center" vertical="center"/>
    </xf>
    <xf numFmtId="165" fontId="3" fillId="0" borderId="0" xfId="1" applyNumberFormat="1" applyFont="1" applyBorder="1" applyAlignment="1">
      <alignment horizontal="left" indent="2"/>
    </xf>
    <xf numFmtId="0" fontId="0" fillId="0" borderId="17" xfId="0" applyBorder="1" applyAlignment="1">
      <alignment vertical="center"/>
    </xf>
    <xf numFmtId="165" fontId="3" fillId="0" borderId="18" xfId="1" applyNumberFormat="1" applyFont="1" applyBorder="1"/>
    <xf numFmtId="0" fontId="3" fillId="0" borderId="32" xfId="0" applyFont="1" applyBorder="1"/>
    <xf numFmtId="165" fontId="3" fillId="0" borderId="18" xfId="0" applyNumberFormat="1" applyFont="1" applyBorder="1"/>
    <xf numFmtId="10" fontId="19" fillId="0" borderId="0" xfId="2" applyNumberFormat="1" applyFont="1" applyAlignment="1">
      <alignment horizontal="center" vertical="center"/>
    </xf>
    <xf numFmtId="10" fontId="40" fillId="0" borderId="0" xfId="2" applyNumberFormat="1" applyFont="1" applyBorder="1" applyAlignment="1">
      <alignment horizontal="center"/>
    </xf>
    <xf numFmtId="0" fontId="2" fillId="0" borderId="21" xfId="0" applyFont="1" applyBorder="1" applyAlignment="1">
      <alignment horizontal="left" indent="2"/>
    </xf>
    <xf numFmtId="0" fontId="3" fillId="0" borderId="18" xfId="0" applyFont="1" applyBorder="1" applyAlignment="1">
      <alignment horizontal="left" indent="1"/>
    </xf>
    <xf numFmtId="0" fontId="0" fillId="0" borderId="18" xfId="0" applyBorder="1" applyAlignment="1">
      <alignment horizontal="left" indent="1"/>
    </xf>
    <xf numFmtId="0" fontId="3" fillId="0" borderId="1" xfId="0" applyFont="1" applyBorder="1" applyAlignment="1">
      <alignment horizontal="left" indent="1"/>
    </xf>
    <xf numFmtId="0" fontId="2" fillId="0" borderId="18" xfId="0" applyFont="1" applyBorder="1"/>
    <xf numFmtId="10" fontId="38" fillId="0" borderId="19" xfId="0" applyNumberFormat="1" applyFont="1" applyBorder="1" applyAlignment="1">
      <alignment horizontal="center"/>
    </xf>
    <xf numFmtId="0" fontId="38" fillId="0" borderId="21" xfId="0" applyFont="1" applyBorder="1" applyAlignment="1">
      <alignment horizontal="center"/>
    </xf>
    <xf numFmtId="10" fontId="38" fillId="0" borderId="0" xfId="0" applyNumberFormat="1" applyFont="1" applyAlignment="1">
      <alignment horizontal="center"/>
    </xf>
    <xf numFmtId="10" fontId="38" fillId="0" borderId="18" xfId="0" applyNumberFormat="1" applyFont="1" applyBorder="1" applyAlignment="1">
      <alignment horizontal="center"/>
    </xf>
    <xf numFmtId="0" fontId="2" fillId="0" borderId="3" xfId="0" applyFont="1" applyBorder="1" applyAlignment="1">
      <alignment horizontal="left" indent="1"/>
    </xf>
    <xf numFmtId="0" fontId="16" fillId="0" borderId="3" xfId="0" applyFont="1" applyBorder="1"/>
    <xf numFmtId="0" fontId="16" fillId="0" borderId="12" xfId="0" applyFont="1" applyBorder="1"/>
    <xf numFmtId="165" fontId="16" fillId="0" borderId="3" xfId="0" applyNumberFormat="1" applyFont="1" applyBorder="1"/>
    <xf numFmtId="165" fontId="2" fillId="0" borderId="3" xfId="0" applyNumberFormat="1" applyFont="1" applyBorder="1"/>
    <xf numFmtId="10" fontId="41" fillId="0" borderId="18" xfId="2" applyNumberFormat="1" applyFont="1" applyBorder="1" applyAlignment="1">
      <alignment horizontal="center"/>
    </xf>
    <xf numFmtId="0" fontId="2" fillId="12" borderId="19" xfId="0" applyFont="1" applyFill="1" applyBorder="1"/>
    <xf numFmtId="0" fontId="2" fillId="12" borderId="34" xfId="0" applyFont="1" applyFill="1" applyBorder="1"/>
    <xf numFmtId="165" fontId="2" fillId="12" borderId="19" xfId="0" applyNumberFormat="1" applyFont="1" applyFill="1" applyBorder="1"/>
    <xf numFmtId="170" fontId="19" fillId="0" borderId="0" xfId="0" applyNumberFormat="1" applyFont="1" applyAlignment="1">
      <alignment vertical="center"/>
    </xf>
    <xf numFmtId="0" fontId="7" fillId="0" borderId="0" xfId="0" applyFont="1"/>
    <xf numFmtId="0" fontId="7" fillId="0" borderId="13" xfId="0" applyFont="1" applyBorder="1"/>
    <xf numFmtId="0" fontId="38" fillId="0" borderId="0" xfId="0" applyFont="1" applyAlignment="1">
      <alignment horizontal="left" indent="1"/>
    </xf>
    <xf numFmtId="10" fontId="38" fillId="0" borderId="0" xfId="2" applyNumberFormat="1" applyFont="1" applyAlignment="1">
      <alignment horizontal="right"/>
    </xf>
    <xf numFmtId="10" fontId="40" fillId="0" borderId="0" xfId="2" applyNumberFormat="1" applyFont="1" applyBorder="1" applyAlignment="1">
      <alignment horizontal="right"/>
    </xf>
    <xf numFmtId="174" fontId="0" fillId="0" borderId="0" xfId="0" applyNumberFormat="1" applyAlignment="1">
      <alignment horizontal="center"/>
    </xf>
    <xf numFmtId="0" fontId="2" fillId="4" borderId="3" xfId="0" applyFont="1" applyFill="1" applyBorder="1"/>
    <xf numFmtId="0" fontId="2" fillId="4" borderId="3" xfId="0" applyFont="1" applyFill="1" applyBorder="1" applyAlignment="1">
      <alignment horizontal="right"/>
    </xf>
    <xf numFmtId="171" fontId="2" fillId="4" borderId="3" xfId="0" applyNumberFormat="1" applyFont="1" applyFill="1" applyBorder="1" applyAlignment="1">
      <alignment horizontal="center"/>
    </xf>
    <xf numFmtId="10" fontId="40" fillId="0" borderId="18" xfId="2" applyNumberFormat="1" applyFont="1" applyBorder="1" applyAlignment="1">
      <alignment horizontal="right"/>
    </xf>
    <xf numFmtId="165" fontId="3" fillId="0" borderId="18" xfId="0" applyNumberFormat="1" applyFont="1" applyBorder="1" applyAlignment="1">
      <alignment horizontal="center"/>
    </xf>
    <xf numFmtId="165" fontId="2" fillId="0" borderId="0" xfId="1" applyNumberFormat="1" applyFont="1" applyBorder="1" applyAlignment="1">
      <alignment horizontal="center"/>
    </xf>
    <xf numFmtId="10" fontId="38" fillId="0" borderId="0" xfId="2" applyNumberFormat="1" applyFont="1" applyBorder="1" applyAlignment="1">
      <alignment horizontal="right"/>
    </xf>
    <xf numFmtId="165" fontId="3" fillId="0" borderId="18" xfId="1" applyNumberFormat="1" applyFont="1" applyBorder="1" applyAlignment="1">
      <alignment horizontal="center"/>
    </xf>
    <xf numFmtId="0" fontId="0" fillId="0" borderId="18" xfId="0" applyBorder="1" applyAlignment="1">
      <alignment horizontal="center"/>
    </xf>
    <xf numFmtId="171" fontId="2" fillId="4" borderId="21" xfId="0" applyNumberFormat="1" applyFont="1" applyFill="1" applyBorder="1" applyAlignment="1">
      <alignment horizontal="center"/>
    </xf>
    <xf numFmtId="165" fontId="0" fillId="0" borderId="1" xfId="2" applyNumberFormat="1" applyFont="1" applyBorder="1" applyAlignment="1">
      <alignment horizontal="center"/>
    </xf>
    <xf numFmtId="0" fontId="42" fillId="0" borderId="1" xfId="0" applyFont="1" applyBorder="1"/>
    <xf numFmtId="0" fontId="2" fillId="0" borderId="0" xfId="0" applyFont="1" applyAlignment="1">
      <alignment horizontal="left"/>
    </xf>
    <xf numFmtId="171" fontId="2" fillId="0" borderId="0" xfId="0" applyNumberFormat="1" applyFont="1"/>
    <xf numFmtId="9" fontId="3" fillId="0" borderId="0" xfId="2" applyFont="1" applyFill="1" applyAlignment="1">
      <alignment horizontal="center"/>
    </xf>
    <xf numFmtId="9" fontId="0" fillId="0" borderId="18" xfId="2" applyFont="1" applyBorder="1" applyAlignment="1">
      <alignment horizontal="center"/>
    </xf>
    <xf numFmtId="9" fontId="17" fillId="10" borderId="14" xfId="0" applyNumberFormat="1" applyFont="1" applyFill="1" applyBorder="1" applyAlignment="1">
      <alignment horizontal="center"/>
    </xf>
    <xf numFmtId="9" fontId="17" fillId="10" borderId="35" xfId="0" applyNumberFormat="1" applyFont="1" applyFill="1" applyBorder="1" applyAlignment="1">
      <alignment horizontal="center"/>
    </xf>
    <xf numFmtId="9" fontId="17" fillId="10" borderId="36" xfId="0" applyNumberFormat="1" applyFont="1" applyFill="1" applyBorder="1" applyAlignment="1">
      <alignment horizontal="center"/>
    </xf>
    <xf numFmtId="10" fontId="17" fillId="10" borderId="14" xfId="0" applyNumberFormat="1" applyFont="1" applyFill="1" applyBorder="1" applyAlignment="1">
      <alignment horizontal="center"/>
    </xf>
    <xf numFmtId="171" fontId="12" fillId="0" borderId="0" xfId="0" applyNumberFormat="1" applyFont="1"/>
    <xf numFmtId="0" fontId="38" fillId="4" borderId="3" xfId="0" applyFont="1" applyFill="1" applyBorder="1" applyAlignment="1">
      <alignment horizontal="center"/>
    </xf>
    <xf numFmtId="0" fontId="38" fillId="4" borderId="0" xfId="0" applyFont="1" applyFill="1" applyAlignment="1">
      <alignment horizontal="center"/>
    </xf>
    <xf numFmtId="0" fontId="3" fillId="0" borderId="18" xfId="0" applyFont="1" applyBorder="1" applyAlignment="1">
      <alignment horizontal="right"/>
    </xf>
    <xf numFmtId="0" fontId="10" fillId="6" borderId="0" xfId="0" applyFont="1" applyFill="1" applyAlignment="1">
      <alignment horizontal="center"/>
    </xf>
    <xf numFmtId="0" fontId="13" fillId="0" borderId="0" xfId="0" applyFont="1" applyAlignment="1">
      <alignment horizontal="center"/>
    </xf>
    <xf numFmtId="171" fontId="43" fillId="0" borderId="0" xfId="0" applyNumberFormat="1" applyFont="1"/>
    <xf numFmtId="9" fontId="0" fillId="0" borderId="18" xfId="0" applyNumberFormat="1" applyBorder="1" applyAlignment="1">
      <alignment horizontal="center"/>
    </xf>
    <xf numFmtId="0" fontId="42" fillId="0" borderId="0" xfId="0" applyFont="1"/>
    <xf numFmtId="170" fontId="0" fillId="0" borderId="0" xfId="0" applyNumberFormat="1" applyAlignment="1">
      <alignment horizontal="center"/>
    </xf>
    <xf numFmtId="169" fontId="0" fillId="0" borderId="0" xfId="0" applyNumberFormat="1" applyAlignment="1">
      <alignment horizontal="center"/>
    </xf>
    <xf numFmtId="170" fontId="0" fillId="0" borderId="18" xfId="0" applyNumberFormat="1" applyBorder="1" applyAlignment="1">
      <alignment horizontal="center"/>
    </xf>
    <xf numFmtId="165" fontId="12" fillId="0" borderId="0" xfId="1" applyNumberFormat="1" applyFont="1"/>
    <xf numFmtId="165" fontId="12" fillId="0" borderId="18" xfId="1" applyNumberFormat="1" applyFont="1" applyBorder="1"/>
    <xf numFmtId="170" fontId="0" fillId="0" borderId="18" xfId="0" applyNumberFormat="1" applyBorder="1"/>
    <xf numFmtId="165" fontId="12" fillId="0" borderId="18" xfId="0" applyNumberFormat="1" applyFont="1" applyBorder="1"/>
    <xf numFmtId="169" fontId="17" fillId="10" borderId="36" xfId="0" applyNumberFormat="1" applyFont="1" applyFill="1" applyBorder="1" applyAlignment="1">
      <alignment horizontal="center"/>
    </xf>
    <xf numFmtId="165" fontId="43" fillId="0" borderId="0" xfId="1" applyNumberFormat="1" applyFont="1"/>
    <xf numFmtId="165" fontId="12" fillId="0" borderId="0" xfId="1" applyNumberFormat="1" applyFont="1" applyFill="1" applyBorder="1"/>
    <xf numFmtId="171" fontId="39" fillId="0" borderId="0" xfId="0" applyNumberFormat="1" applyFont="1"/>
    <xf numFmtId="165" fontId="12" fillId="0" borderId="0" xfId="1" applyNumberFormat="1" applyFont="1" applyBorder="1"/>
    <xf numFmtId="165" fontId="12" fillId="0" borderId="18" xfId="1" applyNumberFormat="1" applyFont="1" applyFill="1" applyBorder="1"/>
    <xf numFmtId="171" fontId="28" fillId="0" borderId="0" xfId="0" applyNumberFormat="1" applyFont="1" applyAlignment="1">
      <alignment horizontal="center"/>
    </xf>
    <xf numFmtId="171" fontId="31" fillId="0" borderId="0" xfId="0" applyNumberFormat="1" applyFont="1" applyAlignment="1">
      <alignment horizontal="left"/>
    </xf>
    <xf numFmtId="0" fontId="37" fillId="0" borderId="0" xfId="0" applyFont="1" applyAlignment="1">
      <alignment horizontal="center" vertical="center"/>
    </xf>
    <xf numFmtId="0" fontId="9" fillId="0" borderId="0" xfId="0" applyFont="1"/>
    <xf numFmtId="0" fontId="9" fillId="0" borderId="0" xfId="0" applyFont="1" applyAlignment="1">
      <alignment horizontal="right"/>
    </xf>
    <xf numFmtId="0" fontId="10" fillId="0" borderId="0" xfId="0" applyFont="1" applyAlignment="1">
      <alignment horizontal="center"/>
    </xf>
    <xf numFmtId="0" fontId="9" fillId="6" borderId="37" xfId="0" applyFont="1" applyFill="1" applyBorder="1"/>
    <xf numFmtId="0" fontId="9" fillId="6" borderId="37" xfId="0" applyFont="1" applyFill="1" applyBorder="1" applyAlignment="1">
      <alignment horizontal="center"/>
    </xf>
    <xf numFmtId="0" fontId="9" fillId="6" borderId="37" xfId="0" applyFont="1" applyFill="1" applyBorder="1" applyAlignment="1">
      <alignment horizontal="right"/>
    </xf>
    <xf numFmtId="0" fontId="10" fillId="6" borderId="18" xfId="0" applyFont="1" applyFill="1" applyBorder="1" applyAlignment="1">
      <alignment horizontal="center"/>
    </xf>
    <xf numFmtId="0" fontId="9" fillId="6" borderId="18" xfId="0" applyFont="1" applyFill="1" applyBorder="1" applyAlignment="1">
      <alignment horizontal="center"/>
    </xf>
    <xf numFmtId="165" fontId="3" fillId="0" borderId="0" xfId="1" applyNumberFormat="1" applyFont="1" applyFill="1" applyBorder="1" applyAlignment="1">
      <alignment horizontal="right"/>
    </xf>
    <xf numFmtId="171" fontId="3" fillId="0" borderId="0" xfId="1" applyNumberFormat="1" applyFont="1" applyFill="1" applyBorder="1" applyAlignment="1">
      <alignment horizontal="center"/>
    </xf>
    <xf numFmtId="9" fontId="19" fillId="0" borderId="0" xfId="2" applyFont="1" applyAlignment="1">
      <alignment horizontal="right" vertical="center"/>
    </xf>
    <xf numFmtId="165" fontId="19" fillId="0" borderId="0" xfId="1" applyNumberFormat="1" applyFont="1" applyAlignment="1">
      <alignment vertical="center"/>
    </xf>
    <xf numFmtId="168" fontId="19" fillId="0" borderId="0" xfId="1" applyNumberFormat="1" applyFont="1" applyAlignment="1">
      <alignment horizontal="right" vertical="center"/>
    </xf>
    <xf numFmtId="165" fontId="19" fillId="0" borderId="18" xfId="1" applyNumberFormat="1" applyFont="1" applyBorder="1" applyAlignment="1">
      <alignment vertical="center"/>
    </xf>
    <xf numFmtId="0" fontId="29" fillId="0" borderId="21" xfId="0" applyFont="1" applyBorder="1" applyAlignment="1">
      <alignment horizontal="center" vertical="center"/>
    </xf>
    <xf numFmtId="174" fontId="19" fillId="0" borderId="21" xfId="0" applyNumberFormat="1" applyFont="1" applyBorder="1" applyAlignment="1">
      <alignment vertical="center"/>
    </xf>
    <xf numFmtId="0" fontId="7" fillId="6" borderId="19" xfId="0" applyFont="1" applyFill="1" applyBorder="1"/>
    <xf numFmtId="0" fontId="7" fillId="6" borderId="19" xfId="0" applyFont="1" applyFill="1" applyBorder="1" applyAlignment="1">
      <alignment horizontal="center"/>
    </xf>
    <xf numFmtId="0" fontId="23" fillId="6" borderId="19" xfId="0" applyFont="1" applyFill="1" applyBorder="1" applyAlignment="1">
      <alignment vertical="center"/>
    </xf>
    <xf numFmtId="0" fontId="22" fillId="6" borderId="19" xfId="0" applyFont="1" applyFill="1" applyBorder="1" applyAlignment="1">
      <alignment horizontal="left" vertical="center"/>
    </xf>
    <xf numFmtId="0" fontId="22" fillId="6" borderId="19" xfId="0" applyFont="1" applyFill="1" applyBorder="1" applyAlignment="1">
      <alignment vertical="center"/>
    </xf>
    <xf numFmtId="9" fontId="0" fillId="0" borderId="0" xfId="2" applyFont="1" applyAlignment="1">
      <alignment horizontal="center"/>
    </xf>
    <xf numFmtId="0" fontId="0" fillId="11" borderId="19" xfId="0" applyFill="1" applyBorder="1"/>
    <xf numFmtId="0" fontId="0" fillId="11" borderId="19" xfId="0" applyFill="1" applyBorder="1" applyAlignment="1">
      <alignment horizontal="center"/>
    </xf>
    <xf numFmtId="171" fontId="0" fillId="0" borderId="18" xfId="0" applyNumberFormat="1" applyBorder="1"/>
    <xf numFmtId="0" fontId="0" fillId="11" borderId="39" xfId="0" applyFill="1" applyBorder="1" applyAlignment="1">
      <alignment horizontal="center"/>
    </xf>
    <xf numFmtId="9" fontId="0" fillId="0" borderId="23" xfId="2" applyFont="1" applyBorder="1" applyAlignment="1">
      <alignment horizontal="center"/>
    </xf>
    <xf numFmtId="9" fontId="0" fillId="0" borderId="31" xfId="2" applyFont="1" applyBorder="1" applyAlignment="1">
      <alignment horizontal="center"/>
    </xf>
    <xf numFmtId="0" fontId="0" fillId="0" borderId="40" xfId="0" applyBorder="1"/>
    <xf numFmtId="0" fontId="0" fillId="0" borderId="22" xfId="0" applyBorder="1"/>
    <xf numFmtId="0" fontId="20" fillId="0" borderId="18" xfId="0" applyFont="1" applyBorder="1" applyAlignment="1">
      <alignment horizontal="left" vertical="center"/>
    </xf>
    <xf numFmtId="9" fontId="0" fillId="0" borderId="0" xfId="2" applyFont="1" applyBorder="1" applyAlignment="1">
      <alignment horizontal="center"/>
    </xf>
    <xf numFmtId="9" fontId="19" fillId="0" borderId="23" xfId="0" applyNumberFormat="1" applyFont="1" applyBorder="1" applyAlignment="1">
      <alignment horizontal="center" vertical="center"/>
    </xf>
    <xf numFmtId="9" fontId="19" fillId="0" borderId="39" xfId="0" applyNumberFormat="1" applyFont="1" applyBorder="1" applyAlignment="1">
      <alignment horizontal="center" vertical="center"/>
    </xf>
    <xf numFmtId="0" fontId="22" fillId="6" borderId="21" xfId="0" applyFont="1" applyFill="1" applyBorder="1" applyAlignment="1">
      <alignment vertical="center"/>
    </xf>
    <xf numFmtId="0" fontId="44" fillId="0" borderId="0" xfId="0" applyFont="1" applyAlignment="1">
      <alignment vertical="center"/>
    </xf>
    <xf numFmtId="0" fontId="46" fillId="14" borderId="0" xfId="0" applyFont="1" applyFill="1"/>
    <xf numFmtId="0" fontId="45" fillId="0" borderId="0" xfId="0" applyFont="1"/>
    <xf numFmtId="0" fontId="27" fillId="0" borderId="0" xfId="0" applyFont="1"/>
    <xf numFmtId="0" fontId="27" fillId="0" borderId="45" xfId="0" applyFont="1" applyBorder="1"/>
    <xf numFmtId="0" fontId="27" fillId="0" borderId="44" xfId="0" applyFont="1" applyBorder="1"/>
    <xf numFmtId="1" fontId="47" fillId="0" borderId="45" xfId="0" applyNumberFormat="1" applyFont="1" applyBorder="1" applyAlignment="1">
      <alignment horizontal="right"/>
    </xf>
    <xf numFmtId="175" fontId="47" fillId="0" borderId="44" xfId="0" applyNumberFormat="1" applyFont="1" applyBorder="1" applyAlignment="1">
      <alignment horizontal="right"/>
    </xf>
    <xf numFmtId="175" fontId="47" fillId="0" borderId="45" xfId="0" applyNumberFormat="1" applyFont="1" applyBorder="1" applyAlignment="1">
      <alignment horizontal="right"/>
    </xf>
    <xf numFmtId="171" fontId="47" fillId="0" borderId="0" xfId="0" applyNumberFormat="1" applyFont="1" applyAlignment="1">
      <alignment horizontal="right"/>
    </xf>
    <xf numFmtId="171" fontId="47" fillId="0" borderId="44" xfId="0" applyNumberFormat="1" applyFont="1" applyBorder="1" applyAlignment="1">
      <alignment horizontal="right"/>
    </xf>
    <xf numFmtId="171" fontId="47" fillId="0" borderId="45" xfId="0" applyNumberFormat="1" applyFont="1" applyBorder="1" applyAlignment="1">
      <alignment horizontal="right"/>
    </xf>
    <xf numFmtId="176" fontId="47" fillId="0" borderId="45" xfId="0" applyNumberFormat="1" applyFont="1" applyBorder="1" applyAlignment="1">
      <alignment horizontal="right"/>
    </xf>
    <xf numFmtId="172" fontId="47" fillId="0" borderId="44" xfId="0" applyNumberFormat="1" applyFont="1" applyBorder="1" applyAlignment="1">
      <alignment horizontal="right"/>
    </xf>
    <xf numFmtId="172" fontId="47" fillId="0" borderId="45" xfId="0" applyNumberFormat="1" applyFont="1" applyBorder="1" applyAlignment="1">
      <alignment horizontal="right"/>
    </xf>
    <xf numFmtId="177" fontId="47" fillId="0" borderId="44" xfId="0" applyNumberFormat="1" applyFont="1" applyBorder="1" applyAlignment="1">
      <alignment horizontal="right"/>
    </xf>
    <xf numFmtId="172" fontId="47" fillId="0" borderId="0" xfId="0" applyNumberFormat="1" applyFont="1" applyAlignment="1">
      <alignment horizontal="right"/>
    </xf>
    <xf numFmtId="178" fontId="47" fillId="0" borderId="44" xfId="0" applyNumberFormat="1" applyFont="1" applyBorder="1" applyAlignment="1">
      <alignment horizontal="right"/>
    </xf>
    <xf numFmtId="178" fontId="47" fillId="0" borderId="45" xfId="0" applyNumberFormat="1" applyFont="1" applyBorder="1" applyAlignment="1">
      <alignment horizontal="right"/>
    </xf>
    <xf numFmtId="0" fontId="27" fillId="0" borderId="43" xfId="0" applyFont="1" applyBorder="1"/>
    <xf numFmtId="175" fontId="47" fillId="0" borderId="0" xfId="0" applyNumberFormat="1" applyFont="1" applyAlignment="1">
      <alignment horizontal="right"/>
    </xf>
    <xf numFmtId="177" fontId="47" fillId="0" borderId="45" xfId="0" applyNumberFormat="1" applyFont="1" applyBorder="1" applyAlignment="1">
      <alignment horizontal="right"/>
    </xf>
    <xf numFmtId="178" fontId="47" fillId="0" borderId="0" xfId="0" applyNumberFormat="1" applyFont="1" applyAlignment="1">
      <alignment horizontal="right"/>
    </xf>
    <xf numFmtId="0" fontId="47" fillId="0" borderId="0" xfId="0" applyFont="1" applyAlignment="1">
      <alignment horizontal="right"/>
    </xf>
    <xf numFmtId="0" fontId="47" fillId="0" borderId="45" xfId="0" applyFont="1" applyBorder="1" applyAlignment="1">
      <alignment horizontal="right"/>
    </xf>
    <xf numFmtId="0" fontId="45" fillId="0" borderId="0" xfId="0" applyFont="1" applyAlignment="1">
      <alignment vertical="center"/>
    </xf>
    <xf numFmtId="0" fontId="48" fillId="14" borderId="0" xfId="0" applyFont="1" applyFill="1"/>
    <xf numFmtId="0" fontId="49" fillId="14" borderId="0" xfId="0" applyFont="1" applyFill="1" applyAlignment="1">
      <alignment horizontal="center"/>
    </xf>
    <xf numFmtId="0" fontId="0" fillId="0" borderId="45" xfId="0" applyBorder="1"/>
    <xf numFmtId="0" fontId="0" fillId="0" borderId="44" xfId="0" applyBorder="1"/>
    <xf numFmtId="0" fontId="45" fillId="0" borderId="0" xfId="0" applyFont="1" applyAlignment="1">
      <alignment horizontal="center"/>
    </xf>
    <xf numFmtId="0" fontId="45" fillId="0" borderId="45" xfId="0" applyFont="1" applyBorder="1" applyAlignment="1">
      <alignment horizontal="center"/>
    </xf>
    <xf numFmtId="0" fontId="45" fillId="0" borderId="44" xfId="0" applyFont="1" applyBorder="1" applyAlignment="1">
      <alignment horizontal="center"/>
    </xf>
    <xf numFmtId="0" fontId="48" fillId="14" borderId="18" xfId="0" applyFont="1" applyFill="1" applyBorder="1"/>
    <xf numFmtId="10" fontId="19" fillId="0" borderId="18" xfId="2" applyNumberFormat="1" applyFont="1" applyBorder="1" applyAlignment="1">
      <alignment horizontal="center" vertical="center"/>
    </xf>
    <xf numFmtId="171" fontId="19" fillId="0" borderId="19" xfId="0" applyNumberFormat="1" applyFont="1" applyBorder="1" applyAlignment="1">
      <alignment vertical="center"/>
    </xf>
    <xf numFmtId="9" fontId="19" fillId="0" borderId="18" xfId="0" applyNumberFormat="1" applyFont="1" applyBorder="1" applyAlignment="1">
      <alignment vertical="center"/>
    </xf>
    <xf numFmtId="10" fontId="19" fillId="0" borderId="38" xfId="2" applyNumberFormat="1" applyFont="1" applyBorder="1" applyAlignment="1">
      <alignment horizontal="center" vertical="center"/>
    </xf>
    <xf numFmtId="10" fontId="19" fillId="0" borderId="23" xfId="0" applyNumberFormat="1" applyFont="1" applyBorder="1" applyAlignment="1">
      <alignment horizontal="center" vertical="center"/>
    </xf>
    <xf numFmtId="10" fontId="26" fillId="0" borderId="23" xfId="0" applyNumberFormat="1" applyFont="1" applyBorder="1" applyAlignment="1">
      <alignment horizontal="center" vertical="center"/>
    </xf>
    <xf numFmtId="10" fontId="19" fillId="0" borderId="31" xfId="2" applyNumberFormat="1" applyFont="1" applyBorder="1" applyAlignment="1">
      <alignment horizontal="center" vertical="center"/>
    </xf>
    <xf numFmtId="0" fontId="19" fillId="0" borderId="19" xfId="0" applyFont="1" applyBorder="1" applyAlignment="1">
      <alignment horizontal="center" vertical="center"/>
    </xf>
    <xf numFmtId="10" fontId="19" fillId="0" borderId="19" xfId="2" applyNumberFormat="1" applyFont="1" applyBorder="1" applyAlignment="1">
      <alignment horizontal="center" vertical="center"/>
    </xf>
    <xf numFmtId="10" fontId="19" fillId="0" borderId="39" xfId="2" applyNumberFormat="1" applyFont="1" applyBorder="1" applyAlignment="1">
      <alignment horizontal="center" vertical="center"/>
    </xf>
    <xf numFmtId="165" fontId="19" fillId="0" borderId="18" xfId="1" applyNumberFormat="1" applyFont="1" applyBorder="1" applyAlignment="1">
      <alignment horizontal="center" vertical="center"/>
    </xf>
    <xf numFmtId="165" fontId="26" fillId="0" borderId="18" xfId="1" applyNumberFormat="1" applyFont="1" applyBorder="1" applyAlignment="1">
      <alignment horizontal="center" vertical="center"/>
    </xf>
    <xf numFmtId="10" fontId="19" fillId="0" borderId="0" xfId="2" applyNumberFormat="1" applyFont="1" applyBorder="1" applyAlignment="1">
      <alignment horizontal="center" vertical="center"/>
    </xf>
    <xf numFmtId="0" fontId="26" fillId="0" borderId="18" xfId="0" applyFont="1" applyBorder="1" applyAlignment="1">
      <alignment horizontal="center" vertical="center"/>
    </xf>
    <xf numFmtId="0" fontId="26" fillId="0" borderId="0" xfId="0" applyFont="1" applyAlignment="1">
      <alignment horizontal="center" vertical="center"/>
    </xf>
    <xf numFmtId="0" fontId="26" fillId="0" borderId="22" xfId="0" applyFont="1" applyBorder="1" applyAlignment="1">
      <alignment horizontal="center" vertical="center"/>
    </xf>
    <xf numFmtId="10" fontId="19" fillId="0" borderId="21" xfId="2" applyNumberFormat="1" applyFont="1" applyBorder="1" applyAlignment="1">
      <alignment vertical="center"/>
    </xf>
    <xf numFmtId="10" fontId="19" fillId="0" borderId="0" xfId="2" applyNumberFormat="1" applyFont="1" applyBorder="1" applyAlignment="1">
      <alignment vertical="center"/>
    </xf>
    <xf numFmtId="10" fontId="19" fillId="0" borderId="31" xfId="0" applyNumberFormat="1" applyFont="1" applyBorder="1" applyAlignment="1">
      <alignment horizontal="center" vertical="center"/>
    </xf>
    <xf numFmtId="10" fontId="19" fillId="0" borderId="18" xfId="2" applyNumberFormat="1" applyFont="1" applyBorder="1" applyAlignment="1">
      <alignment vertical="center"/>
    </xf>
    <xf numFmtId="0" fontId="26" fillId="12" borderId="42" xfId="0" applyFont="1" applyFill="1" applyBorder="1" applyAlignment="1">
      <alignment horizontal="center" vertical="center"/>
    </xf>
    <xf numFmtId="10" fontId="19" fillId="0" borderId="39" xfId="0" applyNumberFormat="1" applyFont="1" applyBorder="1" applyAlignment="1">
      <alignment horizontal="center" vertical="center"/>
    </xf>
    <xf numFmtId="10" fontId="26" fillId="0" borderId="18" xfId="2" applyNumberFormat="1" applyFont="1" applyBorder="1" applyAlignment="1">
      <alignment horizontal="center" vertical="center"/>
    </xf>
    <xf numFmtId="10" fontId="21" fillId="0" borderId="39" xfId="0" applyNumberFormat="1" applyFont="1" applyBorder="1" applyAlignment="1">
      <alignment horizontal="center" vertical="center"/>
    </xf>
    <xf numFmtId="171" fontId="19" fillId="0" borderId="19" xfId="2" applyNumberFormat="1" applyFont="1" applyBorder="1" applyAlignment="1">
      <alignment horizontal="center" vertical="center"/>
    </xf>
    <xf numFmtId="172" fontId="19" fillId="0" borderId="39" xfId="2" applyNumberFormat="1" applyFont="1" applyBorder="1" applyAlignment="1">
      <alignment horizontal="center" vertical="center"/>
    </xf>
    <xf numFmtId="1" fontId="19" fillId="0" borderId="38" xfId="1" applyNumberFormat="1" applyFont="1" applyBorder="1" applyAlignment="1">
      <alignment horizontal="center" vertical="center"/>
    </xf>
    <xf numFmtId="1" fontId="19" fillId="0" borderId="23" xfId="1" applyNumberFormat="1" applyFont="1" applyBorder="1" applyAlignment="1">
      <alignment horizontal="center" vertical="center"/>
    </xf>
    <xf numFmtId="1" fontId="26" fillId="0" borderId="23" xfId="1" applyNumberFormat="1" applyFont="1" applyBorder="1" applyAlignment="1">
      <alignment horizontal="center" vertical="center"/>
    </xf>
    <xf numFmtId="1" fontId="19" fillId="0" borderId="31" xfId="1" applyNumberFormat="1" applyFont="1" applyBorder="1" applyAlignment="1">
      <alignment horizontal="center" vertical="center"/>
    </xf>
    <xf numFmtId="10" fontId="26" fillId="0" borderId="23" xfId="1" applyNumberFormat="1" applyFont="1" applyBorder="1" applyAlignment="1">
      <alignment horizontal="center" vertical="center"/>
    </xf>
    <xf numFmtId="10" fontId="19" fillId="0" borderId="23" xfId="2" applyNumberFormat="1" applyFont="1" applyBorder="1" applyAlignment="1">
      <alignment horizontal="center" vertical="center"/>
    </xf>
    <xf numFmtId="10" fontId="19" fillId="0" borderId="40" xfId="2" applyNumberFormat="1" applyFont="1" applyBorder="1" applyAlignment="1">
      <alignment horizontal="center" vertical="center"/>
    </xf>
    <xf numFmtId="0" fontId="26" fillId="0" borderId="40" xfId="0" applyFont="1" applyBorder="1" applyAlignment="1">
      <alignment horizontal="right" vertical="center"/>
    </xf>
    <xf numFmtId="0" fontId="19" fillId="0" borderId="31" xfId="0" applyFont="1" applyBorder="1" applyAlignment="1">
      <alignment vertical="center"/>
    </xf>
    <xf numFmtId="10" fontId="19" fillId="0" borderId="38" xfId="2" applyNumberFormat="1" applyFont="1" applyBorder="1" applyAlignment="1">
      <alignment vertical="center"/>
    </xf>
    <xf numFmtId="10" fontId="19" fillId="0" borderId="23" xfId="2" applyNumberFormat="1" applyFont="1" applyBorder="1" applyAlignment="1">
      <alignment vertical="center"/>
    </xf>
    <xf numFmtId="10" fontId="19" fillId="0" borderId="31" xfId="2" applyNumberFormat="1" applyFont="1" applyBorder="1" applyAlignment="1">
      <alignment vertical="center"/>
    </xf>
    <xf numFmtId="165" fontId="19" fillId="0" borderId="31" xfId="1" applyNumberFormat="1" applyFont="1" applyBorder="1" applyAlignment="1">
      <alignment horizontal="center" vertical="center"/>
    </xf>
    <xf numFmtId="0" fontId="25" fillId="0" borderId="0" xfId="0" applyFont="1"/>
    <xf numFmtId="0" fontId="25" fillId="0" borderId="0" xfId="0" applyFont="1" applyAlignment="1">
      <alignment horizontal="centerContinuous"/>
    </xf>
    <xf numFmtId="10" fontId="21" fillId="0" borderId="0" xfId="0" applyNumberFormat="1" applyFont="1" applyAlignment="1">
      <alignment horizontal="right"/>
    </xf>
    <xf numFmtId="10" fontId="25" fillId="16" borderId="0" xfId="0" applyNumberFormat="1" applyFont="1" applyFill="1" applyAlignment="1">
      <alignment horizontal="right"/>
    </xf>
    <xf numFmtId="0" fontId="25" fillId="15" borderId="19" xfId="0" applyFont="1" applyFill="1" applyBorder="1"/>
    <xf numFmtId="10" fontId="25" fillId="15" borderId="19" xfId="0" applyNumberFormat="1" applyFont="1" applyFill="1" applyBorder="1"/>
    <xf numFmtId="180" fontId="25" fillId="15" borderId="19" xfId="0" applyNumberFormat="1" applyFont="1" applyFill="1" applyBorder="1" applyAlignment="1">
      <alignment horizontal="right"/>
    </xf>
    <xf numFmtId="10" fontId="25" fillId="15" borderId="38" xfId="0" applyNumberFormat="1" applyFont="1" applyFill="1" applyBorder="1" applyAlignment="1">
      <alignment horizontal="right"/>
    </xf>
    <xf numFmtId="10" fontId="25" fillId="15" borderId="23" xfId="0" applyNumberFormat="1" applyFont="1" applyFill="1" applyBorder="1" applyAlignment="1">
      <alignment horizontal="right"/>
    </xf>
    <xf numFmtId="10" fontId="25" fillId="15" borderId="31" xfId="0" applyNumberFormat="1" applyFont="1" applyFill="1" applyBorder="1" applyAlignment="1">
      <alignment horizontal="right"/>
    </xf>
    <xf numFmtId="10" fontId="21" fillId="0" borderId="18" xfId="0" applyNumberFormat="1" applyFont="1" applyBorder="1" applyAlignment="1">
      <alignment horizontal="right"/>
    </xf>
    <xf numFmtId="10" fontId="25" fillId="15" borderId="19" xfId="0" applyNumberFormat="1" applyFont="1" applyFill="1" applyBorder="1" applyAlignment="1">
      <alignment horizontal="right"/>
    </xf>
    <xf numFmtId="10" fontId="21" fillId="0" borderId="21" xfId="0" applyNumberFormat="1" applyFont="1" applyBorder="1" applyAlignment="1">
      <alignment horizontal="right"/>
    </xf>
    <xf numFmtId="179" fontId="25" fillId="15" borderId="38" xfId="0" applyNumberFormat="1" applyFont="1" applyFill="1" applyBorder="1" applyAlignment="1">
      <alignment horizontal="right"/>
    </xf>
    <xf numFmtId="179" fontId="25" fillId="15" borderId="23" xfId="0" applyNumberFormat="1" applyFont="1" applyFill="1" applyBorder="1" applyAlignment="1">
      <alignment horizontal="right"/>
    </xf>
    <xf numFmtId="179" fontId="25" fillId="15" borderId="31" xfId="0" applyNumberFormat="1" applyFont="1" applyFill="1" applyBorder="1" applyAlignment="1">
      <alignment horizontal="right"/>
    </xf>
    <xf numFmtId="0" fontId="50" fillId="0" borderId="0" xfId="0" applyFont="1"/>
    <xf numFmtId="0" fontId="18" fillId="0" borderId="0" xfId="0" applyFont="1"/>
    <xf numFmtId="0" fontId="51" fillId="0" borderId="0" xfId="0" applyFont="1"/>
    <xf numFmtId="0" fontId="52" fillId="14" borderId="0" xfId="0" applyFont="1" applyFill="1"/>
    <xf numFmtId="0" fontId="52" fillId="14" borderId="0" xfId="0" applyFont="1" applyFill="1" applyAlignment="1">
      <alignment horizontal="right"/>
    </xf>
    <xf numFmtId="0" fontId="50" fillId="14" borderId="0" xfId="0" applyFont="1" applyFill="1"/>
    <xf numFmtId="3" fontId="53" fillId="0" borderId="0" xfId="0" applyNumberFormat="1" applyFont="1"/>
    <xf numFmtId="175" fontId="50" fillId="0" borderId="0" xfId="0" applyNumberFormat="1" applyFont="1"/>
    <xf numFmtId="0" fontId="55" fillId="15" borderId="0" xfId="0" applyFont="1" applyFill="1"/>
    <xf numFmtId="0" fontId="56" fillId="0" borderId="0" xfId="0" applyFont="1"/>
    <xf numFmtId="171" fontId="56" fillId="0" borderId="0" xfId="0" applyNumberFormat="1" applyFont="1"/>
    <xf numFmtId="178" fontId="56" fillId="0" borderId="0" xfId="0" applyNumberFormat="1" applyFont="1"/>
    <xf numFmtId="172" fontId="56" fillId="0" borderId="0" xfId="0" applyNumberFormat="1" applyFont="1"/>
    <xf numFmtId="171" fontId="53" fillId="0" borderId="0" xfId="0" applyNumberFormat="1" applyFont="1"/>
    <xf numFmtId="0" fontId="57" fillId="0" borderId="46" xfId="0" applyFont="1" applyBorder="1"/>
    <xf numFmtId="171" fontId="57" fillId="0" borderId="46" xfId="0" applyNumberFormat="1" applyFont="1" applyBorder="1"/>
    <xf numFmtId="178" fontId="57" fillId="0" borderId="46" xfId="0" applyNumberFormat="1" applyFont="1" applyBorder="1"/>
    <xf numFmtId="172" fontId="57" fillId="0" borderId="46" xfId="0" applyNumberFormat="1" applyFont="1" applyBorder="1"/>
    <xf numFmtId="0" fontId="51" fillId="0" borderId="0" xfId="0" applyFont="1" applyAlignment="1">
      <alignment horizontal="right"/>
    </xf>
    <xf numFmtId="178" fontId="53" fillId="0" borderId="0" xfId="0" applyNumberFormat="1" applyFont="1"/>
    <xf numFmtId="0" fontId="52" fillId="14" borderId="0" xfId="0" applyFont="1" applyFill="1" applyAlignment="1">
      <alignment horizontal="center"/>
    </xf>
    <xf numFmtId="171" fontId="54" fillId="10" borderId="14" xfId="0" applyNumberFormat="1" applyFont="1" applyFill="1" applyBorder="1" applyAlignment="1">
      <alignment horizontal="center"/>
    </xf>
    <xf numFmtId="3" fontId="54" fillId="10" borderId="14" xfId="0" applyNumberFormat="1" applyFont="1" applyFill="1" applyBorder="1" applyAlignment="1">
      <alignment horizontal="center"/>
    </xf>
    <xf numFmtId="177" fontId="56" fillId="10" borderId="14" xfId="0" applyNumberFormat="1" applyFont="1" applyFill="1" applyBorder="1" applyAlignment="1">
      <alignment horizontal="center"/>
    </xf>
    <xf numFmtId="0" fontId="55" fillId="11" borderId="0" xfId="0" applyFont="1" applyFill="1"/>
    <xf numFmtId="0" fontId="58" fillId="11" borderId="0" xfId="0" applyFont="1" applyFill="1" applyAlignment="1">
      <alignment horizontal="right"/>
    </xf>
    <xf numFmtId="171" fontId="57" fillId="11" borderId="0" xfId="0" applyNumberFormat="1" applyFont="1" applyFill="1"/>
    <xf numFmtId="172" fontId="57" fillId="11" borderId="0" xfId="0" applyNumberFormat="1" applyFont="1" applyFill="1"/>
    <xf numFmtId="0" fontId="57" fillId="11" borderId="47" xfId="0" applyFont="1" applyFill="1" applyBorder="1"/>
    <xf numFmtId="171" fontId="57" fillId="11" borderId="47" xfId="0" applyNumberFormat="1" applyFont="1" applyFill="1" applyBorder="1"/>
    <xf numFmtId="178" fontId="57" fillId="11" borderId="47" xfId="0" applyNumberFormat="1" applyFont="1" applyFill="1" applyBorder="1"/>
    <xf numFmtId="172" fontId="57" fillId="11" borderId="47" xfId="0" applyNumberFormat="1" applyFont="1" applyFill="1" applyBorder="1"/>
    <xf numFmtId="0" fontId="59" fillId="6" borderId="0" xfId="0" applyFont="1" applyFill="1"/>
    <xf numFmtId="171" fontId="41" fillId="0" borderId="0" xfId="0" applyNumberFormat="1" applyFont="1"/>
    <xf numFmtId="165" fontId="41" fillId="0" borderId="18" xfId="1" applyNumberFormat="1" applyFont="1" applyBorder="1"/>
    <xf numFmtId="10" fontId="41" fillId="0" borderId="0" xfId="0" applyNumberFormat="1" applyFont="1"/>
    <xf numFmtId="171" fontId="16" fillId="0" borderId="0" xfId="0" applyNumberFormat="1" applyFont="1"/>
    <xf numFmtId="171" fontId="41" fillId="0" borderId="18" xfId="0" applyNumberFormat="1" applyFont="1" applyBorder="1"/>
    <xf numFmtId="0" fontId="0" fillId="5" borderId="21" xfId="0" applyFill="1" applyBorder="1"/>
    <xf numFmtId="0" fontId="0" fillId="5" borderId="18" xfId="0" applyFill="1" applyBorder="1"/>
    <xf numFmtId="0" fontId="7" fillId="0" borderId="0" xfId="0" applyFont="1" applyAlignment="1">
      <alignment horizontal="center"/>
    </xf>
    <xf numFmtId="10" fontId="0" fillId="0" borderId="0" xfId="2" applyNumberFormat="1" applyFont="1" applyFill="1" applyAlignment="1">
      <alignment horizontal="center"/>
    </xf>
    <xf numFmtId="165" fontId="0" fillId="0" borderId="0" xfId="1" applyNumberFormat="1" applyFont="1" applyFill="1" applyAlignment="1">
      <alignment horizontal="center"/>
    </xf>
    <xf numFmtId="165" fontId="0" fillId="0" borderId="1" xfId="1" applyNumberFormat="1" applyFont="1" applyFill="1" applyBorder="1" applyAlignment="1">
      <alignment horizontal="center"/>
    </xf>
    <xf numFmtId="10" fontId="0" fillId="0" borderId="0" xfId="2" applyNumberFormat="1" applyFont="1" applyFill="1"/>
    <xf numFmtId="165" fontId="0" fillId="0" borderId="1" xfId="1" applyNumberFormat="1" applyFont="1" applyFill="1" applyBorder="1"/>
    <xf numFmtId="165" fontId="2" fillId="0" borderId="21" xfId="1" applyNumberFormat="1" applyFont="1" applyFill="1" applyBorder="1"/>
    <xf numFmtId="165" fontId="2" fillId="0" borderId="19" xfId="1" applyNumberFormat="1" applyFont="1" applyFill="1" applyBorder="1"/>
    <xf numFmtId="165" fontId="0" fillId="0" borderId="18" xfId="1" applyNumberFormat="1" applyFont="1" applyFill="1" applyBorder="1"/>
    <xf numFmtId="165" fontId="0" fillId="0" borderId="0" xfId="1" applyNumberFormat="1" applyFont="1" applyFill="1"/>
    <xf numFmtId="174" fontId="0" fillId="0" borderId="0" xfId="1" applyNumberFormat="1" applyFont="1" applyFill="1" applyBorder="1"/>
    <xf numFmtId="165" fontId="2" fillId="0" borderId="19" xfId="0" applyNumberFormat="1" applyFont="1" applyBorder="1"/>
    <xf numFmtId="0" fontId="27" fillId="0" borderId="19" xfId="0" applyFont="1" applyBorder="1"/>
    <xf numFmtId="172" fontId="27" fillId="0" borderId="0" xfId="1" applyNumberFormat="1" applyFont="1" applyBorder="1"/>
    <xf numFmtId="172" fontId="27" fillId="0" borderId="1" xfId="1" applyNumberFormat="1" applyFont="1" applyBorder="1"/>
    <xf numFmtId="0" fontId="27" fillId="0" borderId="13" xfId="0" applyFont="1" applyBorder="1" applyAlignment="1">
      <alignment horizontal="center"/>
    </xf>
    <xf numFmtId="0" fontId="60" fillId="0" borderId="48" xfId="0" applyFont="1" applyBorder="1" applyAlignment="1">
      <alignment horizontal="center" vertical="center"/>
    </xf>
    <xf numFmtId="0" fontId="60" fillId="0" borderId="49" xfId="0" applyFont="1" applyBorder="1" applyAlignment="1">
      <alignment horizontal="center" vertical="center"/>
    </xf>
    <xf numFmtId="0" fontId="60" fillId="0" borderId="50" xfId="0" applyFont="1" applyBorder="1" applyAlignment="1">
      <alignment horizontal="center" vertical="center"/>
    </xf>
    <xf numFmtId="0" fontId="61" fillId="14" borderId="0" xfId="0" applyFont="1" applyFill="1" applyAlignment="1">
      <alignment vertical="center"/>
    </xf>
    <xf numFmtId="0" fontId="62" fillId="14" borderId="0" xfId="0" applyFont="1" applyFill="1"/>
    <xf numFmtId="171" fontId="62" fillId="14" borderId="0" xfId="0" applyNumberFormat="1" applyFont="1" applyFill="1"/>
    <xf numFmtId="171" fontId="29" fillId="5" borderId="21" xfId="0" applyNumberFormat="1" applyFont="1" applyFill="1" applyBorder="1" applyAlignment="1">
      <alignment horizontal="center"/>
    </xf>
    <xf numFmtId="0" fontId="29" fillId="5" borderId="0" xfId="0" applyFont="1" applyFill="1" applyAlignment="1">
      <alignment horizontal="center"/>
    </xf>
    <xf numFmtId="0" fontId="29" fillId="5" borderId="18" xfId="0" applyFont="1" applyFill="1" applyBorder="1" applyAlignment="1">
      <alignment horizontal="center"/>
    </xf>
    <xf numFmtId="10" fontId="17" fillId="5" borderId="21" xfId="2" applyNumberFormat="1" applyFont="1" applyFill="1" applyBorder="1"/>
    <xf numFmtId="174" fontId="17" fillId="5" borderId="0" xfId="0" applyNumberFormat="1" applyFont="1" applyFill="1"/>
    <xf numFmtId="171" fontId="17" fillId="5" borderId="18" xfId="0" applyNumberFormat="1" applyFont="1" applyFill="1" applyBorder="1"/>
    <xf numFmtId="181" fontId="0" fillId="0" borderId="0" xfId="0" applyNumberFormat="1" applyAlignment="1">
      <alignment horizontal="center"/>
    </xf>
    <xf numFmtId="0" fontId="0" fillId="17" borderId="0" xfId="0" applyFill="1"/>
    <xf numFmtId="0" fontId="0" fillId="11" borderId="0" xfId="0" applyFill="1"/>
    <xf numFmtId="0" fontId="0" fillId="10" borderId="0" xfId="0" applyFill="1"/>
    <xf numFmtId="0" fontId="64" fillId="0" borderId="0" xfId="4" applyFont="1"/>
    <xf numFmtId="0" fontId="21" fillId="0" borderId="21" xfId="0" applyFont="1" applyBorder="1" applyAlignment="1">
      <alignment horizontal="center" vertical="center" textRotation="90"/>
    </xf>
    <xf numFmtId="0" fontId="21" fillId="0" borderId="0" xfId="0" applyFont="1" applyAlignment="1">
      <alignment horizontal="center" vertical="center" textRotation="90"/>
    </xf>
    <xf numFmtId="0" fontId="21" fillId="0" borderId="18" xfId="0" applyFont="1" applyBorder="1" applyAlignment="1">
      <alignment horizontal="center" vertical="center" textRotation="90"/>
    </xf>
    <xf numFmtId="0" fontId="25" fillId="0" borderId="21" xfId="0" applyFont="1" applyBorder="1" applyAlignment="1">
      <alignment horizontal="center" vertical="center" textRotation="90"/>
    </xf>
    <xf numFmtId="0" fontId="25" fillId="0" borderId="0" xfId="0" applyFont="1" applyAlignment="1">
      <alignment horizontal="center" vertical="center" textRotation="90"/>
    </xf>
    <xf numFmtId="0" fontId="25" fillId="0" borderId="18" xfId="0" applyFont="1" applyBorder="1" applyAlignment="1">
      <alignment horizontal="center" vertical="center" textRotation="90"/>
    </xf>
    <xf numFmtId="0" fontId="30" fillId="0" borderId="0" xfId="0" applyFont="1" applyAlignment="1">
      <alignment horizontal="center"/>
    </xf>
    <xf numFmtId="0" fontId="19" fillId="8" borderId="1" xfId="0" applyFont="1" applyFill="1" applyBorder="1" applyAlignment="1">
      <alignment horizontal="center"/>
    </xf>
    <xf numFmtId="0" fontId="19" fillId="8" borderId="24" xfId="0" applyFont="1" applyFill="1" applyBorder="1" applyAlignment="1">
      <alignment horizontal="center"/>
    </xf>
    <xf numFmtId="0" fontId="19" fillId="13" borderId="30" xfId="0" applyFont="1" applyFill="1" applyBorder="1" applyAlignment="1">
      <alignment horizontal="center"/>
    </xf>
    <xf numFmtId="0" fontId="19" fillId="13" borderId="24" xfId="0" applyFont="1" applyFill="1" applyBorder="1" applyAlignment="1">
      <alignment horizontal="center"/>
    </xf>
    <xf numFmtId="0" fontId="19" fillId="0" borderId="17" xfId="0" quotePrefix="1" applyFont="1" applyBorder="1" applyAlignment="1">
      <alignment horizontal="left" vertical="center"/>
    </xf>
    <xf numFmtId="0" fontId="21" fillId="0" borderId="20" xfId="0" applyFont="1" applyBorder="1" applyAlignment="1">
      <alignment horizontal="left" vertical="center"/>
    </xf>
    <xf numFmtId="0" fontId="21" fillId="0" borderId="17" xfId="0" applyFont="1" applyBorder="1" applyAlignment="1">
      <alignment horizontal="left" vertical="center"/>
    </xf>
    <xf numFmtId="0" fontId="0" fillId="0" borderId="17" xfId="0" applyBorder="1" applyAlignment="1">
      <alignment horizontal="left" vertical="center"/>
    </xf>
    <xf numFmtId="0" fontId="19" fillId="0" borderId="20" xfId="0" quotePrefix="1" applyFont="1" applyBorder="1" applyAlignment="1">
      <alignment horizontal="left" vertical="center" wrapText="1"/>
    </xf>
    <xf numFmtId="0" fontId="0" fillId="0" borderId="20" xfId="0" applyBorder="1" applyAlignment="1">
      <alignment horizontal="left" vertical="center" wrapText="1"/>
    </xf>
    <xf numFmtId="0" fontId="0" fillId="0" borderId="17" xfId="0" applyBorder="1" applyAlignment="1">
      <alignment horizontal="left" vertical="center" wrapText="1"/>
    </xf>
    <xf numFmtId="0" fontId="21" fillId="0" borderId="0" xfId="0" applyFont="1" applyAlignment="1">
      <alignment horizontal="left" vertical="center"/>
    </xf>
    <xf numFmtId="0" fontId="19" fillId="0" borderId="17" xfId="0" quotePrefix="1" applyFont="1" applyBorder="1" applyAlignment="1">
      <alignment horizontal="left" vertical="center" wrapText="1"/>
    </xf>
    <xf numFmtId="0" fontId="21" fillId="0" borderId="20" xfId="0" applyFont="1" applyBorder="1" applyAlignment="1">
      <alignment horizontal="center" vertical="center"/>
    </xf>
    <xf numFmtId="0" fontId="21" fillId="0" borderId="17" xfId="0" applyFont="1" applyBorder="1" applyAlignment="1">
      <alignment horizontal="center" vertical="center"/>
    </xf>
    <xf numFmtId="0" fontId="19" fillId="0" borderId="21" xfId="0" applyFont="1" applyBorder="1" applyAlignment="1">
      <alignment horizontal="center" vertical="center"/>
    </xf>
    <xf numFmtId="0" fontId="19" fillId="0" borderId="17" xfId="0" applyFont="1" applyBorder="1" applyAlignment="1">
      <alignment horizontal="center" vertical="center"/>
    </xf>
    <xf numFmtId="0" fontId="21" fillId="0" borderId="21" xfId="0" applyFont="1" applyBorder="1" applyAlignment="1">
      <alignment horizontal="left" vertical="center"/>
    </xf>
    <xf numFmtId="0" fontId="21" fillId="0" borderId="0" xfId="0" applyFont="1" applyAlignment="1">
      <alignment horizontal="left" vertical="center" wrapText="1"/>
    </xf>
    <xf numFmtId="0" fontId="21" fillId="0" borderId="17" xfId="0" applyFont="1" applyBorder="1" applyAlignment="1">
      <alignment horizontal="left" vertical="center" wrapText="1"/>
    </xf>
    <xf numFmtId="0" fontId="26" fillId="0" borderId="41" xfId="0" applyFont="1" applyBorder="1" applyAlignment="1">
      <alignment horizontal="center" vertical="center" textRotation="90"/>
    </xf>
    <xf numFmtId="0" fontId="26" fillId="0" borderId="22" xfId="0" applyFont="1" applyBorder="1" applyAlignment="1">
      <alignment horizontal="center" vertical="center" textRotation="90"/>
    </xf>
    <xf numFmtId="0" fontId="26" fillId="0" borderId="40" xfId="0" applyFont="1" applyBorder="1" applyAlignment="1">
      <alignment horizontal="center" vertical="center" textRotation="90"/>
    </xf>
    <xf numFmtId="0" fontId="33" fillId="0" borderId="0" xfId="0" applyFont="1" applyAlignment="1">
      <alignment vertical="center"/>
    </xf>
    <xf numFmtId="0" fontId="65" fillId="0" borderId="0" xfId="0" applyFont="1" applyAlignment="1">
      <alignment vertical="center"/>
    </xf>
    <xf numFmtId="0" fontId="0" fillId="0" borderId="0" xfId="0" applyAlignment="1">
      <alignment horizontal="left" vertical="top" wrapText="1"/>
    </xf>
    <xf numFmtId="0" fontId="66" fillId="0" borderId="0" xfId="0" applyFont="1" applyAlignment="1">
      <alignment horizontal="left" vertical="top" wrapText="1" readingOrder="1"/>
    </xf>
    <xf numFmtId="0" fontId="67" fillId="0" borderId="0" xfId="0" applyFont="1" applyAlignment="1">
      <alignment horizontal="left" vertical="top" wrapText="1"/>
    </xf>
    <xf numFmtId="0" fontId="67" fillId="0" borderId="0" xfId="0" applyFont="1" applyAlignment="1">
      <alignment horizontal="left" vertical="top" wrapText="1"/>
    </xf>
    <xf numFmtId="0" fontId="67" fillId="0" borderId="0" xfId="0" applyFont="1" applyAlignment="1">
      <alignment vertical="top" wrapText="1"/>
    </xf>
    <xf numFmtId="0" fontId="66" fillId="0" borderId="0" xfId="0" applyFont="1" applyAlignment="1">
      <alignment horizontal="left" vertical="top" wrapText="1" readingOrder="1"/>
    </xf>
    <xf numFmtId="0" fontId="66" fillId="0" borderId="0" xfId="0" applyFont="1" applyAlignment="1">
      <alignment horizontal="left" vertical="top" wrapText="1"/>
    </xf>
    <xf numFmtId="0" fontId="66" fillId="0" borderId="0" xfId="0" applyFont="1" applyAlignment="1">
      <alignment horizontal="left" vertical="top" wrapText="1"/>
    </xf>
    <xf numFmtId="0" fontId="66" fillId="0" borderId="0" xfId="0" applyFont="1" applyAlignment="1">
      <alignment vertical="top" wrapText="1"/>
    </xf>
  </cellXfs>
  <cellStyles count="5">
    <cellStyle name="Comma" xfId="1" builtinId="3"/>
    <cellStyle name="Hyperlink" xfId="4" builtinId="8"/>
    <cellStyle name="Normal" xfId="0" builtinId="0"/>
    <cellStyle name="Normal 2" xfId="3" xr:uid="{3ECF7AAA-418E-1845-B33D-B2F4A9830394}"/>
    <cellStyle name="Percent" xfId="2" builtinId="5"/>
  </cellStyles>
  <dxfs count="6">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0"/>
      </font>
      <fill>
        <patternFill>
          <bgColor theme="3" tint="0.24994659260841701"/>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99"/>
      <color rgb="FF1C1EFF"/>
      <color rgb="FFCD3C3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en-US"/>
              <a:t>Annual NOI &amp; Debt Service Coverage</a:t>
            </a:r>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en-TH"/>
        </a:p>
      </c:txPr>
    </c:title>
    <c:autoTitleDeleted val="0"/>
    <c:plotArea>
      <c:layout/>
      <c:barChart>
        <c:barDir val="col"/>
        <c:grouping val="clustered"/>
        <c:varyColors val="0"/>
        <c:ser>
          <c:idx val="0"/>
          <c:order val="0"/>
          <c:tx>
            <c:v>NOI</c:v>
          </c:tx>
          <c:spPr>
            <a:solidFill>
              <a:srgbClr val="215C98"/>
            </a:solidFill>
            <a:ln>
              <a:noFill/>
            </a:ln>
            <a:effectLst/>
          </c:spPr>
          <c:invertIfNegative val="0"/>
          <c:cat>
            <c:numRef>
              <c:f>Deal_Summary!$G$6:$P$6</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Deal_Summary!$G$18:$P$18</c:f>
              <c:numCache>
                <c:formatCode>_(* #,##0_);_(* \(#,##0\);_(* "-"??_);_(@_)</c:formatCode>
                <c:ptCount val="10"/>
                <c:pt idx="0">
                  <c:v>286143.71932200011</c:v>
                </c:pt>
                <c:pt idx="1">
                  <c:v>350216.17443475017</c:v>
                </c:pt>
                <c:pt idx="2">
                  <c:v>359248.57955811871</c:v>
                </c:pt>
                <c:pt idx="3">
                  <c:v>368512.33482482168</c:v>
                </c:pt>
                <c:pt idx="4">
                  <c:v>378013.33478874725</c:v>
                </c:pt>
                <c:pt idx="5">
                  <c:v>387757.62358363677</c:v>
                </c:pt>
                <c:pt idx="6">
                  <c:v>397751.39870690223</c:v>
                </c:pt>
                <c:pt idx="7">
                  <c:v>408001.0148989227</c:v>
                </c:pt>
                <c:pt idx="8">
                  <c:v>418512.98812023073</c:v>
                </c:pt>
                <c:pt idx="9">
                  <c:v>429293.99962904822</c:v>
                </c:pt>
              </c:numCache>
            </c:numRef>
          </c:val>
          <c:extLst>
            <c:ext xmlns:c16="http://schemas.microsoft.com/office/drawing/2014/chart" uri="{C3380CC4-5D6E-409C-BE32-E72D297353CC}">
              <c16:uniqueId val="{00000000-263E-6040-AFDE-D867DA98F1D0}"/>
            </c:ext>
          </c:extLst>
        </c:ser>
        <c:dLbls>
          <c:showLegendKey val="0"/>
          <c:showVal val="0"/>
          <c:showCatName val="0"/>
          <c:showSerName val="0"/>
          <c:showPercent val="0"/>
          <c:showBubbleSize val="0"/>
        </c:dLbls>
        <c:gapWidth val="219"/>
        <c:overlap val="-27"/>
        <c:axId val="343235584"/>
        <c:axId val="309077184"/>
      </c:barChart>
      <c:lineChart>
        <c:grouping val="standard"/>
        <c:varyColors val="0"/>
        <c:ser>
          <c:idx val="1"/>
          <c:order val="1"/>
          <c:tx>
            <c:v>Debt Service Coverage</c:v>
          </c:tx>
          <c:spPr>
            <a:ln w="28575" cap="rnd">
              <a:solidFill>
                <a:srgbClr val="C00000"/>
              </a:solidFill>
              <a:prstDash val="solid"/>
              <a:round/>
            </a:ln>
            <a:effectLst/>
          </c:spPr>
          <c:marker>
            <c:symbol val="circle"/>
            <c:size val="5"/>
            <c:spPr>
              <a:solidFill>
                <a:srgbClr val="C00000"/>
              </a:solidFill>
              <a:ln w="9525">
                <a:solidFill>
                  <a:srgbClr val="C00000"/>
                </a:solidFill>
                <a:prstDash val="solid"/>
              </a:ln>
              <a:effectLst/>
            </c:spPr>
          </c:marker>
          <c:cat>
            <c:numRef>
              <c:f>Deal_Summary!$G$6:$P$6</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Deal_Summary!$G$28:$P$28</c:f>
              <c:numCache>
                <c:formatCode>0.00"x";\(0.00"x"\);"-"</c:formatCode>
                <c:ptCount val="10"/>
                <c:pt idx="0">
                  <c:v>1.2765406356257638</c:v>
                </c:pt>
                <c:pt idx="1">
                  <c:v>1.4589132809748946</c:v>
                </c:pt>
                <c:pt idx="2">
                  <c:v>1.4536569151863261</c:v>
                </c:pt>
                <c:pt idx="3">
                  <c:v>1.4911416059277631</c:v>
                </c:pt>
                <c:pt idx="4">
                  <c:v>1.5295862792949713</c:v>
                </c:pt>
                <c:pt idx="5">
                  <c:v>1.569015392160739</c:v>
                </c:pt>
                <c:pt idx="6">
                  <c:v>1.6094540219658202</c:v>
                </c:pt>
                <c:pt idx="7">
                  <c:v>1.6509278824160492</c:v>
                </c:pt>
                <c:pt idx="8">
                  <c:v>1.6934633395755554</c:v>
                </c:pt>
                <c:pt idx="9">
                  <c:v>1.737087428366032</c:v>
                </c:pt>
              </c:numCache>
            </c:numRef>
          </c:val>
          <c:smooth val="0"/>
          <c:extLst>
            <c:ext xmlns:c16="http://schemas.microsoft.com/office/drawing/2014/chart" uri="{C3380CC4-5D6E-409C-BE32-E72D297353CC}">
              <c16:uniqueId val="{00000001-263E-6040-AFDE-D867DA98F1D0}"/>
            </c:ext>
          </c:extLst>
        </c:ser>
        <c:dLbls>
          <c:showLegendKey val="0"/>
          <c:showVal val="0"/>
          <c:showCatName val="0"/>
          <c:showSerName val="0"/>
          <c:showPercent val="0"/>
          <c:showBubbleSize val="0"/>
        </c:dLbls>
        <c:marker val="1"/>
        <c:smooth val="0"/>
        <c:axId val="255499712"/>
        <c:axId val="255502400"/>
      </c:lineChart>
      <c:catAx>
        <c:axId val="343235584"/>
        <c:scaling>
          <c:orientation val="minMax"/>
        </c:scaling>
        <c:delete val="0"/>
        <c:axPos val="b"/>
        <c:title>
          <c:tx>
            <c:rich>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TH"/>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H"/>
          </a:p>
        </c:txPr>
        <c:crossAx val="309077184"/>
        <c:crosses val="autoZero"/>
        <c:auto val="1"/>
        <c:lblAlgn val="ctr"/>
        <c:lblOffset val="100"/>
        <c:noMultiLvlLbl val="0"/>
      </c:catAx>
      <c:valAx>
        <c:axId val="309077184"/>
        <c:scaling>
          <c:orientation val="minMax"/>
        </c:scaling>
        <c:delete val="0"/>
        <c:axPos val="l"/>
        <c:majorGridlines>
          <c:spPr>
            <a:ln w="9525" cap="flat" cmpd="sng" algn="ctr">
              <a:solidFill>
                <a:srgbClr val="D9D9D9"/>
              </a:solidFill>
              <a:prstDash val="solid"/>
              <a:round/>
            </a:ln>
            <a:effectLst/>
          </c:spPr>
        </c:majorGridlines>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H"/>
          </a:p>
        </c:txPr>
        <c:crossAx val="343235584"/>
        <c:crosses val="autoZero"/>
        <c:crossBetween val="between"/>
      </c:valAx>
      <c:valAx>
        <c:axId val="255502400"/>
        <c:scaling>
          <c:orientation val="minMax"/>
        </c:scaling>
        <c:delete val="0"/>
        <c:axPos val="r"/>
        <c:numFmt formatCode="0.00&quot;x&quot;"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H"/>
          </a:p>
        </c:txPr>
        <c:crossAx val="255499712"/>
        <c:crosses val="max"/>
        <c:crossBetween val="between"/>
      </c:valAx>
      <c:catAx>
        <c:axId val="255499712"/>
        <c:scaling>
          <c:orientation val="minMax"/>
        </c:scaling>
        <c:delete val="1"/>
        <c:axPos val="b"/>
        <c:numFmt formatCode="General" sourceLinked="1"/>
        <c:majorTickMark val="out"/>
        <c:minorTickMark val="none"/>
        <c:tickLblPos val="nextTo"/>
        <c:crossAx val="25550240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H"/>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TH"/>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23</xdr:col>
      <xdr:colOff>484646</xdr:colOff>
      <xdr:row>5</xdr:row>
      <xdr:rowOff>20483</xdr:rowOff>
    </xdr:from>
    <xdr:to>
      <xdr:col>35</xdr:col>
      <xdr:colOff>286773</xdr:colOff>
      <xdr:row>25</xdr:row>
      <xdr:rowOff>20483</xdr:rowOff>
    </xdr:to>
    <xdr:graphicFrame macro="">
      <xdr:nvGraphicFramePr>
        <xdr:cNvPr id="5" name="NOI_DSCR">
          <a:extLst>
            <a:ext uri="{FF2B5EF4-FFF2-40B4-BE49-F238E27FC236}">
              <a16:creationId xmlns:a16="http://schemas.microsoft.com/office/drawing/2014/main" id="{108DFE3D-7B57-6B76-64E7-BE7FD5333C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4A3CF24-82CB-8A49-98C0-ADD1DB458D87}">
  <we:reference id="wa200009404" version="1.0.0.8" store="en-US" storeType="OMEX"/>
  <we:alternateReferences>
    <we:reference id="wa200009404" version="1.0.0.8" store="en-US" storeType="OMEX"/>
  </we:alternateReferences>
  <we:properties>
    <we:property name="claude.fileId" value="&quot;60e54dff-3e14-4f34-9d5d-390022159524&quot;"/>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hyperlink" Target="https://www.zumper.com/rent-research/toronto-on/the-junction" TargetMode="External"/><Relationship Id="rId2" Type="http://schemas.openxmlformats.org/officeDocument/2006/relationships/hyperlink" Target="https://www.zumper.com/rent-research/toronto-on/the-junction" TargetMode="External"/><Relationship Id="rId1" Type="http://schemas.openxmlformats.org/officeDocument/2006/relationships/hyperlink" Target="https://www.zumper.com/rent-research/toronto-on/the-junction"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D40790-A683-064E-BECB-2B956B6D6816}">
  <sheetPr>
    <tabColor theme="0" tint="-0.14999847407452621"/>
  </sheetPr>
  <dimension ref="B2:E26"/>
  <sheetViews>
    <sheetView showGridLines="0" zoomScale="133" zoomScaleNormal="133" zoomScaleSheetLayoutView="137" workbookViewId="0"/>
  </sheetViews>
  <sheetFormatPr baseColWidth="10" defaultRowHeight="11" x14ac:dyDescent="0.15"/>
  <cols>
    <col min="2" max="2" width="6.5" customWidth="1"/>
    <col min="3" max="3" width="48.25" customWidth="1"/>
    <col min="4" max="4" width="15.5" customWidth="1"/>
    <col min="5" max="5" width="16.25" customWidth="1"/>
    <col min="6" max="6" width="32.25" bestFit="1" customWidth="1"/>
  </cols>
  <sheetData>
    <row r="2" spans="2:5" ht="16" x14ac:dyDescent="0.2">
      <c r="B2" s="18" t="str">
        <f>'Assumptions_&amp;_Inputs'!$E$14&amp;" Acquisition Model Cover &amp; Navigation"</f>
        <v>2480 Dundas St W Acquisition Model Cover &amp; Navigation</v>
      </c>
    </row>
    <row r="4" spans="2:5" x14ac:dyDescent="0.15">
      <c r="C4" t="s">
        <v>142</v>
      </c>
      <c r="E4" t="str">
        <f>'Assumptions_&amp;_Inputs'!E14</f>
        <v>2480 Dundas St W</v>
      </c>
    </row>
    <row r="5" spans="2:5" x14ac:dyDescent="0.15">
      <c r="C5" t="s">
        <v>479</v>
      </c>
      <c r="E5" t="s">
        <v>478</v>
      </c>
    </row>
    <row r="6" spans="2:5" x14ac:dyDescent="0.15">
      <c r="C6" t="s">
        <v>481</v>
      </c>
      <c r="E6" t="s">
        <v>482</v>
      </c>
    </row>
    <row r="8" spans="2:5" x14ac:dyDescent="0.15">
      <c r="C8" t="s">
        <v>480</v>
      </c>
      <c r="E8" s="632">
        <v>46246</v>
      </c>
    </row>
    <row r="10" spans="2:5" x14ac:dyDescent="0.15">
      <c r="C10" t="s">
        <v>483</v>
      </c>
    </row>
    <row r="11" spans="2:5" x14ac:dyDescent="0.15">
      <c r="C11" t="s">
        <v>484</v>
      </c>
    </row>
    <row r="14" spans="2:5" x14ac:dyDescent="0.15">
      <c r="C14" t="s">
        <v>485</v>
      </c>
      <c r="D14" s="634"/>
    </row>
    <row r="15" spans="2:5" x14ac:dyDescent="0.15">
      <c r="C15" t="s">
        <v>487</v>
      </c>
      <c r="D15" s="633"/>
    </row>
    <row r="16" spans="2:5" x14ac:dyDescent="0.15">
      <c r="C16" t="s">
        <v>486</v>
      </c>
      <c r="D16" s="635"/>
    </row>
    <row r="19" spans="2:4" x14ac:dyDescent="0.15">
      <c r="B19" s="403" t="s">
        <v>488</v>
      </c>
      <c r="C19" s="403" t="s">
        <v>489</v>
      </c>
      <c r="D19" s="315" t="s">
        <v>490</v>
      </c>
    </row>
    <row r="20" spans="2:4" x14ac:dyDescent="0.15">
      <c r="B20" s="6">
        <f ca="1">_xlfn.SHEET(Deal_Summary!A1)</f>
        <v>2</v>
      </c>
      <c r="C20" t="s">
        <v>496</v>
      </c>
      <c r="D20" s="636" t="s">
        <v>491</v>
      </c>
    </row>
    <row r="21" spans="2:4" x14ac:dyDescent="0.15">
      <c r="B21" s="6">
        <f ca="1">_xlfn.SHEET(Rent_Roll!A1)</f>
        <v>3</v>
      </c>
      <c r="C21" t="s">
        <v>497</v>
      </c>
      <c r="D21" s="636" t="s">
        <v>93</v>
      </c>
    </row>
    <row r="22" spans="2:4" x14ac:dyDescent="0.15">
      <c r="B22" s="6">
        <f ca="1">_xlfn.SHEET(Brochure_Financials!A1)</f>
        <v>4</v>
      </c>
      <c r="C22" t="s">
        <v>498</v>
      </c>
      <c r="D22" s="636" t="s">
        <v>492</v>
      </c>
    </row>
    <row r="23" spans="2:4" x14ac:dyDescent="0.15">
      <c r="B23" s="6">
        <f ca="1">_xlfn.SHEET('Monthly_P&amp;L'!A1)</f>
        <v>5</v>
      </c>
      <c r="C23" t="s">
        <v>493</v>
      </c>
      <c r="D23" s="636" t="s">
        <v>493</v>
      </c>
    </row>
    <row r="24" spans="2:4" x14ac:dyDescent="0.15">
      <c r="B24" s="6">
        <f ca="1">_xlfn.SHEET('Annual_P&amp;L'!A1)</f>
        <v>6</v>
      </c>
      <c r="C24" t="s">
        <v>494</v>
      </c>
      <c r="D24" s="636" t="s">
        <v>494</v>
      </c>
    </row>
    <row r="25" spans="2:4" x14ac:dyDescent="0.15">
      <c r="B25" s="6">
        <f ca="1">_xlfn.SHEET('Assumptions_&amp;_Inputs'!A1)</f>
        <v>7</v>
      </c>
      <c r="C25" t="s">
        <v>500</v>
      </c>
      <c r="D25" s="636" t="s">
        <v>495</v>
      </c>
    </row>
    <row r="26" spans="2:4" x14ac:dyDescent="0.15">
      <c r="B26" s="6">
        <f ca="1">_xlfn.SHEET(Equity_Waterfall!A1)</f>
        <v>8</v>
      </c>
      <c r="C26" t="s">
        <v>499</v>
      </c>
      <c r="D26" s="636" t="s">
        <v>313</v>
      </c>
    </row>
  </sheetData>
  <hyperlinks>
    <hyperlink ref="D20" location="'Deal Summary'!A1" tooltip="Go to Deal Summary" display="Deal Summary" xr:uid="{9744BC39-3E74-A24E-B7A0-FE76037FA521}"/>
    <hyperlink ref="D21" location="'Rent Roll'!A1" tooltip="Go to Rent Roll" display="Rent Roll" xr:uid="{13D32EC0-BDC5-C744-AF8F-8C41203591EF}"/>
    <hyperlink ref="D22" location="'Brochure Financials'!A1" tooltip="Go to Brochure Financials" display="Brochure Financials" xr:uid="{A2B4A54B-3640-8C42-9719-A3CA2829EB60}"/>
    <hyperlink ref="D23" location="'Monthly P&amp;L'!A1" tooltip="Go to Monthly P&amp;L" display="Monthly P&amp;L" xr:uid="{A525CEA3-A5C9-6D4F-A1E5-23CF723F4125}"/>
    <hyperlink ref="D24" location="'Annual P&amp;L'!A1" tooltip="Go to Annual P&amp;L" display="Annual P&amp;L" xr:uid="{C80A0878-963E-5D48-A2BF-45D7C450462C}"/>
    <hyperlink ref="D25" location="'Assumptions &amp; Inputs'!A1" tooltip="Go to Assumptions &amp; Inputs" display="Assumptions &amp; Inputs" xr:uid="{5D7B52BA-6020-1647-B46F-C7403F7F463E}"/>
    <hyperlink ref="D26" location="'Equity Waterfall'!A1" tooltip="Go to Equity Waterfall" display="Equity Waterfall" xr:uid="{E9760EB6-D543-B649-9006-CE750F5F4A8A}"/>
  </hyperlinks>
  <pageMargins left="0.7" right="0.7" top="0.75" bottom="0.75" header="0.3" footer="0.3"/>
  <pageSetup paperSize="9" orientation="landscape"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D4F6E9-4824-E348-BB1B-7316DB59E25C}">
  <sheetPr codeName="Sheet8">
    <tabColor theme="2" tint="-9.9978637043366805E-2"/>
  </sheetPr>
  <dimension ref="A2:AF138"/>
  <sheetViews>
    <sheetView showGridLines="0" tabSelected="1" topLeftCell="A67" zoomScaleNormal="65" workbookViewId="0">
      <selection activeCell="B98" sqref="B98:J100"/>
    </sheetView>
  </sheetViews>
  <sheetFormatPr baseColWidth="10" defaultRowHeight="16" customHeight="1" x14ac:dyDescent="0.15"/>
  <cols>
    <col min="1" max="1" width="10.75" style="138"/>
    <col min="2" max="2" width="17" style="138" customWidth="1"/>
    <col min="3" max="3" width="17.25" style="138" customWidth="1"/>
    <col min="4" max="4" width="17" style="138" customWidth="1"/>
    <col min="5" max="5" width="16.75" style="138" bestFit="1" customWidth="1"/>
    <col min="6" max="10" width="17" style="138" customWidth="1"/>
    <col min="11" max="11" width="17" style="164" customWidth="1"/>
    <col min="12" max="22" width="17" style="138" customWidth="1"/>
    <col min="23" max="23" width="10.75" style="138"/>
    <col min="24" max="31" width="14.25" style="138" customWidth="1"/>
    <col min="32" max="16384" width="10.75" style="138"/>
  </cols>
  <sheetData>
    <row r="2" spans="1:22" ht="16" customHeight="1" x14ac:dyDescent="0.15">
      <c r="B2" s="137" t="str">
        <f>E43&amp;" Acquisition Model Deal Summary"</f>
        <v>Multifamily Acquisition Model Deal Summary</v>
      </c>
      <c r="G2"/>
      <c r="H2" s="246"/>
      <c r="I2" s="246"/>
      <c r="K2" s="247"/>
      <c r="L2" s="248"/>
      <c r="M2" s="248"/>
      <c r="N2" s="248"/>
      <c r="O2" s="248"/>
      <c r="P2" s="248"/>
      <c r="Q2" s="248"/>
      <c r="R2" s="248"/>
      <c r="S2" s="248"/>
    </row>
    <row r="3" spans="1:22" ht="16" customHeight="1" x14ac:dyDescent="0.15">
      <c r="B3" s="138" t="s">
        <v>182</v>
      </c>
      <c r="G3"/>
      <c r="H3" s="246"/>
      <c r="I3" s="246"/>
      <c r="K3" s="247"/>
      <c r="L3" s="248"/>
      <c r="M3" s="248"/>
      <c r="N3" s="248"/>
      <c r="O3" s="248"/>
      <c r="P3" s="248"/>
      <c r="Q3" s="248"/>
      <c r="R3" s="248"/>
      <c r="S3" s="248"/>
    </row>
    <row r="5" spans="1:22" ht="16" customHeight="1" x14ac:dyDescent="0.2">
      <c r="A5"/>
      <c r="B5" s="18" t="s">
        <v>366</v>
      </c>
      <c r="C5" s="30"/>
      <c r="D5" s="30"/>
      <c r="F5" s="314" t="s">
        <v>61</v>
      </c>
      <c r="G5" s="6"/>
      <c r="H5" s="6"/>
      <c r="I5" s="6"/>
      <c r="J5" s="6"/>
      <c r="K5" s="6"/>
      <c r="L5" s="6"/>
      <c r="M5" s="6"/>
      <c r="N5"/>
      <c r="O5"/>
      <c r="P5"/>
      <c r="Q5"/>
      <c r="R5"/>
      <c r="S5"/>
      <c r="T5"/>
      <c r="U5"/>
    </row>
    <row r="6" spans="1:22" ht="16" customHeight="1" x14ac:dyDescent="0.15">
      <c r="B6" s="443" t="s">
        <v>60</v>
      </c>
      <c r="C6" s="443"/>
      <c r="D6" s="444" t="s">
        <v>141</v>
      </c>
      <c r="E6" s="445"/>
      <c r="F6" s="446">
        <v>0</v>
      </c>
      <c r="G6" s="444">
        <v>1</v>
      </c>
      <c r="H6" s="444">
        <f>G6+1</f>
        <v>2</v>
      </c>
      <c r="I6" s="444">
        <f t="shared" ref="I6:V6" si="0">H6+1</f>
        <v>3</v>
      </c>
      <c r="J6" s="444">
        <f t="shared" si="0"/>
        <v>4</v>
      </c>
      <c r="K6" s="444">
        <f t="shared" si="0"/>
        <v>5</v>
      </c>
      <c r="L6" s="444">
        <f t="shared" si="0"/>
        <v>6</v>
      </c>
      <c r="M6" s="444">
        <f t="shared" si="0"/>
        <v>7</v>
      </c>
      <c r="N6" s="444">
        <f t="shared" si="0"/>
        <v>8</v>
      </c>
      <c r="O6" s="444">
        <f t="shared" si="0"/>
        <v>9</v>
      </c>
      <c r="P6" s="444">
        <f t="shared" si="0"/>
        <v>10</v>
      </c>
      <c r="Q6" s="444">
        <f t="shared" si="0"/>
        <v>11</v>
      </c>
      <c r="R6" s="444">
        <f t="shared" si="0"/>
        <v>12</v>
      </c>
      <c r="S6" s="444">
        <f t="shared" si="0"/>
        <v>13</v>
      </c>
      <c r="T6" s="444">
        <f t="shared" si="0"/>
        <v>14</v>
      </c>
      <c r="U6" s="447">
        <f t="shared" si="0"/>
        <v>15</v>
      </c>
      <c r="V6" s="444">
        <f t="shared" si="0"/>
        <v>16</v>
      </c>
    </row>
    <row r="7" spans="1:22" ht="16" customHeight="1" x14ac:dyDescent="0.15">
      <c r="B7" s="31"/>
      <c r="C7" s="31"/>
      <c r="D7" s="64"/>
      <c r="E7" s="30"/>
      <c r="F7" s="312"/>
      <c r="G7" s="64"/>
      <c r="H7" s="64"/>
      <c r="I7" s="64"/>
      <c r="J7" s="64"/>
      <c r="K7" s="64"/>
      <c r="L7" s="64"/>
      <c r="M7" s="64"/>
      <c r="N7" s="64"/>
      <c r="O7" s="64"/>
      <c r="P7" s="64"/>
      <c r="Q7" s="64"/>
      <c r="R7" s="64"/>
      <c r="S7" s="64"/>
      <c r="T7" s="64"/>
      <c r="U7" s="64"/>
      <c r="V7" s="64"/>
    </row>
    <row r="8" spans="1:22" ht="16" customHeight="1" x14ac:dyDescent="0.15">
      <c r="B8" s="31" t="s">
        <v>8</v>
      </c>
      <c r="C8" s="31"/>
      <c r="D8" s="177" t="s">
        <v>150</v>
      </c>
      <c r="E8" s="30"/>
      <c r="F8" s="449">
        <f>-debt</f>
        <v>-4014350.1006036219</v>
      </c>
      <c r="G8" s="344">
        <v>0</v>
      </c>
      <c r="H8" s="344">
        <v>0</v>
      </c>
      <c r="I8" s="344">
        <v>0</v>
      </c>
      <c r="J8" s="344">
        <v>0</v>
      </c>
      <c r="K8" s="344">
        <v>0</v>
      </c>
      <c r="L8" s="344">
        <v>0</v>
      </c>
      <c r="M8" s="344">
        <v>0</v>
      </c>
      <c r="N8" s="344">
        <v>0</v>
      </c>
      <c r="O8" s="344">
        <v>0</v>
      </c>
      <c r="P8" s="344">
        <v>0</v>
      </c>
      <c r="Q8" s="344">
        <v>0</v>
      </c>
      <c r="R8" s="344">
        <v>0</v>
      </c>
      <c r="S8" s="344">
        <v>0</v>
      </c>
      <c r="T8" s="344">
        <v>0</v>
      </c>
      <c r="U8" s="344">
        <v>0</v>
      </c>
      <c r="V8" s="344">
        <v>0</v>
      </c>
    </row>
    <row r="9" spans="1:22" ht="16" customHeight="1" x14ac:dyDescent="0.15">
      <c r="B9" s="31" t="s">
        <v>7</v>
      </c>
      <c r="C9" s="31"/>
      <c r="D9" s="177" t="s">
        <v>150</v>
      </c>
      <c r="E9" s="30"/>
      <c r="F9" s="448">
        <f>-equity_invested</f>
        <v>-2676233.4004024141</v>
      </c>
      <c r="G9" s="448">
        <v>0</v>
      </c>
      <c r="H9" s="448">
        <v>0</v>
      </c>
      <c r="I9" s="448">
        <v>0</v>
      </c>
      <c r="J9" s="448">
        <v>0</v>
      </c>
      <c r="K9" s="448">
        <v>0</v>
      </c>
      <c r="L9" s="448">
        <v>0</v>
      </c>
      <c r="M9" s="448">
        <v>0</v>
      </c>
      <c r="N9" s="448">
        <v>0</v>
      </c>
      <c r="O9" s="448">
        <v>0</v>
      </c>
      <c r="P9" s="448">
        <v>0</v>
      </c>
      <c r="Q9" s="448">
        <v>0</v>
      </c>
      <c r="R9" s="448">
        <v>0</v>
      </c>
      <c r="S9" s="448">
        <v>0</v>
      </c>
      <c r="T9" s="448">
        <v>0</v>
      </c>
      <c r="U9" s="448">
        <v>0</v>
      </c>
      <c r="V9" s="448">
        <v>0</v>
      </c>
    </row>
    <row r="10" spans="1:22" ht="16" customHeight="1" x14ac:dyDescent="0.15">
      <c r="B10" s="440"/>
      <c r="C10" s="440"/>
      <c r="D10" s="103"/>
      <c r="E10" s="441"/>
      <c r="F10" s="442"/>
      <c r="G10" s="103"/>
      <c r="H10" s="103"/>
      <c r="I10" s="103"/>
      <c r="J10" s="103"/>
      <c r="K10" s="103"/>
      <c r="L10" s="103"/>
      <c r="M10" s="103"/>
      <c r="N10" s="103"/>
      <c r="O10" s="103"/>
      <c r="P10" s="103"/>
      <c r="Q10" s="103"/>
      <c r="R10" s="103"/>
      <c r="S10" s="103"/>
      <c r="T10" s="103"/>
      <c r="U10" s="103"/>
      <c r="V10" s="103"/>
    </row>
    <row r="11" spans="1:22" ht="16" customHeight="1" x14ac:dyDescent="0.15">
      <c r="B11" s="165" t="s">
        <v>362</v>
      </c>
      <c r="G11"/>
      <c r="H11" s="246"/>
      <c r="I11" s="246"/>
      <c r="K11" s="247"/>
      <c r="L11" s="248"/>
      <c r="M11" s="248"/>
      <c r="N11" s="248"/>
      <c r="O11" s="248"/>
      <c r="P11" s="248"/>
      <c r="Q11" s="248"/>
      <c r="R11" s="248"/>
      <c r="S11" s="248"/>
    </row>
    <row r="12" spans="1:22" ht="16" customHeight="1" x14ac:dyDescent="0.15">
      <c r="B12" s="138" t="s">
        <v>112</v>
      </c>
      <c r="D12" s="177" t="s">
        <v>150</v>
      </c>
      <c r="F12" s="227">
        <f>INDEX('Annual_P&amp;L'!$B$8:$V$46,MATCH($B12,'Annual_P&amp;L'!$B$8:$B$42,0),MATCH(F$6,'Annual_P&amp;L'!$B$8:$V$8,0))</f>
        <v>0</v>
      </c>
      <c r="G12" s="227">
        <f>INDEX('Annual_P&amp;L'!$B$8:$V$46,MATCH($B12,'Annual_P&amp;L'!$B$8:$B$46,0),MATCH(G$6,'Annual_P&amp;L'!$B$8:$V$8,0))</f>
        <v>454561.64000000007</v>
      </c>
      <c r="H12" s="227">
        <f>INDEX('Annual_P&amp;L'!$B$8:$V$46,MATCH($B12,'Annual_P&amp;L'!$B$8:$B$46,0),MATCH(H$6,'Annual_P&amp;L'!$B$8:$V$8,0))</f>
        <v>481196.29500000016</v>
      </c>
      <c r="I12" s="227">
        <f>INDEX('Annual_P&amp;L'!$B$8:$V$46,MATCH($B12,'Annual_P&amp;L'!$B$8:$B$46,0),MATCH(I$6,'Annual_P&amp;L'!$B$8:$V$8,0))</f>
        <v>493226.20237499994</v>
      </c>
      <c r="J12" s="227">
        <f>INDEX('Annual_P&amp;L'!$B$8:$V$46,MATCH($B12,'Annual_P&amp;L'!$B$8:$B$46,0),MATCH(J$6,'Annual_P&amp;L'!$B$8:$V$8,0))</f>
        <v>505556.85743437492</v>
      </c>
      <c r="K12" s="227">
        <f>INDEX('Annual_P&amp;L'!$B$8:$V$46,MATCH($B12,'Annual_P&amp;L'!$B$8:$B$46,0),MATCH(K$6,'Annual_P&amp;L'!$B$8:$V$8,0))</f>
        <v>518195.77887023432</v>
      </c>
      <c r="L12" s="227">
        <f>INDEX('Annual_P&amp;L'!$B$8:$V$46,MATCH($B12,'Annual_P&amp;L'!$B$8:$B$46,0),MATCH(L$6,'Annual_P&amp;L'!$B$8:$V$8,0))</f>
        <v>531150.67334198998</v>
      </c>
      <c r="M12" s="227">
        <f>INDEX('Annual_P&amp;L'!$B$8:$V$46,MATCH($B12,'Annual_P&amp;L'!$B$8:$B$46,0),MATCH(M$6,'Annual_P&amp;L'!$B$8:$V$8,0))</f>
        <v>544429.4401755397</v>
      </c>
      <c r="N12" s="227">
        <f>INDEX('Annual_P&amp;L'!$B$8:$V$46,MATCH($B12,'Annual_P&amp;L'!$B$8:$B$46,0),MATCH(N$6,'Annual_P&amp;L'!$B$8:$V$8,0))</f>
        <v>558040.17617992812</v>
      </c>
      <c r="O12" s="227">
        <f>INDEX('Annual_P&amp;L'!$B$8:$V$46,MATCH($B12,'Annual_P&amp;L'!$B$8:$B$46,0),MATCH(O$6,'Annual_P&amp;L'!$B$8:$V$8,0))</f>
        <v>571991.18058442627</v>
      </c>
      <c r="P12" s="227">
        <f>INDEX('Annual_P&amp;L'!$B$8:$V$46,MATCH($B12,'Annual_P&amp;L'!$B$8:$B$46,0),MATCH(P$6,'Annual_P&amp;L'!$B$8:$V$8,0))</f>
        <v>586290.96009903692</v>
      </c>
      <c r="Q12" s="227">
        <f>INDEX('Annual_P&amp;L'!$B$8:$V$46,MATCH($B12,'Annual_P&amp;L'!$B$8:$B$46,0),MATCH(Q$6,'Annual_P&amp;L'!$B$8:$V$8,0))</f>
        <v>600948.23410151282</v>
      </c>
      <c r="R12" s="227">
        <f>INDEX('Annual_P&amp;L'!$B$8:$V$46,MATCH($B12,'Annual_P&amp;L'!$B$8:$B$46,0),MATCH(R$6,'Annual_P&amp;L'!$B$8:$V$8,0))</f>
        <v>615971.93995405047</v>
      </c>
      <c r="S12" s="227">
        <f>INDEX('Annual_P&amp;L'!$B$8:$V$46,MATCH($B12,'Annual_P&amp;L'!$B$8:$B$46,0),MATCH(S$6,'Annual_P&amp;L'!$B$8:$V$8,0))</f>
        <v>631371.2384529016</v>
      </c>
      <c r="T12" s="227">
        <f>INDEX('Annual_P&amp;L'!$B$8:$V$46,MATCH($B12,'Annual_P&amp;L'!$B$8:$B$46,0),MATCH(T$6,'Annual_P&amp;L'!$B$8:$V$8,0))</f>
        <v>647155.5194142242</v>
      </c>
      <c r="U12" s="227">
        <f>INDEX('Annual_P&amp;L'!$B$8:$V$46,MATCH($B12,'Annual_P&amp;L'!$B$8:$B$46,0),MATCH(U$6,'Annual_P&amp;L'!$B$8:$V$8,0))</f>
        <v>663334.40739957965</v>
      </c>
      <c r="V12" s="227">
        <f>INDEX('Annual_P&amp;L'!$B$8:$V$46,MATCH($B12,'Annual_P&amp;L'!$B$8:$B$46,0),MATCH(V$6,'Annual_P&amp;L'!$B$8:$V$8,0))</f>
        <v>509938.32568842673</v>
      </c>
    </row>
    <row r="13" spans="1:22" ht="16" customHeight="1" x14ac:dyDescent="0.15">
      <c r="B13" s="138" t="s">
        <v>315</v>
      </c>
      <c r="D13" s="177" t="s">
        <v>150</v>
      </c>
      <c r="F13" s="451">
        <f>INDEX('Annual_P&amp;L'!$B$8:$V$46,MATCH($B13,'Annual_P&amp;L'!$B$8:$B$42,0),MATCH(F$6,'Annual_P&amp;L'!$B$8:$V$8,0))</f>
        <v>0</v>
      </c>
      <c r="G13" s="451">
        <f>INDEX('Annual_P&amp;L'!$B$8:$V$46,MATCH($B13,'Annual_P&amp;L'!$B$8:$B$46,0),MATCH(G$6,'Annual_P&amp;L'!$B$8:$V$8,0))</f>
        <v>-13456.849199999997</v>
      </c>
      <c r="H13" s="451">
        <f>INDEX('Annual_P&amp;L'!$B$8:$V$46,MATCH($B13,'Annual_P&amp;L'!$B$8:$B$46,0),MATCH(H$6,'Annual_P&amp;L'!$B$8:$V$8,0))</f>
        <v>-14251.388850000001</v>
      </c>
      <c r="I13" s="451">
        <f>INDEX('Annual_P&amp;L'!$B$8:$V$46,MATCH($B13,'Annual_P&amp;L'!$B$8:$B$46,0),MATCH(I$6,'Annual_P&amp;L'!$B$8:$V$8,0))</f>
        <v>-14607.673571250001</v>
      </c>
      <c r="J13" s="451">
        <f>INDEX('Annual_P&amp;L'!$B$8:$V$46,MATCH($B13,'Annual_P&amp;L'!$B$8:$B$46,0),MATCH(J$6,'Annual_P&amp;L'!$B$8:$V$8,0))</f>
        <v>-14972.865410531243</v>
      </c>
      <c r="K13" s="451">
        <f>INDEX('Annual_P&amp;L'!$B$8:$V$46,MATCH($B13,'Annual_P&amp;L'!$B$8:$B$46,0),MATCH(K$6,'Annual_P&amp;L'!$B$8:$V$8,0))</f>
        <v>-15347.187045794526</v>
      </c>
      <c r="L13" s="451">
        <f>INDEX('Annual_P&amp;L'!$B$8:$V$46,MATCH($B13,'Annual_P&amp;L'!$B$8:$B$46,0),MATCH(L$6,'Annual_P&amp;L'!$B$8:$V$8,0))</f>
        <v>-15730.866721939392</v>
      </c>
      <c r="M13" s="451">
        <f>INDEX('Annual_P&amp;L'!$B$8:$V$46,MATCH($B13,'Annual_P&amp;L'!$B$8:$B$46,0),MATCH(M$6,'Annual_P&amp;L'!$B$8:$V$8,0))</f>
        <v>-16124.138389987866</v>
      </c>
      <c r="N13" s="451">
        <f>INDEX('Annual_P&amp;L'!$B$8:$V$46,MATCH($B13,'Annual_P&amp;L'!$B$8:$B$46,0),MATCH(N$6,'Annual_P&amp;L'!$B$8:$V$8,0))</f>
        <v>-16527.241849737566</v>
      </c>
      <c r="O13" s="451">
        <f>INDEX('Annual_P&amp;L'!$B$8:$V$46,MATCH($B13,'Annual_P&amp;L'!$B$8:$B$46,0),MATCH(O$6,'Annual_P&amp;L'!$B$8:$V$8,0))</f>
        <v>-16940.422895981003</v>
      </c>
      <c r="P13" s="451">
        <f>INDEX('Annual_P&amp;L'!$B$8:$V$46,MATCH($B13,'Annual_P&amp;L'!$B$8:$B$46,0),MATCH(P$6,'Annual_P&amp;L'!$B$8:$V$8,0))</f>
        <v>-17363.933468380525</v>
      </c>
      <c r="Q13" s="451">
        <f>INDEX('Annual_P&amp;L'!$B$8:$V$46,MATCH($B13,'Annual_P&amp;L'!$B$8:$B$46,0),MATCH(Q$6,'Annual_P&amp;L'!$B$8:$V$8,0))</f>
        <v>-17798.031805090035</v>
      </c>
      <c r="R13" s="451">
        <f>INDEX('Annual_P&amp;L'!$B$8:$V$46,MATCH($B13,'Annual_P&amp;L'!$B$8:$B$46,0),MATCH(R$6,'Annual_P&amp;L'!$B$8:$V$8,0))</f>
        <v>-18242.982600217281</v>
      </c>
      <c r="S13" s="451">
        <f>INDEX('Annual_P&amp;L'!$B$8:$V$46,MATCH($B13,'Annual_P&amp;L'!$B$8:$B$46,0),MATCH(S$6,'Annual_P&amp;L'!$B$8:$V$8,0))</f>
        <v>-18699.057165222719</v>
      </c>
      <c r="T13" s="451">
        <f>INDEX('Annual_P&amp;L'!$B$8:$V$46,MATCH($B13,'Annual_P&amp;L'!$B$8:$B$46,0),MATCH(T$6,'Annual_P&amp;L'!$B$8:$V$8,0))</f>
        <v>-19166.533594353277</v>
      </c>
      <c r="U13" s="451">
        <f>INDEX('Annual_P&amp;L'!$B$8:$V$46,MATCH($B13,'Annual_P&amp;L'!$B$8:$B$46,0),MATCH(U$6,'Annual_P&amp;L'!$B$8:$V$8,0))</f>
        <v>-19645.696934212112</v>
      </c>
      <c r="V13" s="451">
        <f>INDEX('Annual_P&amp;L'!$B$8:$V$46,MATCH($B13,'Annual_P&amp;L'!$B$8:$B$46,0),MATCH(V$6,'Annual_P&amp;L'!$B$8:$V$8,0))</f>
        <v>-15102.629518175558</v>
      </c>
    </row>
    <row r="14" spans="1:22" ht="16" customHeight="1" x14ac:dyDescent="0.15">
      <c r="B14" s="270" t="s">
        <v>275</v>
      </c>
      <c r="C14" s="270"/>
      <c r="D14" s="261" t="s">
        <v>150</v>
      </c>
      <c r="E14" s="270"/>
      <c r="F14" s="453">
        <f>INDEX('Annual_P&amp;L'!$B$8:$V$46,MATCH($B14,'Annual_P&amp;L'!$B$8:$B$42,0),MATCH(F$6,'Annual_P&amp;L'!$B$8:$V$8,0))</f>
        <v>0</v>
      </c>
      <c r="G14" s="453">
        <f>INDEX('Annual_P&amp;L'!$B$8:$V$46,MATCH($B14,'Annual_P&amp;L'!$B$8:$B$46,0),MATCH(G$6,'Annual_P&amp;L'!$B$8:$V$8,0))</f>
        <v>-42010.719999999994</v>
      </c>
      <c r="H14" s="453">
        <f>INDEX('Annual_P&amp;L'!$B$8:$V$46,MATCH($B14,'Annual_P&amp;L'!$B$8:$B$46,0),MATCH(H$6,'Annual_P&amp;L'!$B$8:$V$8,0))</f>
        <v>0</v>
      </c>
      <c r="I14" s="453">
        <f>INDEX('Annual_P&amp;L'!$B$8:$V$46,MATCH($B14,'Annual_P&amp;L'!$B$8:$B$46,0),MATCH(I$6,'Annual_P&amp;L'!$B$8:$V$8,0))</f>
        <v>0</v>
      </c>
      <c r="J14" s="453">
        <f>INDEX('Annual_P&amp;L'!$B$8:$V$46,MATCH($B14,'Annual_P&amp;L'!$B$8:$B$46,0),MATCH(J$6,'Annual_P&amp;L'!$B$8:$V$8,0))</f>
        <v>0</v>
      </c>
      <c r="K14" s="453">
        <f>INDEX('Annual_P&amp;L'!$B$8:$V$46,MATCH($B14,'Annual_P&amp;L'!$B$8:$B$46,0),MATCH(K$6,'Annual_P&amp;L'!$B$8:$V$8,0))</f>
        <v>0</v>
      </c>
      <c r="L14" s="453">
        <f>INDEX('Annual_P&amp;L'!$B$8:$V$46,MATCH($B14,'Annual_P&amp;L'!$B$8:$B$46,0),MATCH(L$6,'Annual_P&amp;L'!$B$8:$V$8,0))</f>
        <v>0</v>
      </c>
      <c r="M14" s="453">
        <f>INDEX('Annual_P&amp;L'!$B$8:$V$46,MATCH($B14,'Annual_P&amp;L'!$B$8:$B$46,0),MATCH(M$6,'Annual_P&amp;L'!$B$8:$V$8,0))</f>
        <v>0</v>
      </c>
      <c r="N14" s="453">
        <f>INDEX('Annual_P&amp;L'!$B$8:$V$46,MATCH($B14,'Annual_P&amp;L'!$B$8:$B$46,0),MATCH(N$6,'Annual_P&amp;L'!$B$8:$V$8,0))</f>
        <v>0</v>
      </c>
      <c r="O14" s="453">
        <f>INDEX('Annual_P&amp;L'!$B$8:$V$46,MATCH($B14,'Annual_P&amp;L'!$B$8:$B$46,0),MATCH(O$6,'Annual_P&amp;L'!$B$8:$V$8,0))</f>
        <v>0</v>
      </c>
      <c r="P14" s="453">
        <f>INDEX('Annual_P&amp;L'!$B$8:$V$46,MATCH($B14,'Annual_P&amp;L'!$B$8:$B$46,0),MATCH(P$6,'Annual_P&amp;L'!$B$8:$V$8,0))</f>
        <v>0</v>
      </c>
      <c r="Q14" s="453">
        <f>INDEX('Annual_P&amp;L'!$B$8:$V$46,MATCH($B14,'Annual_P&amp;L'!$B$8:$B$46,0),MATCH(Q$6,'Annual_P&amp;L'!$B$8:$V$8,0))</f>
        <v>0</v>
      </c>
      <c r="R14" s="453">
        <f>INDEX('Annual_P&amp;L'!$B$8:$V$46,MATCH($B14,'Annual_P&amp;L'!$B$8:$B$46,0),MATCH(R$6,'Annual_P&amp;L'!$B$8:$V$8,0))</f>
        <v>0</v>
      </c>
      <c r="S14" s="453">
        <f>INDEX('Annual_P&amp;L'!$B$8:$V$46,MATCH($B14,'Annual_P&amp;L'!$B$8:$B$46,0),MATCH(S$6,'Annual_P&amp;L'!$B$8:$V$8,0))</f>
        <v>0</v>
      </c>
      <c r="T14" s="453">
        <f>INDEX('Annual_P&amp;L'!$B$8:$V$46,MATCH($B14,'Annual_P&amp;L'!$B$8:$B$46,0),MATCH(T$6,'Annual_P&amp;L'!$B$8:$V$8,0))</f>
        <v>0</v>
      </c>
      <c r="U14" s="453">
        <f>INDEX('Annual_P&amp;L'!$B$8:$V$46,MATCH($B14,'Annual_P&amp;L'!$B$8:$B$46,0),MATCH(U$6,'Annual_P&amp;L'!$B$8:$V$8,0))</f>
        <v>0</v>
      </c>
      <c r="V14" s="453">
        <f>INDEX('Annual_P&amp;L'!$B$8:$V$46,MATCH($B14,'Annual_P&amp;L'!$B$8:$B$46,0),MATCH(V$6,'Annual_P&amp;L'!$B$8:$V$8,0))</f>
        <v>0</v>
      </c>
    </row>
    <row r="15" spans="1:22" s="165" customFormat="1" ht="16" customHeight="1" x14ac:dyDescent="0.15">
      <c r="B15" s="165" t="s">
        <v>49</v>
      </c>
      <c r="D15" s="177" t="s">
        <v>150</v>
      </c>
      <c r="F15" s="451">
        <f>INDEX('Annual_P&amp;L'!$B$8:$V$46,MATCH($B15,'Annual_P&amp;L'!$B$8:$B$42,0),MATCH(F$6,'Annual_P&amp;L'!$B$8:$V$8,0))</f>
        <v>0</v>
      </c>
      <c r="G15" s="451">
        <f>INDEX('Annual_P&amp;L'!$B$8:$V$46,MATCH($B15,'Annual_P&amp;L'!$B$8:$B$46,0),MATCH(G$6,'Annual_P&amp;L'!$B$8:$V$8,0))</f>
        <v>399094.0708000001</v>
      </c>
      <c r="H15" s="451">
        <f>INDEX('Annual_P&amp;L'!$B$8:$V$46,MATCH($B15,'Annual_P&amp;L'!$B$8:$B$46,0),MATCH(H$6,'Annual_P&amp;L'!$B$8:$V$8,0))</f>
        <v>466944.90615000017</v>
      </c>
      <c r="I15" s="451">
        <f>INDEX('Annual_P&amp;L'!$B$8:$V$46,MATCH($B15,'Annual_P&amp;L'!$B$8:$B$46,0),MATCH(I$6,'Annual_P&amp;L'!$B$8:$V$8,0))</f>
        <v>478618.52880374994</v>
      </c>
      <c r="J15" s="451">
        <f>INDEX('Annual_P&amp;L'!$B$8:$V$46,MATCH($B15,'Annual_P&amp;L'!$B$8:$B$46,0),MATCH(J$6,'Annual_P&amp;L'!$B$8:$V$8,0))</f>
        <v>490583.99202384369</v>
      </c>
      <c r="K15" s="451">
        <f>INDEX('Annual_P&amp;L'!$B$8:$V$46,MATCH($B15,'Annual_P&amp;L'!$B$8:$B$46,0),MATCH(K$6,'Annual_P&amp;L'!$B$8:$V$8,0))</f>
        <v>502848.59182443982</v>
      </c>
      <c r="L15" s="451">
        <f>INDEX('Annual_P&amp;L'!$B$8:$V$46,MATCH($B15,'Annual_P&amp;L'!$B$8:$B$46,0),MATCH(L$6,'Annual_P&amp;L'!$B$8:$V$8,0))</f>
        <v>515419.80662005057</v>
      </c>
      <c r="M15" s="451">
        <f>INDEX('Annual_P&amp;L'!$B$8:$V$46,MATCH($B15,'Annual_P&amp;L'!$B$8:$B$46,0),MATCH(M$6,'Annual_P&amp;L'!$B$8:$V$8,0))</f>
        <v>528305.30178555183</v>
      </c>
      <c r="N15" s="451">
        <f>INDEX('Annual_P&amp;L'!$B$8:$V$46,MATCH($B15,'Annual_P&amp;L'!$B$8:$B$46,0),MATCH(N$6,'Annual_P&amp;L'!$B$8:$V$8,0))</f>
        <v>541512.93433019053</v>
      </c>
      <c r="O15" s="451">
        <f>INDEX('Annual_P&amp;L'!$B$8:$V$46,MATCH($B15,'Annual_P&amp;L'!$B$8:$B$46,0),MATCH(O$6,'Annual_P&amp;L'!$B$8:$V$8,0))</f>
        <v>555050.75768844527</v>
      </c>
      <c r="P15" s="451">
        <f>INDEX('Annual_P&amp;L'!$B$8:$V$46,MATCH($B15,'Annual_P&amp;L'!$B$8:$B$46,0),MATCH(P$6,'Annual_P&amp;L'!$B$8:$V$8,0))</f>
        <v>568927.02663065644</v>
      </c>
      <c r="Q15" s="451">
        <f>INDEX('Annual_P&amp;L'!$B$8:$V$46,MATCH($B15,'Annual_P&amp;L'!$B$8:$B$46,0),MATCH(Q$6,'Annual_P&amp;L'!$B$8:$V$8,0))</f>
        <v>583150.20229642279</v>
      </c>
      <c r="R15" s="451">
        <f>INDEX('Annual_P&amp;L'!$B$8:$V$46,MATCH($B15,'Annual_P&amp;L'!$B$8:$B$46,0),MATCH(R$6,'Annual_P&amp;L'!$B$8:$V$8,0))</f>
        <v>597728.95735383313</v>
      </c>
      <c r="S15" s="451">
        <f>INDEX('Annual_P&amp;L'!$B$8:$V$46,MATCH($B15,'Annual_P&amp;L'!$B$8:$B$46,0),MATCH(S$6,'Annual_P&amp;L'!$B$8:$V$8,0))</f>
        <v>612672.18128767889</v>
      </c>
      <c r="T15" s="451">
        <f>INDEX('Annual_P&amp;L'!$B$8:$V$46,MATCH($B15,'Annual_P&amp;L'!$B$8:$B$46,0),MATCH(T$6,'Annual_P&amp;L'!$B$8:$V$8,0))</f>
        <v>627988.98581987096</v>
      </c>
      <c r="U15" s="451">
        <f>INDEX('Annual_P&amp;L'!$B$8:$V$46,MATCH($B15,'Annual_P&amp;L'!$B$8:$B$46,0),MATCH(U$6,'Annual_P&amp;L'!$B$8:$V$8,0))</f>
        <v>643688.71046536753</v>
      </c>
      <c r="V15" s="451">
        <f>INDEX('Annual_P&amp;L'!$B$8:$V$46,MATCH($B15,'Annual_P&amp;L'!$B$8:$B$46,0),MATCH(V$6,'Annual_P&amp;L'!$B$8:$V$8,0))</f>
        <v>494835.69617025118</v>
      </c>
    </row>
    <row r="16" spans="1:22" ht="16" customHeight="1" x14ac:dyDescent="0.15">
      <c r="F16" s="451"/>
      <c r="G16" s="451"/>
      <c r="H16" s="451"/>
      <c r="I16" s="451"/>
      <c r="J16" s="451"/>
      <c r="K16" s="451"/>
      <c r="L16" s="451"/>
      <c r="M16" s="451"/>
      <c r="N16" s="451"/>
      <c r="O16" s="451"/>
      <c r="P16" s="451"/>
      <c r="Q16" s="451"/>
      <c r="R16" s="451"/>
      <c r="S16" s="451"/>
      <c r="T16" s="451"/>
      <c r="U16" s="451"/>
      <c r="V16" s="451"/>
    </row>
    <row r="17" spans="2:22" ht="16" customHeight="1" x14ac:dyDescent="0.15">
      <c r="B17" s="270" t="s">
        <v>66</v>
      </c>
      <c r="C17" s="270"/>
      <c r="D17" s="261" t="s">
        <v>150</v>
      </c>
      <c r="E17" s="270"/>
      <c r="F17" s="453">
        <f>INDEX('Annual_P&amp;L'!$B$8:$V$46,MATCH($B17,'Annual_P&amp;L'!$B$8:$B$42,0),MATCH(F$6,'Annual_P&amp;L'!$B$8:$V$8,0))</f>
        <v>0</v>
      </c>
      <c r="G17" s="453">
        <f>INDEX('Annual_P&amp;L'!$B$8:$V$46,MATCH($B17,'Annual_P&amp;L'!$B$8:$B$46,0),MATCH(G$6,'Annual_P&amp;L'!$B$8:$V$8,0))</f>
        <v>-112950.351478</v>
      </c>
      <c r="H17" s="453">
        <f>INDEX('Annual_P&amp;L'!$B$8:$V$46,MATCH($B17,'Annual_P&amp;L'!$B$8:$B$46,0),MATCH(H$6,'Annual_P&amp;L'!$B$8:$V$8,0))</f>
        <v>-116728.73171524999</v>
      </c>
      <c r="I17" s="453">
        <f>INDEX('Annual_P&amp;L'!$B$8:$V$46,MATCH($B17,'Annual_P&amp;L'!$B$8:$B$46,0),MATCH(I$6,'Annual_P&amp;L'!$B$8:$V$8,0))</f>
        <v>-119369.94924563124</v>
      </c>
      <c r="J17" s="453">
        <f>INDEX('Annual_P&amp;L'!$B$8:$V$46,MATCH($B17,'Annual_P&amp;L'!$B$8:$B$46,0),MATCH(J$6,'Annual_P&amp;L'!$B$8:$V$8,0))</f>
        <v>-122071.65719902201</v>
      </c>
      <c r="K17" s="453">
        <f>INDEX('Annual_P&amp;L'!$B$8:$V$46,MATCH($B17,'Annual_P&amp;L'!$B$8:$B$46,0),MATCH(K$6,'Annual_P&amp;L'!$B$8:$V$8,0))</f>
        <v>-124835.25703569254</v>
      </c>
      <c r="L17" s="453">
        <f>INDEX('Annual_P&amp;L'!$B$8:$V$46,MATCH($B17,'Annual_P&amp;L'!$B$8:$B$46,0),MATCH(L$6,'Annual_P&amp;L'!$B$8:$V$8,0))</f>
        <v>-127662.18303641379</v>
      </c>
      <c r="M17" s="453">
        <f>INDEX('Annual_P&amp;L'!$B$8:$V$46,MATCH($B17,'Annual_P&amp;L'!$B$8:$B$46,0),MATCH(M$6,'Annual_P&amp;L'!$B$8:$V$8,0))</f>
        <v>-130553.9030786496</v>
      </c>
      <c r="N17" s="453">
        <f>INDEX('Annual_P&amp;L'!$B$8:$V$46,MATCH($B17,'Annual_P&amp;L'!$B$8:$B$46,0),MATCH(N$6,'Annual_P&amp;L'!$B$8:$V$8,0))</f>
        <v>-133511.91943126783</v>
      </c>
      <c r="O17" s="453">
        <f>INDEX('Annual_P&amp;L'!$B$8:$V$46,MATCH($B17,'Annual_P&amp;L'!$B$8:$B$46,0),MATCH(O$6,'Annual_P&amp;L'!$B$8:$V$8,0))</f>
        <v>-136537.76956821454</v>
      </c>
      <c r="P17" s="453">
        <f>INDEX('Annual_P&amp;L'!$B$8:$V$46,MATCH($B17,'Annual_P&amp;L'!$B$8:$B$46,0),MATCH(P$6,'Annual_P&amp;L'!$B$8:$V$8,0))</f>
        <v>-139633.02700160822</v>
      </c>
      <c r="Q17" s="453">
        <f>INDEX('Annual_P&amp;L'!$B$8:$V$46,MATCH($B17,'Annual_P&amp;L'!$B$8:$B$46,0),MATCH(Q$6,'Annual_P&amp;L'!$B$8:$V$8,0))</f>
        <v>-142799.30213472052</v>
      </c>
      <c r="R17" s="453">
        <f>INDEX('Annual_P&amp;L'!$B$8:$V$46,MATCH($B17,'Annual_P&amp;L'!$B$8:$B$46,0),MATCH(R$6,'Annual_P&amp;L'!$B$8:$V$8,0))</f>
        <v>-146038.24313532206</v>
      </c>
      <c r="S17" s="453">
        <f>INDEX('Annual_P&amp;L'!$B$8:$V$46,MATCH($B17,'Annual_P&amp;L'!$B$8:$B$46,0),MATCH(S$6,'Annual_P&amp;L'!$B$8:$V$8,0))</f>
        <v>-149351.53682988329</v>
      </c>
      <c r="T17" s="453">
        <f>INDEX('Annual_P&amp;L'!$B$8:$V$46,MATCH($B17,'Annual_P&amp;L'!$B$8:$B$46,0),MATCH(T$6,'Annual_P&amp;L'!$B$8:$V$8,0))</f>
        <v>-152740.90961913217</v>
      </c>
      <c r="U17" s="453">
        <f>INDEX('Annual_P&amp;L'!$B$8:$V$46,MATCH($B17,'Annual_P&amp;L'!$B$8:$B$46,0),MATCH(U$6,'Annual_P&amp;L'!$B$8:$V$8,0))</f>
        <v>-156208.12841548226</v>
      </c>
      <c r="V17" s="453">
        <f>INDEX('Annual_P&amp;L'!$B$8:$V$46,MATCH($B17,'Annual_P&amp;L'!$B$8:$B$46,0),MATCH(V$6,'Annual_P&amp;L'!$B$8:$V$8,0))</f>
        <v>-119816.25120214392</v>
      </c>
    </row>
    <row r="18" spans="2:22" s="165" customFormat="1" ht="16" customHeight="1" x14ac:dyDescent="0.15">
      <c r="B18" s="165" t="s">
        <v>48</v>
      </c>
      <c r="D18" s="439" t="s">
        <v>150</v>
      </c>
      <c r="F18" s="451">
        <f>INDEX('Annual_P&amp;L'!$B$8:$V$46,MATCH($B18,'Annual_P&amp;L'!$B$8:$B$42,0),MATCH(F$6,'Annual_P&amp;L'!$B$8:$V$8,0))</f>
        <v>0</v>
      </c>
      <c r="G18" s="451">
        <f>INDEX('Annual_P&amp;L'!$B$8:$V$46,MATCH($B18,'Annual_P&amp;L'!$B$8:$B$46,0),MATCH(G$6,'Annual_P&amp;L'!$B$8:$V$8,0))</f>
        <v>286143.71932200011</v>
      </c>
      <c r="H18" s="451">
        <f>INDEX('Annual_P&amp;L'!$B$8:$V$46,MATCH($B18,'Annual_P&amp;L'!$B$8:$B$46,0),MATCH(H$6,'Annual_P&amp;L'!$B$8:$V$8,0))</f>
        <v>350216.17443475017</v>
      </c>
      <c r="I18" s="451">
        <f>INDEX('Annual_P&amp;L'!$B$8:$V$46,MATCH($B18,'Annual_P&amp;L'!$B$8:$B$46,0),MATCH(I$6,'Annual_P&amp;L'!$B$8:$V$8,0))</f>
        <v>359248.57955811871</v>
      </c>
      <c r="J18" s="451">
        <f>INDEX('Annual_P&amp;L'!$B$8:$V$46,MATCH($B18,'Annual_P&amp;L'!$B$8:$B$46,0),MATCH(J$6,'Annual_P&amp;L'!$B$8:$V$8,0))</f>
        <v>368512.33482482168</v>
      </c>
      <c r="K18" s="451">
        <f>INDEX('Annual_P&amp;L'!$B$8:$V$46,MATCH($B18,'Annual_P&amp;L'!$B$8:$B$46,0),MATCH(K$6,'Annual_P&amp;L'!$B$8:$V$8,0))</f>
        <v>378013.33478874725</v>
      </c>
      <c r="L18" s="451">
        <f>INDEX('Annual_P&amp;L'!$B$8:$V$46,MATCH($B18,'Annual_P&amp;L'!$B$8:$B$46,0),MATCH(L$6,'Annual_P&amp;L'!$B$8:$V$8,0))</f>
        <v>387757.62358363677</v>
      </c>
      <c r="M18" s="451">
        <f>INDEX('Annual_P&amp;L'!$B$8:$V$46,MATCH($B18,'Annual_P&amp;L'!$B$8:$B$46,0),MATCH(M$6,'Annual_P&amp;L'!$B$8:$V$8,0))</f>
        <v>397751.39870690223</v>
      </c>
      <c r="N18" s="451">
        <f>INDEX('Annual_P&amp;L'!$B$8:$V$46,MATCH($B18,'Annual_P&amp;L'!$B$8:$B$46,0),MATCH(N$6,'Annual_P&amp;L'!$B$8:$V$8,0))</f>
        <v>408001.0148989227</v>
      </c>
      <c r="O18" s="451">
        <f>INDEX('Annual_P&amp;L'!$B$8:$V$46,MATCH($B18,'Annual_P&amp;L'!$B$8:$B$46,0),MATCH(O$6,'Annual_P&amp;L'!$B$8:$V$8,0))</f>
        <v>418512.98812023073</v>
      </c>
      <c r="P18" s="451">
        <f>INDEX('Annual_P&amp;L'!$B$8:$V$46,MATCH($B18,'Annual_P&amp;L'!$B$8:$B$46,0),MATCH(P$6,'Annual_P&amp;L'!$B$8:$V$8,0))</f>
        <v>429293.99962904822</v>
      </c>
      <c r="Q18" s="451">
        <f>INDEX('Annual_P&amp;L'!$B$8:$V$46,MATCH($B18,'Annual_P&amp;L'!$B$8:$B$46,0),MATCH(Q$6,'Annual_P&amp;L'!$B$8:$V$8,0))</f>
        <v>440350.9001617023</v>
      </c>
      <c r="R18" s="451">
        <f>INDEX('Annual_P&amp;L'!$B$8:$V$46,MATCH($B18,'Annual_P&amp;L'!$B$8:$B$46,0),MATCH(R$6,'Annual_P&amp;L'!$B$8:$V$8,0))</f>
        <v>451690.71421851107</v>
      </c>
      <c r="S18" s="451">
        <f>INDEX('Annual_P&amp;L'!$B$8:$V$46,MATCH($B18,'Annual_P&amp;L'!$B$8:$B$46,0),MATCH(S$6,'Annual_P&amp;L'!$B$8:$V$8,0))</f>
        <v>463320.6444577956</v>
      </c>
      <c r="T18" s="451">
        <f>INDEX('Annual_P&amp;L'!$B$8:$V$46,MATCH($B18,'Annual_P&amp;L'!$B$8:$B$46,0),MATCH(T$6,'Annual_P&amp;L'!$B$8:$V$8,0))</f>
        <v>475248.07620073878</v>
      </c>
      <c r="U18" s="451">
        <f>INDEX('Annual_P&amp;L'!$B$8:$V$46,MATCH($B18,'Annual_P&amp;L'!$B$8:$B$46,0),MATCH(U$6,'Annual_P&amp;L'!$B$8:$V$8,0))</f>
        <v>487480.5820498853</v>
      </c>
      <c r="V18" s="451">
        <f>INDEX('Annual_P&amp;L'!$B$8:$V$46,MATCH($B18,'Annual_P&amp;L'!$B$8:$B$46,0),MATCH(V$6,'Annual_P&amp;L'!$B$8:$V$8,0))</f>
        <v>375019.44496810727</v>
      </c>
    </row>
    <row r="19" spans="2:22" ht="16" customHeight="1" x14ac:dyDescent="0.15">
      <c r="B19" s="250" t="s">
        <v>364</v>
      </c>
      <c r="D19" s="177" t="s">
        <v>155</v>
      </c>
      <c r="F19" s="451"/>
      <c r="G19" s="452">
        <f>+G18/G15</f>
        <v>0.71698313820702353</v>
      </c>
      <c r="H19" s="452">
        <f t="shared" ref="H19:V19" si="1">+H18/H15</f>
        <v>0.75001605076348687</v>
      </c>
      <c r="I19" s="452">
        <f t="shared" si="1"/>
        <v>0.75059480136721368</v>
      </c>
      <c r="J19" s="452">
        <f t="shared" si="1"/>
        <v>0.75117072879726376</v>
      </c>
      <c r="K19" s="452">
        <f t="shared" si="1"/>
        <v>0.751743846825216</v>
      </c>
      <c r="L19" s="452">
        <f t="shared" si="1"/>
        <v>0.75231416915547078</v>
      </c>
      <c r="M19" s="452">
        <f t="shared" si="1"/>
        <v>0.75288170942557819</v>
      </c>
      <c r="N19" s="452">
        <f t="shared" si="1"/>
        <v>0.75344648120656299</v>
      </c>
      <c r="O19" s="452">
        <f t="shared" si="1"/>
        <v>0.75400849800325043</v>
      </c>
      <c r="P19" s="452">
        <f t="shared" si="1"/>
        <v>0.75456777325458813</v>
      </c>
      <c r="Q19" s="452">
        <f t="shared" si="1"/>
        <v>0.75512432033396815</v>
      </c>
      <c r="R19" s="452">
        <f t="shared" si="1"/>
        <v>0.75567815254954618</v>
      </c>
      <c r="S19" s="452">
        <f t="shared" si="1"/>
        <v>0.7562292831445605</v>
      </c>
      <c r="T19" s="452">
        <f t="shared" si="1"/>
        <v>0.75677772529764786</v>
      </c>
      <c r="U19" s="452">
        <f t="shared" si="1"/>
        <v>0.75732349212315919</v>
      </c>
      <c r="V19" s="452">
        <f t="shared" si="1"/>
        <v>0.75786659667147294</v>
      </c>
    </row>
    <row r="20" spans="2:22" ht="16" customHeight="1" x14ac:dyDescent="0.15">
      <c r="D20" s="177"/>
      <c r="F20" s="451"/>
      <c r="G20" s="451"/>
      <c r="H20" s="451"/>
      <c r="I20" s="451"/>
      <c r="J20" s="451"/>
      <c r="K20" s="451"/>
      <c r="L20" s="451"/>
      <c r="M20" s="451"/>
      <c r="N20" s="451"/>
      <c r="O20" s="451"/>
      <c r="P20" s="451"/>
      <c r="Q20" s="451"/>
      <c r="R20" s="451"/>
      <c r="S20" s="451"/>
      <c r="T20" s="451"/>
      <c r="U20" s="451"/>
      <c r="V20" s="451"/>
    </row>
    <row r="21" spans="2:22" ht="16" customHeight="1" x14ac:dyDescent="0.15">
      <c r="B21" s="319" t="s">
        <v>281</v>
      </c>
      <c r="C21" s="270"/>
      <c r="D21" s="261" t="s">
        <v>150</v>
      </c>
      <c r="E21" s="270"/>
      <c r="F21" s="453">
        <f>INDEX('Annual_P&amp;L'!$B$8:$V$46,MATCH($B21,'Annual_P&amp;L'!$B$8:$B$42,0),MATCH(F$6,'Annual_P&amp;L'!$B$8:$V$8,0))</f>
        <v>0</v>
      </c>
      <c r="G21" s="453">
        <f>INDEX('Annual_P&amp;L'!$B$8:$V$46,MATCH($B21,'Annual_P&amp;L'!$B$8:$B$46,0),MATCH(G$6,'Annual_P&amp;L'!$B$8:$V$8,0))</f>
        <v>-426040</v>
      </c>
      <c r="H21" s="453">
        <f>INDEX('Annual_P&amp;L'!$B$8:$V$46,MATCH($B21,'Annual_P&amp;L'!$B$8:$B$46,0),MATCH(H$6,'Annual_P&amp;L'!$B$8:$V$8,0))</f>
        <v>0</v>
      </c>
      <c r="I21" s="453">
        <f>INDEX('Annual_P&amp;L'!$B$8:$V$46,MATCH($B21,'Annual_P&amp;L'!$B$8:$B$46,0),MATCH(I$6,'Annual_P&amp;L'!$B$8:$V$8,0))</f>
        <v>0</v>
      </c>
      <c r="J21" s="453">
        <f>INDEX('Annual_P&amp;L'!$B$8:$V$46,MATCH($B21,'Annual_P&amp;L'!$B$8:$B$46,0),MATCH(J$6,'Annual_P&amp;L'!$B$8:$V$8,0))</f>
        <v>0</v>
      </c>
      <c r="K21" s="453">
        <f>INDEX('Annual_P&amp;L'!$B$8:$V$46,MATCH($B21,'Annual_P&amp;L'!$B$8:$B$46,0),MATCH(K$6,'Annual_P&amp;L'!$B$8:$V$8,0))</f>
        <v>0</v>
      </c>
      <c r="L21" s="453">
        <f>INDEX('Annual_P&amp;L'!$B$8:$V$46,MATCH($B21,'Annual_P&amp;L'!$B$8:$B$46,0),MATCH(L$6,'Annual_P&amp;L'!$B$8:$V$8,0))</f>
        <v>0</v>
      </c>
      <c r="M21" s="453">
        <f>INDEX('Annual_P&amp;L'!$B$8:$V$46,MATCH($B21,'Annual_P&amp;L'!$B$8:$B$46,0),MATCH(M$6,'Annual_P&amp;L'!$B$8:$V$8,0))</f>
        <v>0</v>
      </c>
      <c r="N21" s="453">
        <f>INDEX('Annual_P&amp;L'!$B$8:$V$46,MATCH($B21,'Annual_P&amp;L'!$B$8:$B$46,0),MATCH(N$6,'Annual_P&amp;L'!$B$8:$V$8,0))</f>
        <v>0</v>
      </c>
      <c r="O21" s="453">
        <f>INDEX('Annual_P&amp;L'!$B$8:$V$46,MATCH($B21,'Annual_P&amp;L'!$B$8:$B$46,0),MATCH(O$6,'Annual_P&amp;L'!$B$8:$V$8,0))</f>
        <v>0</v>
      </c>
      <c r="P21" s="453">
        <f>INDEX('Annual_P&amp;L'!$B$8:$V$46,MATCH($B21,'Annual_P&amp;L'!$B$8:$B$46,0),MATCH(P$6,'Annual_P&amp;L'!$B$8:$V$8,0))</f>
        <v>0</v>
      </c>
      <c r="Q21" s="453">
        <f>INDEX('Annual_P&amp;L'!$B$8:$V$46,MATCH($B21,'Annual_P&amp;L'!$B$8:$B$46,0),MATCH(Q$6,'Annual_P&amp;L'!$B$8:$V$8,0))</f>
        <v>0</v>
      </c>
      <c r="R21" s="453">
        <f>INDEX('Annual_P&amp;L'!$B$8:$V$46,MATCH($B21,'Annual_P&amp;L'!$B$8:$B$46,0),MATCH(R$6,'Annual_P&amp;L'!$B$8:$V$8,0))</f>
        <v>0</v>
      </c>
      <c r="S21" s="453">
        <f>INDEX('Annual_P&amp;L'!$B$8:$V$46,MATCH($B21,'Annual_P&amp;L'!$B$8:$B$46,0),MATCH(S$6,'Annual_P&amp;L'!$B$8:$V$8,0))</f>
        <v>0</v>
      </c>
      <c r="T21" s="453">
        <f>INDEX('Annual_P&amp;L'!$B$8:$V$46,MATCH($B21,'Annual_P&amp;L'!$B$8:$B$46,0),MATCH(T$6,'Annual_P&amp;L'!$B$8:$V$8,0))</f>
        <v>0</v>
      </c>
      <c r="U21" s="453">
        <f>INDEX('Annual_P&amp;L'!$B$8:$V$46,MATCH($B21,'Annual_P&amp;L'!$B$8:$B$46,0),MATCH(U$6,'Annual_P&amp;L'!$B$8:$V$8,0))</f>
        <v>0</v>
      </c>
      <c r="V21" s="453">
        <f>INDEX('Annual_P&amp;L'!$B$8:$V$46,MATCH($B21,'Annual_P&amp;L'!$B$8:$B$46,0),MATCH(V$6,'Annual_P&amp;L'!$B$8:$V$8,0))</f>
        <v>0</v>
      </c>
    </row>
    <row r="22" spans="2:22" s="165" customFormat="1" ht="16" customHeight="1" x14ac:dyDescent="0.15">
      <c r="B22" s="165" t="s">
        <v>236</v>
      </c>
      <c r="D22" s="439" t="s">
        <v>150</v>
      </c>
      <c r="F22" s="451">
        <f>INDEX('Annual_P&amp;L'!$B$8:$V$46,MATCH($B22,'Annual_P&amp;L'!$B$8:$B$42,0),MATCH(F$6,'Annual_P&amp;L'!$B$8:$V$8,0))</f>
        <v>0</v>
      </c>
      <c r="G22" s="451">
        <f>INDEX('Annual_P&amp;L'!$B$8:$V$46,MATCH($B22,'Annual_P&amp;L'!$B$8:$B$46,0),MATCH(G$6,'Annual_P&amp;L'!$B$8:$V$8,0))</f>
        <v>-139896.28067799989</v>
      </c>
      <c r="H22" s="451">
        <f>INDEX('Annual_P&amp;L'!$B$8:$V$46,MATCH($B22,'Annual_P&amp;L'!$B$8:$B$46,0),MATCH(H$6,'Annual_P&amp;L'!$B$8:$V$8,0))</f>
        <v>350216.17443475017</v>
      </c>
      <c r="I22" s="451">
        <f>INDEX('Annual_P&amp;L'!$B$8:$V$46,MATCH($B22,'Annual_P&amp;L'!$B$8:$B$46,0),MATCH(I$6,'Annual_P&amp;L'!$B$8:$V$8,0))</f>
        <v>359248.57955811871</v>
      </c>
      <c r="J22" s="451">
        <f>INDEX('Annual_P&amp;L'!$B$8:$V$46,MATCH($B22,'Annual_P&amp;L'!$B$8:$B$46,0),MATCH(J$6,'Annual_P&amp;L'!$B$8:$V$8,0))</f>
        <v>368512.33482482168</v>
      </c>
      <c r="K22" s="451">
        <f>INDEX('Annual_P&amp;L'!$B$8:$V$46,MATCH($B22,'Annual_P&amp;L'!$B$8:$B$46,0),MATCH(K$6,'Annual_P&amp;L'!$B$8:$V$8,0))</f>
        <v>378013.33478874725</v>
      </c>
      <c r="L22" s="451">
        <f>INDEX('Annual_P&amp;L'!$B$8:$V$46,MATCH($B22,'Annual_P&amp;L'!$B$8:$B$46,0),MATCH(L$6,'Annual_P&amp;L'!$B$8:$V$8,0))</f>
        <v>387757.62358363677</v>
      </c>
      <c r="M22" s="451">
        <f>INDEX('Annual_P&amp;L'!$B$8:$V$46,MATCH($B22,'Annual_P&amp;L'!$B$8:$B$46,0),MATCH(M$6,'Annual_P&amp;L'!$B$8:$V$8,0))</f>
        <v>397751.39870690223</v>
      </c>
      <c r="N22" s="451">
        <f>INDEX('Annual_P&amp;L'!$B$8:$V$46,MATCH($B22,'Annual_P&amp;L'!$B$8:$B$46,0),MATCH(N$6,'Annual_P&amp;L'!$B$8:$V$8,0))</f>
        <v>408001.0148989227</v>
      </c>
      <c r="O22" s="451">
        <f>INDEX('Annual_P&amp;L'!$B$8:$V$46,MATCH($B22,'Annual_P&amp;L'!$B$8:$B$46,0),MATCH(O$6,'Annual_P&amp;L'!$B$8:$V$8,0))</f>
        <v>418512.98812023073</v>
      </c>
      <c r="P22" s="451">
        <f>INDEX('Annual_P&amp;L'!$B$8:$V$46,MATCH($B22,'Annual_P&amp;L'!$B$8:$B$46,0),MATCH(P$6,'Annual_P&amp;L'!$B$8:$V$8,0))</f>
        <v>429293.99962904822</v>
      </c>
      <c r="Q22" s="451">
        <f>INDEX('Annual_P&amp;L'!$B$8:$V$46,MATCH($B22,'Annual_P&amp;L'!$B$8:$B$46,0),MATCH(Q$6,'Annual_P&amp;L'!$B$8:$V$8,0))</f>
        <v>440350.9001617023</v>
      </c>
      <c r="R22" s="451">
        <f>INDEX('Annual_P&amp;L'!$B$8:$V$46,MATCH($B22,'Annual_P&amp;L'!$B$8:$B$46,0),MATCH(R$6,'Annual_P&amp;L'!$B$8:$V$8,0))</f>
        <v>451690.71421851107</v>
      </c>
      <c r="S22" s="451">
        <f>INDEX('Annual_P&amp;L'!$B$8:$V$46,MATCH($B22,'Annual_P&amp;L'!$B$8:$B$46,0),MATCH(S$6,'Annual_P&amp;L'!$B$8:$V$8,0))</f>
        <v>463320.6444577956</v>
      </c>
      <c r="T22" s="451">
        <f>INDEX('Annual_P&amp;L'!$B$8:$V$46,MATCH($B22,'Annual_P&amp;L'!$B$8:$B$46,0),MATCH(T$6,'Annual_P&amp;L'!$B$8:$V$8,0))</f>
        <v>475248.07620073878</v>
      </c>
      <c r="U22" s="451">
        <f>INDEX('Annual_P&amp;L'!$B$8:$V$46,MATCH($B22,'Annual_P&amp;L'!$B$8:$B$46,0),MATCH(U$6,'Annual_P&amp;L'!$B$8:$V$8,0))</f>
        <v>487480.5820498853</v>
      </c>
      <c r="V22" s="451">
        <f>INDEX('Annual_P&amp;L'!$B$8:$V$46,MATCH($B22,'Annual_P&amp;L'!$B$8:$B$46,0),MATCH(V$6,'Annual_P&amp;L'!$B$8:$V$8,0))</f>
        <v>375019.44496810727</v>
      </c>
    </row>
    <row r="23" spans="2:22" ht="16" customHeight="1" x14ac:dyDescent="0.15">
      <c r="D23" s="177"/>
      <c r="F23" s="451"/>
      <c r="G23" s="451"/>
      <c r="H23" s="451"/>
      <c r="I23" s="451"/>
      <c r="J23" s="451"/>
      <c r="K23" s="451"/>
      <c r="L23" s="451"/>
      <c r="M23" s="451"/>
      <c r="N23" s="451"/>
      <c r="O23" s="451"/>
      <c r="P23" s="451"/>
      <c r="Q23" s="451"/>
      <c r="R23" s="451"/>
      <c r="S23" s="451"/>
      <c r="T23" s="451"/>
      <c r="U23" s="451"/>
      <c r="V23" s="451"/>
    </row>
    <row r="24" spans="2:22" ht="16" customHeight="1" x14ac:dyDescent="0.15">
      <c r="B24" s="138" t="s">
        <v>67</v>
      </c>
      <c r="D24" s="177" t="s">
        <v>150</v>
      </c>
      <c r="F24" s="451">
        <f>INDEX('Annual_P&amp;L'!$B$8:$V$46,MATCH($B24,'Annual_P&amp;L'!$B$8:$B$42,0),MATCH(F$6,'Annual_P&amp;L'!$B$8:$V$8,0))</f>
        <v>0</v>
      </c>
      <c r="G24" s="451">
        <f>INDEX('Annual_P&amp;L'!$B$8:$V$46,MATCH($B24,'Annual_P&amp;L'!$B$8:$B$46,0),MATCH(G$6,'Annual_P&amp;L'!$B$8:$V$8,0))</f>
        <v>-224155.58998772621</v>
      </c>
      <c r="H24" s="451">
        <f>INDEX('Annual_P&amp;L'!$B$8:$V$46,MATCH($B24,'Annual_P&amp;L'!$B$8:$B$46,0),MATCH(H$6,'Annual_P&amp;L'!$B$8:$V$8,0))</f>
        <v>-240052.77010071772</v>
      </c>
      <c r="I24" s="451">
        <f>INDEX('Annual_P&amp;L'!$B$8:$V$46,MATCH($B24,'Annual_P&amp;L'!$B$8:$B$46,0),MATCH(I$6,'Annual_P&amp;L'!$B$8:$V$8,0))</f>
        <v>-247134.36561616132</v>
      </c>
      <c r="J24" s="451">
        <f>INDEX('Annual_P&amp;L'!$B$8:$V$46,MATCH($B24,'Annual_P&amp;L'!$B$8:$B$46,0),MATCH(J$6,'Annual_P&amp;L'!$B$8:$V$8,0))</f>
        <v>-247134.36561616126</v>
      </c>
      <c r="K24" s="451">
        <f>INDEX('Annual_P&amp;L'!$B$8:$V$46,MATCH($B24,'Annual_P&amp;L'!$B$8:$B$46,0),MATCH(K$6,'Annual_P&amp;L'!$B$8:$V$8,0))</f>
        <v>-247134.36561616129</v>
      </c>
      <c r="L24" s="451">
        <f>INDEX('Annual_P&amp;L'!$B$8:$V$46,MATCH($B24,'Annual_P&amp;L'!$B$8:$B$46,0),MATCH(L$6,'Annual_P&amp;L'!$B$8:$V$8,0))</f>
        <v>-247134.36561616129</v>
      </c>
      <c r="M24" s="451">
        <f>INDEX('Annual_P&amp;L'!$B$8:$V$46,MATCH($B24,'Annual_P&amp;L'!$B$8:$B$46,0),MATCH(M$6,'Annual_P&amp;L'!$B$8:$V$8,0))</f>
        <v>-247134.36561616126</v>
      </c>
      <c r="N24" s="451">
        <f>INDEX('Annual_P&amp;L'!$B$8:$V$46,MATCH($B24,'Annual_P&amp;L'!$B$8:$B$46,0),MATCH(N$6,'Annual_P&amp;L'!$B$8:$V$8,0))</f>
        <v>-247134.36561616123</v>
      </c>
      <c r="O24" s="451">
        <f>INDEX('Annual_P&amp;L'!$B$8:$V$46,MATCH($B24,'Annual_P&amp;L'!$B$8:$B$46,0),MATCH(O$6,'Annual_P&amp;L'!$B$8:$V$8,0))</f>
        <v>-247134.36561616126</v>
      </c>
      <c r="P24" s="451">
        <f>INDEX('Annual_P&amp;L'!$B$8:$V$46,MATCH($B24,'Annual_P&amp;L'!$B$8:$B$46,0),MATCH(P$6,'Annual_P&amp;L'!$B$8:$V$8,0))</f>
        <v>-247134.36561616123</v>
      </c>
      <c r="Q24" s="451">
        <f>INDEX('Annual_P&amp;L'!$B$8:$V$46,MATCH($B24,'Annual_P&amp;L'!$B$8:$B$46,0),MATCH(Q$6,'Annual_P&amp;L'!$B$8:$V$8,0))</f>
        <v>0</v>
      </c>
      <c r="R24" s="451">
        <f>INDEX('Annual_P&amp;L'!$B$8:$V$46,MATCH($B24,'Annual_P&amp;L'!$B$8:$B$46,0),MATCH(R$6,'Annual_P&amp;L'!$B$8:$V$8,0))</f>
        <v>0</v>
      </c>
      <c r="S24" s="451">
        <f>INDEX('Annual_P&amp;L'!$B$8:$V$46,MATCH($B24,'Annual_P&amp;L'!$B$8:$B$46,0),MATCH(S$6,'Annual_P&amp;L'!$B$8:$V$8,0))</f>
        <v>0</v>
      </c>
      <c r="T24" s="451">
        <f>INDEX('Annual_P&amp;L'!$B$8:$V$46,MATCH($B24,'Annual_P&amp;L'!$B$8:$B$46,0),MATCH(T$6,'Annual_P&amp;L'!$B$8:$V$8,0))</f>
        <v>0</v>
      </c>
      <c r="U24" s="451">
        <f>INDEX('Annual_P&amp;L'!$B$8:$V$46,MATCH($B24,'Annual_P&amp;L'!$B$8:$B$46,0),MATCH(U$6,'Annual_P&amp;L'!$B$8:$V$8,0))</f>
        <v>0</v>
      </c>
      <c r="V24" s="451">
        <f>INDEX('Annual_P&amp;L'!$B$8:$V$46,MATCH($B24,'Annual_P&amp;L'!$B$8:$B$46,0),MATCH(V$6,'Annual_P&amp;L'!$B$8:$V$8,0))</f>
        <v>0</v>
      </c>
    </row>
    <row r="25" spans="2:22" ht="16" customHeight="1" x14ac:dyDescent="0.15">
      <c r="D25" s="177"/>
      <c r="F25" s="451"/>
      <c r="G25" s="451"/>
      <c r="H25" s="451"/>
      <c r="I25" s="451"/>
      <c r="J25" s="451"/>
      <c r="K25" s="451"/>
      <c r="L25" s="451"/>
      <c r="M25" s="451"/>
      <c r="N25" s="451"/>
      <c r="O25" s="451"/>
      <c r="P25" s="451"/>
      <c r="Q25" s="451"/>
      <c r="R25" s="451"/>
      <c r="S25" s="451"/>
      <c r="T25" s="451"/>
      <c r="U25" s="451"/>
      <c r="V25" s="451"/>
    </row>
    <row r="26" spans="2:22" ht="16" customHeight="1" x14ac:dyDescent="0.15">
      <c r="B26" s="138" t="s">
        <v>365</v>
      </c>
      <c r="D26" s="177" t="s">
        <v>150</v>
      </c>
      <c r="F26" s="451">
        <f t="shared" ref="F26:V26" si="2">IF(F$6=hold_length,sale_price*(1-cost_sale),0)</f>
        <v>0</v>
      </c>
      <c r="G26" s="451">
        <f t="shared" si="2"/>
        <v>0</v>
      </c>
      <c r="H26" s="451">
        <f t="shared" si="2"/>
        <v>0</v>
      </c>
      <c r="I26" s="451">
        <f t="shared" si="2"/>
        <v>0</v>
      </c>
      <c r="J26" s="451">
        <f t="shared" si="2"/>
        <v>0</v>
      </c>
      <c r="K26" s="451">
        <f t="shared" si="2"/>
        <v>0</v>
      </c>
      <c r="L26" s="451">
        <f t="shared" si="2"/>
        <v>0</v>
      </c>
      <c r="M26" s="451">
        <f t="shared" si="2"/>
        <v>0</v>
      </c>
      <c r="N26" s="451">
        <f t="shared" si="2"/>
        <v>0</v>
      </c>
      <c r="O26" s="451">
        <f t="shared" si="2"/>
        <v>0</v>
      </c>
      <c r="P26" s="451">
        <f t="shared" si="2"/>
        <v>7686124.8028224399</v>
      </c>
      <c r="Q26" s="451">
        <f t="shared" si="2"/>
        <v>0</v>
      </c>
      <c r="R26" s="451">
        <f t="shared" si="2"/>
        <v>0</v>
      </c>
      <c r="S26" s="451">
        <f t="shared" si="2"/>
        <v>0</v>
      </c>
      <c r="T26" s="451">
        <f t="shared" si="2"/>
        <v>0</v>
      </c>
      <c r="U26" s="451">
        <f t="shared" si="2"/>
        <v>0</v>
      </c>
      <c r="V26" s="451">
        <f t="shared" si="2"/>
        <v>0</v>
      </c>
    </row>
    <row r="27" spans="2:22" ht="16" customHeight="1" x14ac:dyDescent="0.15">
      <c r="D27" s="177"/>
      <c r="G27"/>
      <c r="H27" s="246"/>
      <c r="I27" s="246"/>
      <c r="K27" s="247"/>
      <c r="L27" s="248"/>
      <c r="M27" s="248"/>
      <c r="N27" s="248"/>
      <c r="O27" s="248"/>
      <c r="P27" s="248"/>
      <c r="Q27" s="248"/>
      <c r="R27" s="248"/>
      <c r="S27" s="248"/>
    </row>
    <row r="28" spans="2:22" ht="16" customHeight="1" x14ac:dyDescent="0.15">
      <c r="B28" s="232" t="s">
        <v>71</v>
      </c>
      <c r="C28" s="232"/>
      <c r="D28" s="454" t="s">
        <v>260</v>
      </c>
      <c r="E28" s="232"/>
      <c r="F28" s="232"/>
      <c r="G28" s="455">
        <f>INDEX('Annual_P&amp;L'!$B$8:$V$46,MATCH($B28,'Annual_P&amp;L'!$B$8:$B$46,0),MATCH(G$6,'Annual_P&amp;L'!$B$8:$V$8,0))</f>
        <v>1.2765406356257638</v>
      </c>
      <c r="H28" s="455">
        <f>INDEX('Annual_P&amp;L'!$B$8:$V$46,MATCH($B28,'Annual_P&amp;L'!$B$8:$B$46,0),MATCH(H$6,'Annual_P&amp;L'!$B$8:$V$8,0))</f>
        <v>1.4589132809748946</v>
      </c>
      <c r="I28" s="455">
        <f>INDEX('Annual_P&amp;L'!$B$8:$V$46,MATCH($B28,'Annual_P&amp;L'!$B$8:$B$46,0),MATCH(I$6,'Annual_P&amp;L'!$B$8:$V$8,0))</f>
        <v>1.4536569151863261</v>
      </c>
      <c r="J28" s="455">
        <f>INDEX('Annual_P&amp;L'!$B$8:$V$46,MATCH($B28,'Annual_P&amp;L'!$B$8:$B$46,0),MATCH(J$6,'Annual_P&amp;L'!$B$8:$V$8,0))</f>
        <v>1.4911416059277631</v>
      </c>
      <c r="K28" s="455">
        <f>INDEX('Annual_P&amp;L'!$B$8:$V$46,MATCH($B28,'Annual_P&amp;L'!$B$8:$B$46,0),MATCH(K$6,'Annual_P&amp;L'!$B$8:$V$8,0))</f>
        <v>1.5295862792949713</v>
      </c>
      <c r="L28" s="455">
        <f>INDEX('Annual_P&amp;L'!$B$8:$V$46,MATCH($B28,'Annual_P&amp;L'!$B$8:$B$46,0),MATCH(L$6,'Annual_P&amp;L'!$B$8:$V$8,0))</f>
        <v>1.569015392160739</v>
      </c>
      <c r="M28" s="455">
        <f>INDEX('Annual_P&amp;L'!$B$8:$V$46,MATCH($B28,'Annual_P&amp;L'!$B$8:$B$46,0),MATCH(M$6,'Annual_P&amp;L'!$B$8:$V$8,0))</f>
        <v>1.6094540219658202</v>
      </c>
      <c r="N28" s="455">
        <f>INDEX('Annual_P&amp;L'!$B$8:$V$46,MATCH($B28,'Annual_P&amp;L'!$B$8:$B$46,0),MATCH(N$6,'Annual_P&amp;L'!$B$8:$V$8,0))</f>
        <v>1.6509278824160492</v>
      </c>
      <c r="O28" s="455">
        <f>INDEX('Annual_P&amp;L'!$B$8:$V$46,MATCH($B28,'Annual_P&amp;L'!$B$8:$B$46,0),MATCH(O$6,'Annual_P&amp;L'!$B$8:$V$8,0))</f>
        <v>1.6934633395755554</v>
      </c>
      <c r="P28" s="455">
        <f>INDEX('Annual_P&amp;L'!$B$8:$V$46,MATCH($B28,'Annual_P&amp;L'!$B$8:$B$46,0),MATCH(P$6,'Annual_P&amp;L'!$B$8:$V$8,0))</f>
        <v>1.737087428366032</v>
      </c>
      <c r="Q28" s="455">
        <f>INDEX('Annual_P&amp;L'!$B$8:$V$46,MATCH($B28,'Annual_P&amp;L'!$B$8:$B$46,0),MATCH(Q$6,'Annual_P&amp;L'!$B$8:$V$8,0))</f>
        <v>0</v>
      </c>
      <c r="R28" s="455">
        <f>INDEX('Annual_P&amp;L'!$B$8:$V$46,MATCH($B28,'Annual_P&amp;L'!$B$8:$B$46,0),MATCH(R$6,'Annual_P&amp;L'!$B$8:$V$8,0))</f>
        <v>0</v>
      </c>
      <c r="S28" s="455">
        <f>INDEX('Annual_P&amp;L'!$B$8:$V$46,MATCH($B28,'Annual_P&amp;L'!$B$8:$B$46,0),MATCH(S$6,'Annual_P&amp;L'!$B$8:$V$8,0))</f>
        <v>0</v>
      </c>
      <c r="T28" s="455">
        <f>INDEX('Annual_P&amp;L'!$B$8:$V$46,MATCH($B28,'Annual_P&amp;L'!$B$8:$B$46,0),MATCH(T$6,'Annual_P&amp;L'!$B$8:$V$8,0))</f>
        <v>0</v>
      </c>
      <c r="U28" s="455">
        <f>INDEX('Annual_P&amp;L'!$B$8:$V$46,MATCH($B28,'Annual_P&amp;L'!$B$8:$B$46,0),MATCH(U$6,'Annual_P&amp;L'!$B$8:$V$8,0))</f>
        <v>0</v>
      </c>
      <c r="V28" s="455">
        <f>INDEX('Annual_P&amp;L'!$B$8:$V$46,MATCH($B28,'Annual_P&amp;L'!$B$8:$B$46,0),MATCH(V$6,'Annual_P&amp;L'!$B$8:$V$8,0))</f>
        <v>0</v>
      </c>
    </row>
    <row r="29" spans="2:22" ht="16" customHeight="1" x14ac:dyDescent="0.15">
      <c r="B29" s="138" t="s">
        <v>363</v>
      </c>
      <c r="D29" s="177" t="s">
        <v>155</v>
      </c>
      <c r="G29" s="450">
        <f>+G$18/-$F$8</f>
        <v>7.128021028334669E-2</v>
      </c>
      <c r="H29" s="450">
        <f t="shared" ref="H29:V29" si="3">+H$18/-$F$8</f>
        <v>8.7241064097047627E-2</v>
      </c>
      <c r="I29" s="450">
        <f t="shared" si="3"/>
        <v>8.9491093341385428E-2</v>
      </c>
      <c r="J29" s="450">
        <f t="shared" si="3"/>
        <v>9.1798753369669958E-2</v>
      </c>
      <c r="K29" s="450">
        <f t="shared" si="3"/>
        <v>9.4165512552556604E-2</v>
      </c>
      <c r="L29" s="450">
        <f t="shared" si="3"/>
        <v>9.6592876521988252E-2</v>
      </c>
      <c r="M29" s="450">
        <f t="shared" si="3"/>
        <v>9.9082389113768113E-2</v>
      </c>
      <c r="N29" s="450">
        <f t="shared" si="3"/>
        <v>0.10163563333391704</v>
      </c>
      <c r="O29" s="450">
        <f t="shared" si="3"/>
        <v>0.1042542323494158</v>
      </c>
      <c r="P29" s="450">
        <f t="shared" si="3"/>
        <v>0.10693985050394508</v>
      </c>
      <c r="Q29" s="450">
        <f t="shared" si="3"/>
        <v>0.10969419435925344</v>
      </c>
      <c r="R29" s="450">
        <f t="shared" si="3"/>
        <v>0.11251901376279864</v>
      </c>
      <c r="S29" s="450">
        <f t="shared" si="3"/>
        <v>0.11541610294232382</v>
      </c>
      <c r="T29" s="450">
        <f t="shared" si="3"/>
        <v>0.11838730162804624</v>
      </c>
      <c r="U29" s="450">
        <f t="shared" si="3"/>
        <v>0.12143449620315497</v>
      </c>
      <c r="V29" s="450">
        <f t="shared" si="3"/>
        <v>9.3419715662497169E-2</v>
      </c>
    </row>
    <row r="30" spans="2:22" ht="16" customHeight="1" x14ac:dyDescent="0.15">
      <c r="D30" s="177"/>
      <c r="G30"/>
      <c r="H30" s="246"/>
      <c r="I30" s="246"/>
      <c r="K30" s="247"/>
      <c r="L30" s="248"/>
      <c r="M30" s="248"/>
      <c r="N30" s="248"/>
      <c r="O30" s="248"/>
      <c r="P30" s="248"/>
      <c r="Q30" s="248"/>
      <c r="R30" s="248"/>
      <c r="S30" s="248"/>
    </row>
    <row r="31" spans="2:22" ht="16" customHeight="1" x14ac:dyDescent="0.15">
      <c r="B31" s="139" t="s">
        <v>473</v>
      </c>
      <c r="C31" s="139"/>
      <c r="D31" s="140">
        <f>Equity_Waterfall!E4</f>
        <v>8.6626896262168906E-2</v>
      </c>
      <c r="F31" s="456" t="s">
        <v>115</v>
      </c>
      <c r="G31" s="457"/>
      <c r="H31" s="457"/>
      <c r="I31" s="458"/>
      <c r="J31" s="459"/>
      <c r="K31" s="460"/>
      <c r="L31" s="460"/>
      <c r="M31" s="474"/>
    </row>
    <row r="32" spans="2:22" ht="16" customHeight="1" x14ac:dyDescent="0.15">
      <c r="B32" s="141" t="s">
        <v>474</v>
      </c>
      <c r="C32" s="141"/>
      <c r="D32" s="142">
        <f>Equity_Waterfall!E5</f>
        <v>2.0340306246030173</v>
      </c>
      <c r="F32" s="462" t="str">
        <f>'Assumptions_&amp;_Inputs'!B92</f>
        <v>Sources of Funds</v>
      </c>
      <c r="G32" s="462"/>
      <c r="H32" s="462"/>
      <c r="I32" s="465" t="str">
        <f>'Assumptions_&amp;_Inputs'!E92</f>
        <v>%LTC</v>
      </c>
      <c r="J32" s="462" t="str">
        <f>'Assumptions_&amp;_Inputs'!G92</f>
        <v>Uses of Funds</v>
      </c>
      <c r="K32" s="462"/>
      <c r="L32" s="462"/>
      <c r="M32" s="463" t="str">
        <f>'Assumptions_&amp;_Inputs'!J92</f>
        <v>%LTC</v>
      </c>
    </row>
    <row r="33" spans="2:32" ht="16" customHeight="1" x14ac:dyDescent="0.15">
      <c r="B33" s="144" t="s">
        <v>450</v>
      </c>
      <c r="C33" s="144"/>
      <c r="D33" s="145">
        <f>Equity_Waterfall!E6</f>
        <v>-254484.31127593061</v>
      </c>
      <c r="F33" t="str">
        <f>'Assumptions_&amp;_Inputs'!B93</f>
        <v>Bridge Loan</v>
      </c>
      <c r="G33"/>
      <c r="H33" s="93">
        <f>'Assumptions_&amp;_Inputs'!D93</f>
        <v>4014350.1006036219</v>
      </c>
      <c r="I33" s="466">
        <f>'Assumptions_&amp;_Inputs'!E93</f>
        <v>0.60000000000000009</v>
      </c>
      <c r="J33" t="str">
        <f>'Assumptions_&amp;_Inputs'!G93</f>
        <v>Acquisition &amp; Closing Costs</v>
      </c>
      <c r="K33" s="247"/>
      <c r="L33" s="93">
        <f>'Assumptions_&amp;_Inputs'!I93</f>
        <v>6224400</v>
      </c>
      <c r="M33" s="471">
        <f>'Assumptions_&amp;_Inputs'!J93</f>
        <v>0.93032244483071802</v>
      </c>
    </row>
    <row r="34" spans="2:32" ht="16" customHeight="1" x14ac:dyDescent="0.15">
      <c r="B34" s="150" t="s">
        <v>10</v>
      </c>
      <c r="C34" s="150"/>
      <c r="D34" s="151">
        <f>Equity_Waterfall!E7</f>
        <v>6.9042411446571361E-2</v>
      </c>
      <c r="F34" s="315" t="str">
        <f>'Assumptions_&amp;_Inputs'!B94</f>
        <v>Equity</v>
      </c>
      <c r="G34" s="315"/>
      <c r="H34" s="464">
        <f>'Assumptions_&amp;_Inputs'!D94</f>
        <v>2676233.4004024141</v>
      </c>
      <c r="I34" s="467">
        <f>'Assumptions_&amp;_Inputs'!E94</f>
        <v>0.39999999999999997</v>
      </c>
      <c r="J34" t="str">
        <f>'Assumptions_&amp;_Inputs'!G94</f>
        <v>Renovation Costs</v>
      </c>
      <c r="K34" s="247"/>
      <c r="L34" s="93">
        <f>'Assumptions_&amp;_Inputs'!I94</f>
        <v>426040</v>
      </c>
      <c r="M34" s="471">
        <f>'Assumptions_&amp;_Inputs'!J94</f>
        <v>6.367755516928203E-2</v>
      </c>
    </row>
    <row r="35" spans="2:32" ht="16" customHeight="1" x14ac:dyDescent="0.15">
      <c r="B35" s="150" t="s">
        <v>393</v>
      </c>
      <c r="C35" s="150"/>
      <c r="D35" s="153">
        <f>Equity_Waterfall!E8</f>
        <v>1.7439120133768942</v>
      </c>
      <c r="F35" t="str">
        <f>'Assumptions_&amp;_Inputs'!B95</f>
        <v>Total Sources of Funds</v>
      </c>
      <c r="G35" s="246"/>
      <c r="H35" s="111">
        <f>SUM(H33:H34)</f>
        <v>6690583.5010060361</v>
      </c>
      <c r="I35" s="472">
        <f>SUM(I33:I34)</f>
        <v>1</v>
      </c>
      <c r="J35" t="str">
        <f>'Assumptions_&amp;_Inputs'!G95</f>
        <v>Bridge Loan Fee</v>
      </c>
      <c r="K35" s="247"/>
      <c r="L35" s="93">
        <f>'Assumptions_&amp;_Inputs'!I95</f>
        <v>40143.501006036218</v>
      </c>
      <c r="M35" s="471">
        <f>'Assumptions_&amp;_Inputs'!J95</f>
        <v>6.0000000000000001E-3</v>
      </c>
    </row>
    <row r="36" spans="2:32" ht="16" customHeight="1" x14ac:dyDescent="0.15">
      <c r="B36" s="154" t="s">
        <v>11</v>
      </c>
      <c r="C36" s="154"/>
      <c r="D36" s="155">
        <f>Equity_Waterfall!E9</f>
        <v>-1311782.8359429929</v>
      </c>
      <c r="F36"/>
      <c r="G36"/>
      <c r="H36"/>
      <c r="I36"/>
      <c r="J36" s="468" t="str">
        <f>'Assumptions_&amp;_Inputs'!G96</f>
        <v>Operating Reserve (Bridge Shortfalls)</v>
      </c>
      <c r="K36" s="470"/>
      <c r="L36" s="464">
        <f>'Assumptions_&amp;_Inputs'!I96</f>
        <v>0</v>
      </c>
      <c r="M36" s="410">
        <f>'Assumptions_&amp;_Inputs'!J96</f>
        <v>0</v>
      </c>
    </row>
    <row r="37" spans="2:32" ht="16" customHeight="1" x14ac:dyDescent="0.15">
      <c r="D37" s="177"/>
      <c r="F37"/>
      <c r="G37" s="246"/>
      <c r="H37" s="246"/>
      <c r="J37" s="469" t="str">
        <f>'Assumptions_&amp;_Inputs'!G97</f>
        <v>Total Uses of Funds</v>
      </c>
      <c r="K37" s="247"/>
      <c r="L37" s="93">
        <f>'Assumptions_&amp;_Inputs'!I97</f>
        <v>6690583.5010060361</v>
      </c>
      <c r="M37" s="471">
        <f>'Assumptions_&amp;_Inputs'!J97</f>
        <v>1</v>
      </c>
    </row>
    <row r="38" spans="2:32" ht="10" customHeight="1" x14ac:dyDescent="0.15">
      <c r="B38" s="475" t="s">
        <v>367</v>
      </c>
      <c r="D38" s="175"/>
      <c r="J38" s="143"/>
      <c r="K38" s="247"/>
      <c r="L38" s="247"/>
      <c r="M38" s="247"/>
      <c r="N38" s="247"/>
    </row>
    <row r="39" spans="2:32" ht="10" customHeight="1" x14ac:dyDescent="0.15">
      <c r="B39" s="500" t="s">
        <v>368</v>
      </c>
      <c r="C39"/>
      <c r="D39"/>
      <c r="E39"/>
      <c r="F39"/>
      <c r="G39"/>
      <c r="H39"/>
      <c r="I39"/>
      <c r="J39"/>
      <c r="K39"/>
      <c r="L39"/>
      <c r="M39"/>
      <c r="N39"/>
    </row>
    <row r="40" spans="2:32" ht="16" customHeight="1" x14ac:dyDescent="0.15">
      <c r="O40" s="668" t="s">
        <v>501</v>
      </c>
      <c r="P40" s="248"/>
      <c r="Q40" s="248"/>
      <c r="R40" s="248"/>
      <c r="S40" s="248"/>
      <c r="Y40" s="668" t="s">
        <v>517</v>
      </c>
      <c r="Z40"/>
      <c r="AA40"/>
      <c r="AB40"/>
      <c r="AC40"/>
      <c r="AD40"/>
      <c r="AE40"/>
      <c r="AF40"/>
    </row>
    <row r="41" spans="2:32" ht="16" customHeight="1" x14ac:dyDescent="0.2">
      <c r="B41" s="501" t="s">
        <v>369</v>
      </c>
      <c r="C41" s="501"/>
      <c r="D41" s="502" t="s">
        <v>141</v>
      </c>
      <c r="E41" s="501"/>
      <c r="F41"/>
      <c r="G41" s="501" t="s">
        <v>370</v>
      </c>
      <c r="H41" s="501"/>
      <c r="I41" s="502" t="s">
        <v>141</v>
      </c>
      <c r="J41" s="476"/>
      <c r="K41"/>
      <c r="L41"/>
      <c r="M41"/>
      <c r="N41"/>
      <c r="O41" s="248"/>
      <c r="P41" s="248"/>
      <c r="Q41" s="248"/>
      <c r="R41" s="248"/>
      <c r="S41" s="248"/>
      <c r="Y41"/>
      <c r="Z41"/>
      <c r="AA41"/>
      <c r="AB41"/>
      <c r="AC41"/>
      <c r="AD41"/>
      <c r="AE41"/>
      <c r="AF41"/>
    </row>
    <row r="42" spans="2:32" ht="16" customHeight="1" x14ac:dyDescent="0.15">
      <c r="B42" s="478" t="s">
        <v>142</v>
      </c>
      <c r="C42"/>
      <c r="D42" s="505" t="s">
        <v>140</v>
      </c>
      <c r="E42" s="498" t="str">
        <f>'Assumptions_&amp;_Inputs'!E14</f>
        <v>2480 Dundas St W</v>
      </c>
      <c r="F42"/>
      <c r="G42" s="478" t="s">
        <v>88</v>
      </c>
      <c r="I42" s="505" t="s">
        <v>150</v>
      </c>
      <c r="J42" s="484">
        <f>'Assumptions_&amp;_Inputs'!E21</f>
        <v>5985000</v>
      </c>
      <c r="K42"/>
      <c r="L42"/>
      <c r="M42"/>
      <c r="N42"/>
      <c r="O42" s="667" t="s">
        <v>502</v>
      </c>
      <c r="P42" s="248"/>
      <c r="Q42" s="248"/>
      <c r="R42" s="248"/>
      <c r="S42" s="248"/>
      <c r="Y42" s="675" t="s">
        <v>518</v>
      </c>
      <c r="Z42" s="675"/>
      <c r="AA42" s="675"/>
      <c r="AB42" s="675"/>
      <c r="AC42" s="675"/>
      <c r="AD42" s="675"/>
      <c r="AE42" s="675"/>
      <c r="AF42" s="676"/>
    </row>
    <row r="43" spans="2:32" ht="16" customHeight="1" x14ac:dyDescent="0.15">
      <c r="B43" s="479" t="s">
        <v>143</v>
      </c>
      <c r="C43" s="503"/>
      <c r="D43" s="506" t="s">
        <v>140</v>
      </c>
      <c r="E43" s="499" t="str">
        <f>'Assumptions_&amp;_Inputs'!E15</f>
        <v>Multifamily</v>
      </c>
      <c r="F43"/>
      <c r="G43" s="479" t="s">
        <v>0</v>
      </c>
      <c r="H43" s="480"/>
      <c r="I43" s="506" t="s">
        <v>150</v>
      </c>
      <c r="J43" s="486">
        <f>'Assumptions_&amp;_Inputs'!E26</f>
        <v>5985000</v>
      </c>
      <c r="K43"/>
      <c r="L43"/>
      <c r="M43"/>
      <c r="N43"/>
      <c r="O43" s="670" t="s">
        <v>503</v>
      </c>
      <c r="P43" s="670"/>
      <c r="Q43" s="670"/>
      <c r="R43" s="670"/>
      <c r="S43" s="670"/>
      <c r="T43" s="670"/>
      <c r="U43" s="670"/>
      <c r="V43" s="670"/>
      <c r="Y43" s="675"/>
      <c r="Z43" s="675"/>
      <c r="AA43" s="675"/>
      <c r="AB43" s="675"/>
      <c r="AC43" s="675"/>
      <c r="AD43" s="675"/>
      <c r="AE43" s="675"/>
      <c r="AF43" s="676"/>
    </row>
    <row r="44" spans="2:32" ht="16" customHeight="1" x14ac:dyDescent="0.15">
      <c r="B44" s="479" t="s">
        <v>145</v>
      </c>
      <c r="C44" s="503"/>
      <c r="D44" s="506" t="s">
        <v>140</v>
      </c>
      <c r="E44" s="499" t="str">
        <f>'Assumptions_&amp;_Inputs'!E17</f>
        <v>Toronto</v>
      </c>
      <c r="F44"/>
      <c r="G44" s="479" t="s">
        <v>1</v>
      </c>
      <c r="H44" s="480"/>
      <c r="I44" s="506" t="s">
        <v>40</v>
      </c>
      <c r="J44" s="487">
        <f>'Assumptions_&amp;_Inputs'!E27</f>
        <v>46266</v>
      </c>
      <c r="K44"/>
      <c r="L44"/>
      <c r="M44"/>
      <c r="N44"/>
      <c r="O44" s="670"/>
      <c r="P44" s="670"/>
      <c r="Q44" s="670"/>
      <c r="R44" s="670"/>
      <c r="S44" s="670"/>
      <c r="T44" s="670"/>
      <c r="U44" s="670"/>
      <c r="V44" s="670"/>
      <c r="Y44" s="675"/>
      <c r="Z44" s="675"/>
      <c r="AA44" s="675"/>
      <c r="AB44" s="675"/>
      <c r="AC44" s="675"/>
      <c r="AD44" s="675"/>
      <c r="AE44" s="675"/>
      <c r="AF44" s="676"/>
    </row>
    <row r="45" spans="2:32" ht="16" customHeight="1" x14ac:dyDescent="0.15">
      <c r="B45" s="479" t="s">
        <v>86</v>
      </c>
      <c r="C45" s="503"/>
      <c r="D45" s="506" t="s">
        <v>60</v>
      </c>
      <c r="E45" s="481">
        <f>'Assumptions_&amp;_Inputs'!I14</f>
        <v>1918</v>
      </c>
      <c r="F45"/>
      <c r="G45" s="479" t="s">
        <v>2</v>
      </c>
      <c r="H45" s="480"/>
      <c r="I45" s="506" t="s">
        <v>150</v>
      </c>
      <c r="J45" s="486">
        <f>'Assumptions_&amp;_Inputs'!E32</f>
        <v>239400</v>
      </c>
      <c r="K45"/>
      <c r="L45"/>
      <c r="M45"/>
      <c r="N45"/>
      <c r="O45" s="670"/>
      <c r="P45" s="670"/>
      <c r="Q45" s="670"/>
      <c r="R45" s="670"/>
      <c r="S45" s="670"/>
      <c r="T45" s="670"/>
      <c r="U45" s="670"/>
      <c r="V45" s="670"/>
      <c r="Y45" s="675"/>
      <c r="Z45" s="675"/>
      <c r="AA45" s="675"/>
      <c r="AB45" s="675"/>
      <c r="AC45" s="675"/>
      <c r="AD45" s="675"/>
      <c r="AE45" s="675"/>
      <c r="AF45" s="676"/>
    </row>
    <row r="46" spans="2:32" ht="16" customHeight="1" x14ac:dyDescent="0.15">
      <c r="B46" s="479" t="s">
        <v>371</v>
      </c>
      <c r="C46" s="503"/>
      <c r="D46" s="506" t="s">
        <v>151</v>
      </c>
      <c r="E46" s="483">
        <f>'Assumptions_&amp;_Inputs'!I15</f>
        <v>108</v>
      </c>
      <c r="F46"/>
      <c r="G46" s="479" t="s">
        <v>79</v>
      </c>
      <c r="H46" s="480"/>
      <c r="I46" s="506" t="s">
        <v>150</v>
      </c>
      <c r="J46" s="486">
        <f>'Assumptions_&amp;_Inputs'!E34</f>
        <v>6224400</v>
      </c>
      <c r="K46"/>
      <c r="L46"/>
      <c r="M46"/>
      <c r="N46"/>
      <c r="O46" s="670"/>
      <c r="P46" s="670"/>
      <c r="Q46" s="670"/>
      <c r="R46" s="670"/>
      <c r="S46" s="670"/>
      <c r="T46" s="670"/>
      <c r="U46" s="670"/>
      <c r="V46" s="670"/>
      <c r="Z46"/>
      <c r="AA46"/>
      <c r="AB46"/>
      <c r="AC46"/>
      <c r="AD46"/>
      <c r="AE46"/>
      <c r="AF46"/>
    </row>
    <row r="47" spans="2:32" ht="16" customHeight="1" x14ac:dyDescent="0.15">
      <c r="B47" s="479" t="s">
        <v>148</v>
      </c>
      <c r="C47" s="503"/>
      <c r="D47" s="506" t="s">
        <v>77</v>
      </c>
      <c r="E47" s="483">
        <f>'Assumptions_&amp;_Inputs'!I16</f>
        <v>14</v>
      </c>
      <c r="F47"/>
      <c r="G47" s="479" t="s">
        <v>157</v>
      </c>
      <c r="H47" s="480"/>
      <c r="I47" s="506" t="s">
        <v>158</v>
      </c>
      <c r="J47" s="486">
        <f>'Assumptions_&amp;_Inputs'!E35</f>
        <v>444600</v>
      </c>
      <c r="K47"/>
      <c r="L47"/>
      <c r="M47"/>
      <c r="N47"/>
      <c r="O47" s="670"/>
      <c r="P47" s="670"/>
      <c r="Q47" s="670"/>
      <c r="R47" s="670"/>
      <c r="S47" s="670"/>
      <c r="T47" s="670"/>
      <c r="U47" s="670"/>
      <c r="V47" s="670"/>
      <c r="Y47" s="675" t="s">
        <v>519</v>
      </c>
      <c r="Z47" s="675"/>
      <c r="AA47" s="675"/>
      <c r="AB47" s="675"/>
      <c r="AC47" s="675"/>
      <c r="AD47" s="675"/>
      <c r="AE47" s="675"/>
      <c r="AF47" s="675"/>
    </row>
    <row r="48" spans="2:32" ht="16" customHeight="1" x14ac:dyDescent="0.15">
      <c r="B48" s="479" t="s">
        <v>147</v>
      </c>
      <c r="C48" s="503"/>
      <c r="D48" s="506" t="s">
        <v>162</v>
      </c>
      <c r="E48" s="483">
        <f>'Assumptions_&amp;_Inputs'!I17</f>
        <v>11937</v>
      </c>
      <c r="F48"/>
      <c r="G48" s="479" t="s">
        <v>373</v>
      </c>
      <c r="H48" s="480"/>
      <c r="I48" s="506" t="s">
        <v>160</v>
      </c>
      <c r="J48" s="489">
        <f>'Assumptions_&amp;_Inputs'!E36</f>
        <v>584.39583137733541</v>
      </c>
      <c r="K48"/>
      <c r="L48"/>
      <c r="M48"/>
      <c r="N48"/>
      <c r="P48"/>
      <c r="Q48"/>
      <c r="R48"/>
      <c r="S48"/>
      <c r="T48"/>
      <c r="U48"/>
      <c r="V48"/>
      <c r="Y48" s="675"/>
      <c r="Z48" s="675"/>
      <c r="AA48" s="675"/>
      <c r="AB48" s="675"/>
      <c r="AC48" s="675"/>
      <c r="AD48" s="675"/>
      <c r="AE48" s="675"/>
      <c r="AF48" s="675"/>
    </row>
    <row r="49" spans="2:32" ht="16" customHeight="1" x14ac:dyDescent="0.15">
      <c r="B49" s="480" t="s">
        <v>372</v>
      </c>
      <c r="C49" s="504"/>
      <c r="D49" s="507" t="s">
        <v>162</v>
      </c>
      <c r="E49" s="482">
        <f>'Assumptions_&amp;_Inputs'!I18</f>
        <v>10651</v>
      </c>
      <c r="F49"/>
      <c r="G49" s="479" t="s">
        <v>89</v>
      </c>
      <c r="H49" s="480"/>
      <c r="I49" s="506" t="s">
        <v>150</v>
      </c>
      <c r="J49" s="486">
        <f>'Assumptions_&amp;_Inputs'!E19</f>
        <v>368120</v>
      </c>
      <c r="K49"/>
      <c r="L49"/>
      <c r="M49"/>
      <c r="N49"/>
      <c r="O49" s="667" t="s">
        <v>504</v>
      </c>
      <c r="Y49" s="675"/>
      <c r="Z49" s="675"/>
      <c r="AA49" s="675"/>
      <c r="AB49" s="675"/>
      <c r="AC49" s="675"/>
      <c r="AD49" s="675"/>
      <c r="AE49" s="675"/>
      <c r="AF49" s="675"/>
    </row>
    <row r="50" spans="2:32" ht="16" customHeight="1" x14ac:dyDescent="0.15">
      <c r="B50"/>
      <c r="C50"/>
      <c r="D50"/>
      <c r="E50"/>
      <c r="F50"/>
      <c r="G50" s="480" t="s">
        <v>374</v>
      </c>
      <c r="H50" s="480"/>
      <c r="I50" s="507" t="s">
        <v>155</v>
      </c>
      <c r="J50" s="490">
        <f>'Assumptions_&amp;_Inputs'!E29</f>
        <v>6.1507101086048455E-2</v>
      </c>
      <c r="K50"/>
      <c r="L50"/>
      <c r="M50"/>
      <c r="N50"/>
      <c r="O50" s="671" t="s">
        <v>505</v>
      </c>
      <c r="P50" s="671"/>
      <c r="Q50" s="671"/>
      <c r="R50" s="671"/>
      <c r="S50" s="671"/>
      <c r="T50" s="671"/>
      <c r="U50" s="671"/>
      <c r="V50" s="671"/>
      <c r="Y50" s="675"/>
      <c r="Z50" s="675"/>
      <c r="AA50" s="675"/>
      <c r="AB50" s="675"/>
      <c r="AC50" s="675"/>
      <c r="AD50" s="675"/>
      <c r="AE50" s="675"/>
      <c r="AF50" s="675"/>
    </row>
    <row r="51" spans="2:32" ht="16" customHeight="1" x14ac:dyDescent="0.15">
      <c r="B51"/>
      <c r="C51"/>
      <c r="D51"/>
      <c r="E51"/>
      <c r="F51"/>
      <c r="G51"/>
      <c r="I51"/>
      <c r="J51"/>
      <c r="K51"/>
      <c r="L51"/>
      <c r="M51"/>
      <c r="N51"/>
      <c r="O51" s="671"/>
      <c r="P51" s="671"/>
      <c r="Q51" s="671"/>
      <c r="R51" s="671"/>
      <c r="S51" s="671"/>
      <c r="T51" s="671"/>
      <c r="U51" s="671"/>
      <c r="V51" s="671"/>
      <c r="Z51"/>
      <c r="AA51"/>
      <c r="AB51"/>
      <c r="AC51"/>
      <c r="AD51"/>
      <c r="AE51"/>
      <c r="AF51"/>
    </row>
    <row r="52" spans="2:32" ht="16" customHeight="1" x14ac:dyDescent="0.15">
      <c r="B52" s="501" t="s">
        <v>375</v>
      </c>
      <c r="C52" s="501"/>
      <c r="D52" s="502" t="s">
        <v>141</v>
      </c>
      <c r="E52" s="501"/>
      <c r="F52"/>
      <c r="G52" s="501" t="s">
        <v>376</v>
      </c>
      <c r="H52" s="508"/>
      <c r="I52" s="502" t="s">
        <v>141</v>
      </c>
      <c r="J52" s="501"/>
      <c r="K52"/>
      <c r="L52"/>
      <c r="M52"/>
      <c r="N52"/>
      <c r="O52" s="672"/>
      <c r="P52" s="672"/>
      <c r="Q52" s="672"/>
      <c r="R52" s="672"/>
      <c r="S52" s="672"/>
      <c r="T52" s="672"/>
      <c r="U52" s="672"/>
      <c r="V52" s="672"/>
      <c r="Y52" s="675" t="s">
        <v>520</v>
      </c>
      <c r="Z52" s="675"/>
      <c r="AA52" s="675"/>
      <c r="AB52" s="675"/>
      <c r="AC52" s="675"/>
      <c r="AD52" s="675"/>
      <c r="AE52" s="675"/>
      <c r="AF52" s="675"/>
    </row>
    <row r="53" spans="2:32" ht="16" customHeight="1" x14ac:dyDescent="0.15">
      <c r="B53" s="478" t="s">
        <v>377</v>
      </c>
      <c r="C53"/>
      <c r="D53" s="505" t="s">
        <v>160</v>
      </c>
      <c r="E53" s="491">
        <f>'Assumptions_&amp;_Inputs'!E40</f>
        <v>40</v>
      </c>
      <c r="F53"/>
      <c r="G53" s="478" t="s">
        <v>167</v>
      </c>
      <c r="H53" s="494"/>
      <c r="I53" s="505" t="s">
        <v>151</v>
      </c>
      <c r="J53" s="495">
        <f>'Assumptions_&amp;_Inputs'!I29</f>
        <v>10</v>
      </c>
      <c r="K53"/>
      <c r="L53"/>
      <c r="M53"/>
      <c r="N53"/>
      <c r="O53" s="675" t="s">
        <v>506</v>
      </c>
      <c r="P53" s="669"/>
      <c r="Q53" s="669"/>
      <c r="R53" s="669"/>
      <c r="S53" s="669"/>
      <c r="T53" s="669"/>
      <c r="U53" s="669"/>
      <c r="V53" s="669"/>
      <c r="Y53" s="675"/>
      <c r="Z53" s="675"/>
      <c r="AA53" s="675"/>
      <c r="AB53" s="675"/>
      <c r="AC53" s="675"/>
      <c r="AD53" s="675"/>
      <c r="AE53" s="675"/>
      <c r="AF53" s="675"/>
    </row>
    <row r="54" spans="2:32" ht="16" customHeight="1" x14ac:dyDescent="0.15">
      <c r="B54" s="479" t="s">
        <v>378</v>
      </c>
      <c r="C54" s="503"/>
      <c r="D54" s="506" t="s">
        <v>150</v>
      </c>
      <c r="E54" s="486">
        <f>'Assumptions_&amp;_Inputs'!E41</f>
        <v>426040</v>
      </c>
      <c r="F54"/>
      <c r="G54" s="479" t="s">
        <v>70</v>
      </c>
      <c r="H54" s="480"/>
      <c r="I54" s="506" t="s">
        <v>155</v>
      </c>
      <c r="J54" s="496">
        <f>'Assumptions_&amp;_Inputs'!I30</f>
        <v>5.5E-2</v>
      </c>
      <c r="K54"/>
      <c r="L54"/>
      <c r="M54"/>
      <c r="N54"/>
      <c r="O54" s="669"/>
      <c r="P54" s="669"/>
      <c r="Q54" s="669"/>
      <c r="R54" s="669"/>
      <c r="S54" s="669"/>
      <c r="T54" s="669"/>
      <c r="U54" s="669"/>
      <c r="V54" s="669"/>
      <c r="Y54" s="675"/>
      <c r="Z54" s="675"/>
      <c r="AA54" s="675"/>
      <c r="AB54" s="675"/>
      <c r="AC54" s="675"/>
      <c r="AD54" s="675"/>
      <c r="AE54" s="675"/>
      <c r="AF54" s="675"/>
    </row>
    <row r="55" spans="2:32" ht="16" customHeight="1" x14ac:dyDescent="0.15">
      <c r="B55" s="479" t="s">
        <v>165</v>
      </c>
      <c r="C55" s="503"/>
      <c r="D55" s="506" t="s">
        <v>172</v>
      </c>
      <c r="E55" s="483">
        <f>'Assumptions_&amp;_Inputs'!E43</f>
        <v>8</v>
      </c>
      <c r="F55"/>
      <c r="G55" s="479" t="s">
        <v>4</v>
      </c>
      <c r="H55" s="480"/>
      <c r="I55" s="506" t="s">
        <v>150</v>
      </c>
      <c r="J55" s="486">
        <f>'Assumptions_&amp;_Inputs'!I32</f>
        <v>8006380.0029400419</v>
      </c>
      <c r="K55"/>
      <c r="L55"/>
      <c r="M55"/>
      <c r="N55"/>
      <c r="O55" s="669"/>
      <c r="P55" s="669"/>
      <c r="Q55" s="669"/>
      <c r="R55" s="669"/>
      <c r="S55" s="669"/>
      <c r="T55" s="669"/>
      <c r="U55" s="669"/>
      <c r="V55" s="669"/>
      <c r="Y55" s="675"/>
      <c r="Z55" s="675"/>
      <c r="AA55" s="675"/>
      <c r="AB55" s="675"/>
      <c r="AC55" s="675"/>
      <c r="AD55" s="675"/>
      <c r="AE55" s="675"/>
      <c r="AF55" s="675"/>
    </row>
    <row r="56" spans="2:32" ht="16" customHeight="1" x14ac:dyDescent="0.15">
      <c r="B56" s="479" t="s">
        <v>170</v>
      </c>
      <c r="C56" s="503"/>
      <c r="D56" s="506" t="s">
        <v>40</v>
      </c>
      <c r="E56" s="487">
        <f>'Assumptions_&amp;_Inputs'!I40</f>
        <v>46296</v>
      </c>
      <c r="F56"/>
      <c r="G56" s="479" t="s">
        <v>5</v>
      </c>
      <c r="H56" s="480"/>
      <c r="I56" s="506" t="s">
        <v>380</v>
      </c>
      <c r="J56" s="493">
        <f>'Assumptions_&amp;_Inputs'!I34</f>
        <v>0.04</v>
      </c>
      <c r="K56"/>
      <c r="L56"/>
      <c r="M56"/>
      <c r="N56"/>
      <c r="O56" s="669"/>
      <c r="P56" s="669"/>
      <c r="Q56" s="669"/>
      <c r="R56" s="669"/>
      <c r="S56" s="669"/>
      <c r="T56" s="669"/>
      <c r="U56" s="669"/>
      <c r="V56" s="669"/>
      <c r="Y56"/>
      <c r="Z56"/>
      <c r="AA56"/>
      <c r="AB56"/>
      <c r="AC56"/>
      <c r="AD56"/>
      <c r="AE56"/>
      <c r="AF56"/>
    </row>
    <row r="57" spans="2:32" ht="16" customHeight="1" x14ac:dyDescent="0.15">
      <c r="B57" s="479" t="s">
        <v>174</v>
      </c>
      <c r="C57" s="503"/>
      <c r="D57" s="506" t="s">
        <v>40</v>
      </c>
      <c r="E57" s="487">
        <f>'Assumptions_&amp;_Inputs'!I43</f>
        <v>46538</v>
      </c>
      <c r="F57"/>
      <c r="G57" s="479" t="s">
        <v>381</v>
      </c>
      <c r="H57" s="480"/>
      <c r="I57" s="506" t="s">
        <v>155</v>
      </c>
      <c r="J57" s="496">
        <f>'Assumptions_&amp;_Inputs'!I33</f>
        <v>2.9525728591599743E-2</v>
      </c>
      <c r="K57"/>
      <c r="L57"/>
      <c r="M57"/>
      <c r="N57"/>
      <c r="O57" s="673"/>
      <c r="P57" s="673"/>
      <c r="Q57" s="673"/>
      <c r="R57" s="673"/>
      <c r="S57" s="673"/>
      <c r="T57" s="673"/>
      <c r="U57" s="673"/>
      <c r="V57" s="673"/>
      <c r="Y57" s="675" t="s">
        <v>521</v>
      </c>
      <c r="Z57" s="675"/>
      <c r="AA57" s="675"/>
      <c r="AB57" s="675"/>
      <c r="AC57" s="675"/>
      <c r="AD57" s="675"/>
      <c r="AE57" s="675"/>
      <c r="AF57" s="675"/>
    </row>
    <row r="58" spans="2:32" ht="16" customHeight="1" x14ac:dyDescent="0.15">
      <c r="B58" s="479" t="s">
        <v>305</v>
      </c>
      <c r="C58" s="503"/>
      <c r="D58" s="506" t="s">
        <v>155</v>
      </c>
      <c r="E58" s="493">
        <f>'Assumptions_&amp;_Inputs'!E49</f>
        <v>7.0000000000000007E-2</v>
      </c>
      <c r="F58"/>
      <c r="G58" s="480" t="s">
        <v>74</v>
      </c>
      <c r="H58" s="480"/>
      <c r="I58" s="507" t="s">
        <v>155</v>
      </c>
      <c r="J58" s="492">
        <f>'Assumptions_&amp;_Inputs'!I56</f>
        <v>0.1</v>
      </c>
      <c r="K58"/>
      <c r="L58"/>
      <c r="M58"/>
      <c r="N58"/>
      <c r="O58" s="675" t="s">
        <v>507</v>
      </c>
      <c r="P58" s="669"/>
      <c r="Q58" s="669"/>
      <c r="R58" s="669"/>
      <c r="S58" s="669"/>
      <c r="T58" s="669"/>
      <c r="U58" s="669"/>
      <c r="V58" s="669"/>
    </row>
    <row r="59" spans="2:32" ht="16" customHeight="1" x14ac:dyDescent="0.15">
      <c r="B59" s="480" t="s">
        <v>379</v>
      </c>
      <c r="C59" s="504"/>
      <c r="D59" s="507" t="s">
        <v>160</v>
      </c>
      <c r="E59" s="488">
        <f>'Assumptions_&amp;_Inputs'!E50</f>
        <v>3.6261055299971843</v>
      </c>
      <c r="F59"/>
      <c r="G59"/>
      <c r="I59"/>
      <c r="J59"/>
      <c r="K59"/>
      <c r="L59"/>
      <c r="M59"/>
      <c r="N59"/>
      <c r="O59" s="669"/>
      <c r="P59" s="669"/>
      <c r="Q59" s="669"/>
      <c r="R59" s="669"/>
      <c r="S59" s="669"/>
      <c r="T59" s="669"/>
      <c r="U59" s="669"/>
      <c r="V59" s="669"/>
    </row>
    <row r="60" spans="2:32" ht="16" customHeight="1" x14ac:dyDescent="0.15">
      <c r="B60"/>
      <c r="C60"/>
      <c r="D60"/>
      <c r="E60"/>
      <c r="F60"/>
      <c r="G60"/>
      <c r="I60"/>
      <c r="J60"/>
      <c r="K60"/>
      <c r="L60"/>
      <c r="M60"/>
      <c r="N60"/>
      <c r="O60" s="669"/>
      <c r="P60" s="669"/>
      <c r="Q60" s="669"/>
      <c r="R60" s="669"/>
      <c r="S60" s="669"/>
      <c r="T60" s="669"/>
      <c r="U60" s="669"/>
      <c r="V60" s="669"/>
    </row>
    <row r="61" spans="2:32" ht="16" customHeight="1" x14ac:dyDescent="0.15">
      <c r="B61" s="501" t="s">
        <v>50</v>
      </c>
      <c r="C61" s="501"/>
      <c r="D61" s="502" t="s">
        <v>141</v>
      </c>
      <c r="E61" s="501"/>
      <c r="F61"/>
      <c r="G61" s="501" t="s">
        <v>382</v>
      </c>
      <c r="H61" s="501"/>
      <c r="I61" s="502" t="s">
        <v>141</v>
      </c>
      <c r="J61" s="501"/>
      <c r="K61"/>
      <c r="L61"/>
      <c r="M61"/>
      <c r="N61"/>
      <c r="P61" s="673"/>
      <c r="Q61" s="673"/>
      <c r="R61" s="673"/>
      <c r="S61" s="673"/>
      <c r="T61" s="673"/>
      <c r="U61" s="673"/>
      <c r="V61" s="673"/>
    </row>
    <row r="62" spans="2:32" ht="16" customHeight="1" x14ac:dyDescent="0.15">
      <c r="B62" s="478" t="s">
        <v>45</v>
      </c>
      <c r="C62"/>
      <c r="D62" s="505" t="s">
        <v>180</v>
      </c>
      <c r="E62" s="497">
        <f>'Assumptions_&amp;_Inputs'!E55</f>
        <v>2.5000000000000001E-2</v>
      </c>
      <c r="F62"/>
      <c r="G62" s="478" t="s">
        <v>360</v>
      </c>
      <c r="H62" s="480"/>
      <c r="I62" s="505" t="s">
        <v>155</v>
      </c>
      <c r="J62" s="497">
        <f>'Assumptions_&amp;_Inputs'!E74</f>
        <v>0.6</v>
      </c>
      <c r="K62"/>
      <c r="L62"/>
      <c r="M62"/>
      <c r="N62"/>
      <c r="O62" s="675" t="s">
        <v>508</v>
      </c>
      <c r="P62" s="669"/>
      <c r="Q62" s="669"/>
      <c r="R62" s="669"/>
      <c r="S62" s="669"/>
      <c r="T62" s="669"/>
      <c r="U62" s="669"/>
      <c r="V62" s="669"/>
    </row>
    <row r="63" spans="2:32" ht="16" customHeight="1" x14ac:dyDescent="0.15">
      <c r="B63" s="479" t="s">
        <v>383</v>
      </c>
      <c r="C63" s="503"/>
      <c r="D63" s="506" t="s">
        <v>180</v>
      </c>
      <c r="E63" s="493">
        <f>'Assumptions_&amp;_Inputs'!I55</f>
        <v>2.5000000000000001E-2</v>
      </c>
      <c r="F63"/>
      <c r="G63" s="479" t="s">
        <v>207</v>
      </c>
      <c r="H63" s="480"/>
      <c r="I63" s="506" t="s">
        <v>150</v>
      </c>
      <c r="J63" s="486">
        <f>'Assumptions_&amp;_Inputs'!E78</f>
        <v>4014350.1006036219</v>
      </c>
      <c r="K63"/>
      <c r="L63"/>
      <c r="M63"/>
      <c r="N63"/>
      <c r="O63" s="669"/>
      <c r="P63" s="669"/>
      <c r="Q63" s="669"/>
      <c r="R63" s="669"/>
      <c r="S63" s="669"/>
      <c r="T63" s="669"/>
      <c r="U63" s="669"/>
      <c r="V63" s="669"/>
    </row>
    <row r="64" spans="2:32" ht="16" customHeight="1" x14ac:dyDescent="0.15">
      <c r="B64" s="479" t="s">
        <v>384</v>
      </c>
      <c r="C64" s="503"/>
      <c r="D64" s="506" t="s">
        <v>385</v>
      </c>
      <c r="E64" s="493">
        <f>'Assumptions_&amp;_Inputs'!I63</f>
        <v>0.03</v>
      </c>
      <c r="F64"/>
      <c r="G64" s="479" t="s">
        <v>42</v>
      </c>
      <c r="H64" s="480"/>
      <c r="I64" s="506" t="s">
        <v>155</v>
      </c>
      <c r="J64" s="496">
        <f>'Assumptions_&amp;_Inputs'!E79</f>
        <v>0.06</v>
      </c>
      <c r="K64"/>
      <c r="L64"/>
      <c r="M64"/>
      <c r="N64"/>
      <c r="O64" s="676"/>
      <c r="P64" s="676"/>
      <c r="Q64" s="676"/>
      <c r="R64" s="676"/>
      <c r="S64" s="676"/>
      <c r="T64" s="676"/>
      <c r="U64" s="676"/>
      <c r="V64" s="676"/>
    </row>
    <row r="65" spans="2:22" ht="16" customHeight="1" x14ac:dyDescent="0.15">
      <c r="B65" s="479" t="s">
        <v>63</v>
      </c>
      <c r="C65" s="503"/>
      <c r="D65" s="506" t="s">
        <v>183</v>
      </c>
      <c r="E65" s="496">
        <f>'Assumptions_&amp;_Inputs'!E59</f>
        <v>3.5000000000000003E-2</v>
      </c>
      <c r="F65"/>
      <c r="G65" s="479" t="s">
        <v>204</v>
      </c>
      <c r="H65" s="480"/>
      <c r="I65" s="506" t="s">
        <v>388</v>
      </c>
      <c r="J65" s="499" t="str">
        <f>'Assumptions_&amp;_Inputs'!E81</f>
        <v>Interest-only</v>
      </c>
      <c r="K65"/>
      <c r="L65"/>
      <c r="M65"/>
      <c r="N65"/>
      <c r="O65" s="667" t="s">
        <v>510</v>
      </c>
      <c r="P65"/>
      <c r="Q65"/>
      <c r="R65"/>
      <c r="S65"/>
      <c r="T65"/>
      <c r="U65"/>
      <c r="V65"/>
    </row>
    <row r="66" spans="2:22" ht="16" customHeight="1" x14ac:dyDescent="0.15">
      <c r="B66" s="479" t="s">
        <v>386</v>
      </c>
      <c r="C66" s="503"/>
      <c r="D66" s="506" t="s">
        <v>190</v>
      </c>
      <c r="E66" s="486">
        <f>'Assumptions_&amp;_Inputs'!E60</f>
        <v>800</v>
      </c>
      <c r="F66"/>
      <c r="G66" s="479" t="s">
        <v>208</v>
      </c>
      <c r="H66" s="480"/>
      <c r="I66" s="506" t="s">
        <v>172</v>
      </c>
      <c r="J66" s="483">
        <f>'Assumptions_&amp;_Inputs'!E83</f>
        <v>18</v>
      </c>
      <c r="K66"/>
      <c r="L66"/>
      <c r="M66"/>
      <c r="N66"/>
      <c r="O66" s="675" t="s">
        <v>509</v>
      </c>
      <c r="P66" s="669"/>
      <c r="Q66" s="669"/>
      <c r="R66" s="669"/>
      <c r="S66" s="669"/>
      <c r="T66" s="669"/>
      <c r="U66" s="669"/>
      <c r="V66" s="669"/>
    </row>
    <row r="67" spans="2:22" ht="16" customHeight="1" x14ac:dyDescent="0.15">
      <c r="B67" s="479" t="s">
        <v>200</v>
      </c>
      <c r="C67" s="503"/>
      <c r="D67" s="506" t="s">
        <v>387</v>
      </c>
      <c r="E67" s="496">
        <f>'Assumptions_&amp;_Inputs'!I59</f>
        <v>1.21E-2</v>
      </c>
      <c r="F67"/>
      <c r="G67" s="480" t="s">
        <v>389</v>
      </c>
      <c r="H67" s="480"/>
      <c r="I67" s="507" t="s">
        <v>252</v>
      </c>
      <c r="J67" s="490">
        <f>'Assumptions_&amp;_Inputs'!E75</f>
        <v>0.01</v>
      </c>
      <c r="K67"/>
      <c r="L67"/>
      <c r="M67"/>
      <c r="N67"/>
      <c r="O67" s="669"/>
      <c r="P67" s="669"/>
      <c r="Q67" s="669"/>
      <c r="R67" s="669"/>
      <c r="S67" s="669"/>
      <c r="T67" s="669"/>
      <c r="U67" s="669"/>
      <c r="V67" s="669"/>
    </row>
    <row r="68" spans="2:22" ht="16" customHeight="1" x14ac:dyDescent="0.15">
      <c r="B68" s="480" t="s">
        <v>65</v>
      </c>
      <c r="C68" s="504"/>
      <c r="D68" s="507" t="s">
        <v>160</v>
      </c>
      <c r="E68" s="488">
        <f>'Assumptions_&amp;_Inputs'!E64</f>
        <v>1.5</v>
      </c>
      <c r="F68"/>
      <c r="G68"/>
      <c r="I68"/>
      <c r="J68"/>
      <c r="K68"/>
      <c r="L68"/>
      <c r="M68"/>
      <c r="N68"/>
      <c r="O68" s="669"/>
      <c r="P68" s="669"/>
      <c r="Q68" s="669"/>
      <c r="R68" s="669"/>
      <c r="S68" s="669"/>
      <c r="T68" s="669"/>
      <c r="U68" s="669"/>
      <c r="V68" s="669"/>
    </row>
    <row r="69" spans="2:22" ht="16" customHeight="1" x14ac:dyDescent="0.15">
      <c r="B69"/>
      <c r="C69"/>
      <c r="D69"/>
      <c r="E69"/>
      <c r="F69"/>
      <c r="G69"/>
      <c r="I69"/>
      <c r="J69"/>
      <c r="K69"/>
      <c r="L69"/>
      <c r="M69"/>
      <c r="N69"/>
      <c r="O69" s="669"/>
      <c r="P69" s="669"/>
      <c r="Q69" s="669"/>
      <c r="R69" s="669"/>
      <c r="S69" s="669"/>
      <c r="T69" s="669"/>
      <c r="U69" s="669"/>
      <c r="V69" s="669"/>
    </row>
    <row r="70" spans="2:22" ht="16" customHeight="1" x14ac:dyDescent="0.15">
      <c r="B70" s="501" t="s">
        <v>7</v>
      </c>
      <c r="C70" s="501"/>
      <c r="D70" s="502" t="s">
        <v>141</v>
      </c>
      <c r="E70" s="501"/>
      <c r="F70"/>
      <c r="G70" s="501" t="s">
        <v>361</v>
      </c>
      <c r="H70" s="501"/>
      <c r="I70" s="502" t="s">
        <v>141</v>
      </c>
      <c r="J70" s="501"/>
      <c r="K70"/>
      <c r="L70"/>
      <c r="M70"/>
      <c r="N70"/>
      <c r="O70"/>
      <c r="P70"/>
      <c r="Q70"/>
      <c r="R70"/>
      <c r="S70"/>
      <c r="T70"/>
      <c r="U70"/>
      <c r="V70"/>
    </row>
    <row r="71" spans="2:22" ht="16" customHeight="1" x14ac:dyDescent="0.15">
      <c r="B71" s="478" t="s">
        <v>107</v>
      </c>
      <c r="C71"/>
      <c r="D71" s="505" t="s">
        <v>150</v>
      </c>
      <c r="E71" s="484">
        <f>'Assumptions_&amp;_Inputs'!E87</f>
        <v>2676233.4004024141</v>
      </c>
      <c r="F71"/>
      <c r="G71" s="478" t="s">
        <v>246</v>
      </c>
      <c r="I71" s="505" t="s">
        <v>173</v>
      </c>
      <c r="J71" s="495">
        <f>'Assumptions_&amp;_Inputs'!I80</f>
        <v>18</v>
      </c>
      <c r="K71"/>
      <c r="L71"/>
      <c r="M71"/>
      <c r="N71"/>
      <c r="O71" s="667" t="s">
        <v>511</v>
      </c>
      <c r="P71"/>
      <c r="Q71"/>
      <c r="R71"/>
      <c r="S71"/>
      <c r="T71"/>
      <c r="U71"/>
      <c r="V71"/>
    </row>
    <row r="72" spans="2:22" ht="16" customHeight="1" x14ac:dyDescent="0.15">
      <c r="B72" s="479" t="s">
        <v>390</v>
      </c>
      <c r="C72" s="503"/>
      <c r="D72" s="506" t="s">
        <v>155</v>
      </c>
      <c r="E72" s="493">
        <f>'Assumptions_&amp;_Inputs'!E86</f>
        <v>0.39999999999999997</v>
      </c>
      <c r="F72"/>
      <c r="G72" s="479" t="s">
        <v>247</v>
      </c>
      <c r="H72" s="480"/>
      <c r="I72" s="506" t="s">
        <v>155</v>
      </c>
      <c r="J72" s="493">
        <f>'Assumptions_&amp;_Inputs'!I81</f>
        <v>0.7</v>
      </c>
      <c r="K72"/>
      <c r="L72"/>
      <c r="M72"/>
      <c r="N72"/>
      <c r="O72" s="675" t="s">
        <v>512</v>
      </c>
      <c r="P72" s="669"/>
      <c r="Q72" s="669"/>
      <c r="R72" s="669"/>
      <c r="S72" s="669"/>
      <c r="T72" s="669"/>
      <c r="U72" s="669"/>
      <c r="V72" s="669"/>
    </row>
    <row r="73" spans="2:22" ht="16" customHeight="1" x14ac:dyDescent="0.15">
      <c r="B73" s="480" t="s">
        <v>391</v>
      </c>
      <c r="C73" s="504"/>
      <c r="D73" s="507" t="s">
        <v>150</v>
      </c>
      <c r="E73" s="485">
        <f>'Assumptions_&amp;_Inputs'!D95</f>
        <v>6690583.5010060361</v>
      </c>
      <c r="F73"/>
      <c r="G73" s="479" t="s">
        <v>248</v>
      </c>
      <c r="H73" s="480"/>
      <c r="I73" s="506" t="s">
        <v>155</v>
      </c>
      <c r="J73" s="496">
        <f>'Assumptions_&amp;_Inputs'!I82</f>
        <v>0.06</v>
      </c>
      <c r="K73"/>
      <c r="L73"/>
      <c r="M73"/>
      <c r="N73"/>
      <c r="O73" s="669"/>
      <c r="P73" s="669"/>
      <c r="Q73" s="669"/>
      <c r="R73" s="669"/>
      <c r="S73" s="669"/>
      <c r="T73" s="669"/>
      <c r="U73" s="669"/>
      <c r="V73" s="669"/>
    </row>
    <row r="74" spans="2:22" ht="16" customHeight="1" x14ac:dyDescent="0.15">
      <c r="B74"/>
      <c r="C74"/>
      <c r="D74"/>
      <c r="E74"/>
      <c r="F74"/>
      <c r="G74" s="479" t="s">
        <v>250</v>
      </c>
      <c r="H74" s="480"/>
      <c r="I74" s="506" t="s">
        <v>150</v>
      </c>
      <c r="J74" s="486">
        <f>'Assumptions_&amp;_Inputs'!I84</f>
        <v>5912206.2832739064</v>
      </c>
      <c r="K74"/>
      <c r="L74"/>
      <c r="M74"/>
      <c r="N74"/>
      <c r="O74" s="669"/>
      <c r="P74" s="669"/>
      <c r="Q74" s="669"/>
      <c r="R74" s="669"/>
      <c r="S74" s="669"/>
      <c r="T74" s="669"/>
      <c r="U74" s="669"/>
      <c r="V74" s="669"/>
    </row>
    <row r="75" spans="2:22" ht="16" customHeight="1" x14ac:dyDescent="0.15">
      <c r="B75"/>
      <c r="C75"/>
      <c r="D75"/>
      <c r="E75"/>
      <c r="F75"/>
      <c r="G75" s="479" t="s">
        <v>207</v>
      </c>
      <c r="H75" s="480"/>
      <c r="I75" s="506" t="s">
        <v>150</v>
      </c>
      <c r="J75" s="486">
        <f>'Assumptions_&amp;_Inputs'!I74</f>
        <v>4138544.398291734</v>
      </c>
      <c r="K75"/>
      <c r="L75"/>
      <c r="M75"/>
      <c r="N75"/>
      <c r="O75" s="669"/>
      <c r="P75" s="669"/>
      <c r="Q75" s="669"/>
      <c r="R75" s="669"/>
      <c r="S75" s="669"/>
      <c r="T75" s="669"/>
      <c r="U75" s="669"/>
      <c r="V75" s="669"/>
    </row>
    <row r="76" spans="2:22" ht="16" customHeight="1" x14ac:dyDescent="0.15">
      <c r="B76"/>
      <c r="C76"/>
      <c r="D76"/>
      <c r="E76"/>
      <c r="F76"/>
      <c r="G76" s="479" t="s">
        <v>42</v>
      </c>
      <c r="H76" s="480"/>
      <c r="I76" s="506" t="s">
        <v>155</v>
      </c>
      <c r="J76" s="496">
        <f>'Assumptions_&amp;_Inputs'!I75</f>
        <v>0.05</v>
      </c>
      <c r="K76"/>
      <c r="L76"/>
      <c r="M76"/>
      <c r="N76"/>
      <c r="O76"/>
      <c r="P76"/>
      <c r="Q76"/>
      <c r="R76"/>
      <c r="S76"/>
      <c r="T76"/>
      <c r="U76"/>
      <c r="V76"/>
    </row>
    <row r="77" spans="2:22" ht="16" customHeight="1" x14ac:dyDescent="0.15">
      <c r="B77"/>
      <c r="C77"/>
      <c r="D77"/>
      <c r="E77"/>
      <c r="F77"/>
      <c r="G77" s="479" t="s">
        <v>392</v>
      </c>
      <c r="H77" s="480"/>
      <c r="I77" s="506" t="s">
        <v>151</v>
      </c>
      <c r="J77" s="483">
        <f>'Assumptions_&amp;_Inputs'!I78</f>
        <v>35</v>
      </c>
      <c r="K77"/>
      <c r="L77"/>
      <c r="M77"/>
      <c r="N77"/>
      <c r="O77" s="675" t="s">
        <v>513</v>
      </c>
      <c r="P77" s="669"/>
      <c r="Q77" s="669"/>
      <c r="R77" s="669"/>
      <c r="S77" s="669"/>
      <c r="T77" s="669"/>
      <c r="U77" s="669"/>
      <c r="V77" s="669"/>
    </row>
    <row r="78" spans="2:22" ht="16" customHeight="1" x14ac:dyDescent="0.15">
      <c r="B78"/>
      <c r="C78"/>
      <c r="D78"/>
      <c r="E78"/>
      <c r="F78"/>
      <c r="G78" s="480" t="s">
        <v>253</v>
      </c>
      <c r="H78" s="480"/>
      <c r="I78" s="507" t="s">
        <v>150</v>
      </c>
      <c r="J78" s="485">
        <f>'Assumptions_&amp;_Inputs'!I86</f>
        <v>20594.53046801344</v>
      </c>
      <c r="K78"/>
      <c r="L78"/>
      <c r="M78"/>
      <c r="N78"/>
      <c r="O78"/>
      <c r="P78"/>
      <c r="Q78"/>
      <c r="R78"/>
      <c r="S78"/>
      <c r="T78"/>
      <c r="U78"/>
      <c r="V78"/>
    </row>
    <row r="79" spans="2:22" ht="16" customHeight="1" x14ac:dyDescent="0.15">
      <c r="B79"/>
      <c r="C79"/>
      <c r="D79"/>
      <c r="E79"/>
      <c r="F79"/>
      <c r="G79"/>
      <c r="H79"/>
      <c r="I79"/>
      <c r="J79"/>
      <c r="K79"/>
      <c r="L79"/>
      <c r="M79"/>
      <c r="N79"/>
      <c r="O79" s="667" t="s">
        <v>514</v>
      </c>
      <c r="P79"/>
      <c r="Q79"/>
      <c r="R79"/>
      <c r="S79"/>
      <c r="T79"/>
      <c r="U79"/>
      <c r="V79"/>
    </row>
    <row r="80" spans="2:22" ht="10" customHeight="1" x14ac:dyDescent="0.15">
      <c r="B80"/>
      <c r="C80"/>
      <c r="D80"/>
      <c r="E80"/>
      <c r="F80"/>
      <c r="G80"/>
      <c r="H80"/>
      <c r="I80"/>
      <c r="J80"/>
      <c r="K80"/>
      <c r="L80"/>
      <c r="M80"/>
      <c r="N80"/>
      <c r="O80" s="675" t="s">
        <v>515</v>
      </c>
      <c r="P80" s="675"/>
      <c r="Q80" s="675"/>
      <c r="R80" s="675"/>
      <c r="S80" s="675"/>
      <c r="T80" s="675"/>
      <c r="U80" s="675"/>
      <c r="V80" s="675"/>
    </row>
    <row r="81" spans="2:22" ht="16" customHeight="1" x14ac:dyDescent="0.15">
      <c r="B81"/>
      <c r="C81"/>
      <c r="D81"/>
      <c r="E81"/>
      <c r="F81"/>
      <c r="G81"/>
      <c r="H81"/>
      <c r="I81"/>
      <c r="J81"/>
      <c r="K81"/>
      <c r="L81"/>
      <c r="M81"/>
      <c r="N81"/>
      <c r="O81" s="675"/>
      <c r="P81" s="675"/>
      <c r="Q81" s="675"/>
      <c r="R81" s="675"/>
      <c r="S81" s="675"/>
      <c r="T81" s="675"/>
      <c r="U81" s="675"/>
      <c r="V81" s="675"/>
    </row>
    <row r="82" spans="2:22" ht="16" customHeight="1" x14ac:dyDescent="0.2">
      <c r="B82" s="596" t="s">
        <v>404</v>
      </c>
      <c r="C82" s="49"/>
      <c r="D82" s="49"/>
      <c r="E82" s="49"/>
      <c r="F82" s="49"/>
      <c r="G82" s="49"/>
      <c r="H82" s="49"/>
      <c r="I82" s="49"/>
      <c r="J82" s="49"/>
      <c r="K82"/>
      <c r="L82"/>
      <c r="M82"/>
      <c r="N82"/>
      <c r="O82" s="675"/>
      <c r="P82" s="675"/>
      <c r="Q82" s="675"/>
      <c r="R82" s="675"/>
      <c r="S82" s="675"/>
      <c r="T82" s="675"/>
      <c r="U82" s="675"/>
      <c r="V82" s="675"/>
    </row>
    <row r="83" spans="2:22" ht="16" customHeight="1" x14ac:dyDescent="0.15">
      <c r="B83"/>
      <c r="C83"/>
      <c r="D83"/>
      <c r="E83"/>
      <c r="F83"/>
      <c r="G83"/>
      <c r="H83"/>
      <c r="I83"/>
      <c r="J83"/>
      <c r="K83"/>
      <c r="L83"/>
      <c r="M83"/>
      <c r="N83"/>
      <c r="O83" s="675"/>
      <c r="P83" s="675"/>
      <c r="Q83" s="675"/>
      <c r="R83" s="675"/>
      <c r="S83" s="675"/>
      <c r="T83" s="675"/>
      <c r="U83" s="675"/>
      <c r="V83" s="675"/>
    </row>
    <row r="84" spans="2:22" ht="16" customHeight="1" x14ac:dyDescent="0.15">
      <c r="B84" s="456" t="s">
        <v>453</v>
      </c>
      <c r="C84" s="456"/>
      <c r="D84" s="457" t="s">
        <v>141</v>
      </c>
      <c r="E84" s="456"/>
      <c r="F84"/>
      <c r="G84" s="456" t="s">
        <v>454</v>
      </c>
      <c r="H84" s="456"/>
      <c r="I84" s="457" t="s">
        <v>141</v>
      </c>
      <c r="J84" s="456"/>
      <c r="K84"/>
      <c r="L84"/>
      <c r="M84"/>
      <c r="N84"/>
      <c r="O84" s="675" t="s">
        <v>516</v>
      </c>
      <c r="P84" s="669"/>
      <c r="Q84" s="669"/>
      <c r="R84" s="669"/>
      <c r="S84" s="669"/>
      <c r="T84" s="669"/>
      <c r="U84" s="669"/>
      <c r="V84" s="669"/>
    </row>
    <row r="85" spans="2:22" ht="16" customHeight="1" x14ac:dyDescent="0.15">
      <c r="B85" t="s">
        <v>433</v>
      </c>
      <c r="C85"/>
      <c r="D85" s="177" t="s">
        <v>150</v>
      </c>
      <c r="E85" s="597">
        <f>+Brochure_Financials!D34</f>
        <v>368120</v>
      </c>
      <c r="F85"/>
      <c r="G85" s="138" t="s">
        <v>90</v>
      </c>
      <c r="H85"/>
      <c r="I85" s="177" t="s">
        <v>155</v>
      </c>
      <c r="J85" s="599">
        <f>+'Assumptions_&amp;_Inputs'!E29</f>
        <v>6.1507101086048455E-2</v>
      </c>
      <c r="K85"/>
      <c r="L85"/>
      <c r="M85"/>
      <c r="N85"/>
      <c r="O85" s="669"/>
      <c r="P85" s="669"/>
      <c r="Q85" s="669"/>
      <c r="R85" s="669"/>
      <c r="S85" s="669"/>
      <c r="T85" s="669"/>
      <c r="U85" s="669"/>
      <c r="V85" s="669"/>
    </row>
    <row r="86" spans="2:22" ht="16" customHeight="1" x14ac:dyDescent="0.15">
      <c r="B86" s="315" t="s">
        <v>446</v>
      </c>
      <c r="C86" s="315"/>
      <c r="D86" s="261" t="s">
        <v>150</v>
      </c>
      <c r="E86" s="598">
        <f>-Brochure_Financials!D45</f>
        <v>-36957.875</v>
      </c>
      <c r="F86"/>
      <c r="G86" s="165" t="s">
        <v>451</v>
      </c>
      <c r="H86" s="133"/>
      <c r="I86" s="439" t="s">
        <v>150</v>
      </c>
      <c r="J86" s="600">
        <f>E87/J85</f>
        <v>5384128.322625774</v>
      </c>
      <c r="K86"/>
      <c r="L86"/>
      <c r="M86"/>
      <c r="N86"/>
      <c r="O86" s="674"/>
      <c r="P86" s="674"/>
      <c r="Q86" s="674"/>
      <c r="R86" s="674"/>
      <c r="S86" s="674"/>
      <c r="T86" s="674"/>
      <c r="U86" s="674"/>
      <c r="V86" s="674"/>
    </row>
    <row r="87" spans="2:22" ht="16" customHeight="1" x14ac:dyDescent="0.15">
      <c r="B87" s="133" t="s">
        <v>447</v>
      </c>
      <c r="C87" s="133"/>
      <c r="D87" s="439" t="s">
        <v>150</v>
      </c>
      <c r="E87" s="600">
        <f>+E85+E86</f>
        <v>331162.125</v>
      </c>
      <c r="F87"/>
      <c r="G87" s="270" t="s">
        <v>452</v>
      </c>
      <c r="H87" s="315"/>
      <c r="I87" s="261" t="s">
        <v>150</v>
      </c>
      <c r="J87" s="601">
        <f>purchase_price</f>
        <v>5985000</v>
      </c>
      <c r="K87"/>
      <c r="L87"/>
      <c r="M87"/>
      <c r="N87"/>
    </row>
    <row r="88" spans="2:22" ht="16" customHeight="1" x14ac:dyDescent="0.15">
      <c r="B88"/>
      <c r="C88"/>
      <c r="D88" s="93"/>
      <c r="E88"/>
      <c r="F88"/>
      <c r="G88" t="s">
        <v>455</v>
      </c>
      <c r="H88"/>
      <c r="I88" s="312" t="s">
        <v>150</v>
      </c>
      <c r="J88" s="93">
        <f>J87-J86</f>
        <v>600871.67737422604</v>
      </c>
      <c r="K88"/>
      <c r="L88"/>
      <c r="M88"/>
      <c r="N88"/>
    </row>
    <row r="89" spans="2:22" ht="16" customHeight="1" x14ac:dyDescent="0.15">
      <c r="B89" s="623" t="s">
        <v>460</v>
      </c>
      <c r="C89" s="624"/>
      <c r="D89" s="625"/>
      <c r="E89" s="624"/>
      <c r="F89"/>
      <c r="G89" t="s">
        <v>456</v>
      </c>
      <c r="H89"/>
      <c r="I89" s="312" t="s">
        <v>155</v>
      </c>
      <c r="J89" s="461">
        <f>J88/J86</f>
        <v>0.11160054912680614</v>
      </c>
      <c r="K89"/>
      <c r="L89"/>
      <c r="M89"/>
      <c r="N89"/>
    </row>
    <row r="90" spans="2:22" ht="16" customHeight="1" x14ac:dyDescent="0.15">
      <c r="B90" s="602" t="s">
        <v>448</v>
      </c>
      <c r="C90" s="602"/>
      <c r="D90" s="626" t="s">
        <v>155</v>
      </c>
      <c r="E90" s="629">
        <v>0.12794935107231142</v>
      </c>
      <c r="F90"/>
      <c r="G90"/>
      <c r="H90"/>
      <c r="I90"/>
      <c r="J90"/>
      <c r="K90"/>
      <c r="L90"/>
      <c r="M90"/>
      <c r="N90"/>
    </row>
    <row r="91" spans="2:22" ht="16" customHeight="1" x14ac:dyDescent="0.15">
      <c r="B91" s="20" t="s">
        <v>449</v>
      </c>
      <c r="C91" s="20"/>
      <c r="D91" s="627" t="s">
        <v>260</v>
      </c>
      <c r="E91" s="630">
        <v>2.4842650393231271</v>
      </c>
      <c r="F91"/>
      <c r="G91"/>
      <c r="H91"/>
      <c r="I91"/>
      <c r="J91"/>
      <c r="K91"/>
      <c r="L91"/>
      <c r="M91"/>
      <c r="N91"/>
    </row>
    <row r="92" spans="2:22" ht="16" customHeight="1" x14ac:dyDescent="0.15">
      <c r="B92" s="603" t="s">
        <v>450</v>
      </c>
      <c r="C92" s="603"/>
      <c r="D92" s="628" t="s">
        <v>150</v>
      </c>
      <c r="E92" s="631">
        <v>462954.55034658941</v>
      </c>
      <c r="F92"/>
      <c r="G92"/>
      <c r="H92"/>
      <c r="I92"/>
      <c r="J92"/>
      <c r="K92"/>
      <c r="L92"/>
      <c r="M92"/>
      <c r="N92"/>
    </row>
    <row r="93" spans="2:22" ht="16" customHeight="1" x14ac:dyDescent="0.15">
      <c r="B93" s="500" t="s">
        <v>461</v>
      </c>
      <c r="K93"/>
      <c r="L93"/>
      <c r="M93"/>
      <c r="N93"/>
    </row>
    <row r="94" spans="2:22" ht="16" customHeight="1" x14ac:dyDescent="0.15">
      <c r="K94"/>
      <c r="L94"/>
      <c r="M94"/>
      <c r="N94"/>
    </row>
    <row r="95" spans="2:22" ht="16" customHeight="1" x14ac:dyDescent="0.15">
      <c r="B95" s="675" t="s">
        <v>522</v>
      </c>
      <c r="C95" s="675"/>
      <c r="D95" s="675"/>
      <c r="E95" s="675"/>
      <c r="F95" s="675"/>
      <c r="G95" s="675"/>
      <c r="H95" s="675"/>
      <c r="I95" s="675"/>
      <c r="J95" s="675"/>
      <c r="K95"/>
      <c r="L95"/>
      <c r="M95"/>
      <c r="N95"/>
    </row>
    <row r="96" spans="2:22" ht="16" customHeight="1" x14ac:dyDescent="0.15">
      <c r="B96" s="675"/>
      <c r="C96" s="675"/>
      <c r="D96" s="675"/>
      <c r="E96" s="675"/>
      <c r="F96" s="675"/>
      <c r="G96" s="675"/>
      <c r="H96" s="675"/>
      <c r="I96" s="675"/>
      <c r="J96" s="675"/>
      <c r="K96"/>
      <c r="L96"/>
      <c r="M96"/>
      <c r="N96"/>
    </row>
    <row r="97" spans="1:22" ht="16" customHeight="1" x14ac:dyDescent="0.15">
      <c r="B97" s="677"/>
      <c r="C97" s="677"/>
      <c r="D97" s="677"/>
      <c r="E97" s="677"/>
      <c r="F97" s="677"/>
      <c r="G97" s="677"/>
      <c r="H97" s="677"/>
      <c r="I97" s="677"/>
      <c r="J97" s="677"/>
      <c r="K97"/>
      <c r="L97"/>
      <c r="M97"/>
      <c r="N97"/>
      <c r="O97"/>
      <c r="P97"/>
      <c r="Q97"/>
      <c r="R97"/>
      <c r="S97"/>
      <c r="T97"/>
      <c r="U97"/>
      <c r="V97"/>
    </row>
    <row r="98" spans="1:22" ht="16" customHeight="1" x14ac:dyDescent="0.15">
      <c r="B98" s="675" t="str">
        <f>_xlfn._LONGTEXT("At the advertised 6.15% cap rate, the corrected NOI supports a price of about $5.38M, so the asking price carries a premium of about $601K (11%). Buying at the corrected price lifts levered IRR to 12.8% from 8.7%, the equity multiple to 2.48x from 2.04x, ","and NPV to +$463K from ") &amp;TEXT(D33,"$#,##0")&amp;"."</f>
        <v>At the advertised 6.15% cap rate, the corrected NOI supports a price of about $5.38M, so the asking price carries a premium of about $601K (11%). Buying at the corrected price lifts levered IRR to 12.8% from 8.7%, the equity multiple to 2.48x from 2.04x, and NPV to +$463K from -$254,484.</v>
      </c>
      <c r="C98" s="675"/>
      <c r="D98" s="675"/>
      <c r="E98" s="675"/>
      <c r="F98" s="675"/>
      <c r="G98" s="675"/>
      <c r="H98" s="675"/>
      <c r="I98" s="675"/>
      <c r="J98" s="675"/>
      <c r="K98"/>
      <c r="L98"/>
      <c r="M98"/>
      <c r="N98"/>
      <c r="O98"/>
      <c r="P98"/>
      <c r="Q98"/>
      <c r="R98"/>
      <c r="S98"/>
      <c r="T98"/>
      <c r="U98"/>
      <c r="V98"/>
    </row>
    <row r="99" spans="1:22" ht="16" customHeight="1" x14ac:dyDescent="0.15">
      <c r="B99" s="675"/>
      <c r="C99" s="675"/>
      <c r="D99" s="675"/>
      <c r="E99" s="675"/>
      <c r="F99" s="675"/>
      <c r="G99" s="675"/>
      <c r="H99" s="675"/>
      <c r="I99" s="675"/>
      <c r="J99" s="675"/>
      <c r="K99"/>
      <c r="L99"/>
      <c r="M99"/>
      <c r="N99"/>
      <c r="O99"/>
      <c r="P99"/>
      <c r="Q99"/>
      <c r="R99"/>
      <c r="S99"/>
      <c r="T99"/>
      <c r="U99"/>
      <c r="V99"/>
    </row>
    <row r="100" spans="1:22" ht="16" customHeight="1" x14ac:dyDescent="0.15">
      <c r="B100" s="675"/>
      <c r="C100" s="675"/>
      <c r="D100" s="675"/>
      <c r="E100" s="675"/>
      <c r="F100" s="675"/>
      <c r="G100" s="675"/>
      <c r="H100" s="675"/>
      <c r="I100" s="675"/>
      <c r="J100" s="675"/>
      <c r="K100"/>
      <c r="L100"/>
      <c r="M100"/>
      <c r="N100"/>
      <c r="O100"/>
      <c r="P100"/>
      <c r="Q100"/>
      <c r="R100"/>
      <c r="S100"/>
      <c r="T100"/>
      <c r="U100"/>
      <c r="V100"/>
    </row>
    <row r="101" spans="1:22" ht="16" customHeight="1" x14ac:dyDescent="0.15">
      <c r="K101"/>
      <c r="L101"/>
      <c r="M101"/>
      <c r="N101"/>
      <c r="O101"/>
      <c r="P101"/>
      <c r="Q101"/>
      <c r="R101"/>
      <c r="S101"/>
      <c r="T101"/>
      <c r="U101"/>
      <c r="V101"/>
    </row>
    <row r="102" spans="1:22" ht="16" customHeight="1" x14ac:dyDescent="0.15">
      <c r="K102"/>
      <c r="L102"/>
      <c r="M102"/>
      <c r="N102"/>
      <c r="O102"/>
      <c r="P102"/>
      <c r="Q102"/>
      <c r="R102"/>
      <c r="S102"/>
      <c r="T102"/>
      <c r="U102"/>
      <c r="V102"/>
    </row>
    <row r="103" spans="1:22" ht="16" customHeight="1" x14ac:dyDescent="0.15">
      <c r="K103"/>
      <c r="L103"/>
      <c r="M103"/>
      <c r="N103"/>
      <c r="O103"/>
      <c r="P103"/>
      <c r="Q103"/>
      <c r="R103"/>
      <c r="S103"/>
      <c r="T103"/>
      <c r="U103"/>
      <c r="V103"/>
    </row>
    <row r="104" spans="1:22" ht="16" customHeight="1" x14ac:dyDescent="0.15">
      <c r="B104"/>
      <c r="C104"/>
      <c r="D104"/>
      <c r="E104"/>
      <c r="F104"/>
      <c r="G104"/>
      <c r="H104"/>
      <c r="I104"/>
      <c r="J104"/>
      <c r="K104"/>
      <c r="L104"/>
      <c r="M104"/>
      <c r="N104"/>
      <c r="O104"/>
      <c r="P104"/>
      <c r="Q104"/>
      <c r="R104"/>
      <c r="S104"/>
      <c r="T104"/>
      <c r="U104"/>
      <c r="V104"/>
    </row>
    <row r="105" spans="1:22" ht="16" customHeight="1" x14ac:dyDescent="0.2">
      <c r="B105" s="18" t="s">
        <v>401</v>
      </c>
      <c r="C105"/>
      <c r="D105"/>
      <c r="E105"/>
      <c r="F105"/>
      <c r="G105"/>
      <c r="H105"/>
      <c r="I105"/>
      <c r="J105"/>
      <c r="K105"/>
      <c r="L105"/>
      <c r="M105"/>
      <c r="N105"/>
      <c r="O105"/>
      <c r="P105"/>
      <c r="Q105"/>
      <c r="R105"/>
      <c r="S105"/>
      <c r="T105"/>
      <c r="U105"/>
      <c r="V105"/>
    </row>
    <row r="106" spans="1:22" ht="16" customHeight="1" x14ac:dyDescent="0.15">
      <c r="B106" s="477" t="s">
        <v>403</v>
      </c>
      <c r="C106"/>
      <c r="D106"/>
      <c r="E106"/>
      <c r="F106"/>
      <c r="G106"/>
      <c r="H106"/>
      <c r="I106"/>
      <c r="J106"/>
      <c r="K106"/>
      <c r="L106"/>
      <c r="M106"/>
      <c r="N106"/>
      <c r="O106"/>
      <c r="P106"/>
      <c r="Q106"/>
      <c r="R106"/>
      <c r="S106"/>
      <c r="T106"/>
      <c r="U106"/>
      <c r="V106"/>
    </row>
    <row r="107" spans="1:22" s="226" customFormat="1" ht="16" customHeight="1" x14ac:dyDescent="0.15">
      <c r="A107" s="138"/>
      <c r="B107"/>
      <c r="C107"/>
      <c r="D107"/>
      <c r="E107"/>
      <c r="F107"/>
      <c r="G107"/>
      <c r="H107"/>
      <c r="I107"/>
      <c r="J107"/>
      <c r="K107"/>
      <c r="L107"/>
      <c r="M107"/>
      <c r="N107"/>
      <c r="O107"/>
      <c r="P107"/>
      <c r="Q107"/>
      <c r="R107"/>
      <c r="S107"/>
      <c r="T107"/>
      <c r="U107"/>
      <c r="V107"/>
    </row>
    <row r="108" spans="1:22" s="226" customFormat="1" ht="16" customHeight="1" x14ac:dyDescent="0.2">
      <c r="A108" s="138"/>
      <c r="B108" s="476" t="str">
        <f>"Levered IRR: "&amp;'Assumptions_&amp;_Inputs'!B104&amp;" vs. "&amp;'Assumptions_&amp;_Inputs'!G104</f>
        <v>Levered IRR: Exit Cap Rate vs. Purchase Price</v>
      </c>
      <c r="C108" s="476"/>
      <c r="D108" s="476"/>
      <c r="E108" s="476"/>
      <c r="F108" s="476"/>
      <c r="G108" s="476"/>
      <c r="H108" s="476"/>
      <c r="I108" s="476"/>
      <c r="J108" s="476"/>
      <c r="K108"/>
      <c r="L108" s="476" t="str">
        <f>"Levered IRR: "&amp;'Assumptions_&amp;_Inputs'!B117&amp;" vs. "&amp;'Assumptions_&amp;_Inputs'!G117</f>
        <v>Levered IRR: Rental Growth Rate vs. Exit Cap Rate</v>
      </c>
      <c r="M108" s="476"/>
      <c r="N108" s="476"/>
      <c r="O108" s="476"/>
      <c r="P108" s="476"/>
      <c r="Q108" s="476"/>
      <c r="R108" s="476"/>
      <c r="S108" s="476"/>
      <c r="T108" s="476"/>
      <c r="U108"/>
      <c r="V108"/>
    </row>
    <row r="109" spans="1:22" s="226" customFormat="1" ht="10" customHeight="1" x14ac:dyDescent="0.15">
      <c r="B109" s="548"/>
      <c r="C109" s="548"/>
      <c r="D109" s="549" t="str">
        <f>'Assumptions_&amp;_Inputs'!G104</f>
        <v>Purchase Price</v>
      </c>
      <c r="E109" s="549"/>
      <c r="F109" s="549"/>
      <c r="G109" s="549"/>
      <c r="H109" s="549"/>
      <c r="I109" s="549"/>
      <c r="J109" s="549"/>
      <c r="K109"/>
      <c r="M109" s="548"/>
      <c r="N109" s="549" t="str">
        <f>'Assumptions_&amp;_Inputs'!G117</f>
        <v>Exit Cap Rate</v>
      </c>
      <c r="O109" s="549"/>
      <c r="P109" s="549"/>
      <c r="Q109" s="549"/>
      <c r="R109" s="549"/>
      <c r="S109" s="549"/>
      <c r="T109" s="549"/>
      <c r="U109"/>
      <c r="V109"/>
    </row>
    <row r="110" spans="1:22" s="226" customFormat="1" ht="16" customHeight="1" x14ac:dyDescent="0.15">
      <c r="B110" s="552" t="s">
        <v>402</v>
      </c>
      <c r="C110" s="553">
        <f>'Assumptions_&amp;_Inputs'!C107</f>
        <v>8.6626896262168906E-2</v>
      </c>
      <c r="D110" s="554">
        <f>'Assumptions_&amp;_Inputs'!D107</f>
        <v>5131389.375</v>
      </c>
      <c r="E110" s="554">
        <f>'Assumptions_&amp;_Inputs'!E107</f>
        <v>5401462.5</v>
      </c>
      <c r="F110" s="554">
        <f>'Assumptions_&amp;_Inputs'!F107</f>
        <v>5685750</v>
      </c>
      <c r="G110" s="554">
        <f>'Assumptions_&amp;_Inputs'!G107</f>
        <v>5985000</v>
      </c>
      <c r="H110" s="554">
        <f>'Assumptions_&amp;_Inputs'!H107</f>
        <v>6284250</v>
      </c>
      <c r="I110" s="554">
        <f>'Assumptions_&amp;_Inputs'!I107</f>
        <v>6598462.5</v>
      </c>
      <c r="J110" s="554">
        <f>'Assumptions_&amp;_Inputs'!J107</f>
        <v>6928385.625</v>
      </c>
      <c r="K110"/>
      <c r="L110" s="552" t="s">
        <v>402</v>
      </c>
      <c r="M110" s="553">
        <f>'Assumptions_&amp;_Inputs'!C120</f>
        <v>8.6626896262168906E-2</v>
      </c>
      <c r="N110" s="559">
        <f>'Assumptions_&amp;_Inputs'!D120</f>
        <v>5.0499999999999996E-2</v>
      </c>
      <c r="O110" s="559">
        <f>'Assumptions_&amp;_Inputs'!E120</f>
        <v>5.1999999999999998E-2</v>
      </c>
      <c r="P110" s="559">
        <f>'Assumptions_&amp;_Inputs'!F120</f>
        <v>5.3499999999999999E-2</v>
      </c>
      <c r="Q110" s="559">
        <f>'Assumptions_&amp;_Inputs'!G120</f>
        <v>5.5E-2</v>
      </c>
      <c r="R110" s="559">
        <f>'Assumptions_&amp;_Inputs'!H120</f>
        <v>5.6500000000000002E-2</v>
      </c>
      <c r="S110" s="559">
        <f>'Assumptions_&amp;_Inputs'!I120</f>
        <v>5.8000000000000003E-2</v>
      </c>
      <c r="T110" s="559">
        <f>'Assumptions_&amp;_Inputs'!J120</f>
        <v>5.9500000000000004E-2</v>
      </c>
      <c r="U110"/>
      <c r="V110"/>
    </row>
    <row r="111" spans="1:22" s="226" customFormat="1" ht="16" customHeight="1" x14ac:dyDescent="0.15">
      <c r="B111" s="637" t="str">
        <f>'Assumptions_&amp;_Inputs'!B104</f>
        <v>Exit Cap Rate</v>
      </c>
      <c r="C111" s="555">
        <f>'Assumptions_&amp;_Inputs'!C108</f>
        <v>5.0499999999999996E-2</v>
      </c>
      <c r="D111" s="550">
        <f>'Assumptions_&amp;_Inputs'!D108</f>
        <v>0.16139752268791202</v>
      </c>
      <c r="E111" s="550">
        <f>'Assumptions_&amp;_Inputs'!E108</f>
        <v>0.13932102322578435</v>
      </c>
      <c r="F111" s="550">
        <f>'Assumptions_&amp;_Inputs'!F108</f>
        <v>0.11910538077354432</v>
      </c>
      <c r="G111" s="550">
        <f>'Assumptions_&amp;_Inputs'!G108</f>
        <v>0.1004633367061615</v>
      </c>
      <c r="H111" s="550">
        <f>'Assumptions_&amp;_Inputs'!H108</f>
        <v>8.3962383866310109E-2</v>
      </c>
      <c r="I111" s="550">
        <f>'Assumptions_&amp;_Inputs'!I108</f>
        <v>6.8494173884391787E-2</v>
      </c>
      <c r="J111" s="550">
        <f>'Assumptions_&amp;_Inputs'!J108</f>
        <v>5.3919127583503729E-2</v>
      </c>
      <c r="K111"/>
      <c r="L111" s="640" t="str">
        <f>'Assumptions_&amp;_Inputs'!B117</f>
        <v>Rental Growth Rate</v>
      </c>
      <c r="M111" s="555">
        <f>'Assumptions_&amp;_Inputs'!C121</f>
        <v>2.1999999999999999E-2</v>
      </c>
      <c r="N111" s="560">
        <f>'Assumptions_&amp;_Inputs'!D121</f>
        <v>9.2508366703987155E-2</v>
      </c>
      <c r="O111" s="560">
        <f>'Assumptions_&amp;_Inputs'!E121</f>
        <v>8.7717303633689903E-2</v>
      </c>
      <c r="P111" s="560">
        <f>'Assumptions_&amp;_Inputs'!F121</f>
        <v>8.2999363541603102E-2</v>
      </c>
      <c r="Q111" s="560">
        <f>'Assumptions_&amp;_Inputs'!G121</f>
        <v>7.8347608447074904E-2</v>
      </c>
      <c r="R111" s="560">
        <f>'Assumptions_&amp;_Inputs'!H121</f>
        <v>7.3755535483360335E-2</v>
      </c>
      <c r="S111" s="560">
        <f>'Assumptions_&amp;_Inputs'!I121</f>
        <v>6.9216993451118466E-2</v>
      </c>
      <c r="T111" s="560">
        <f>'Assumptions_&amp;_Inputs'!J121</f>
        <v>6.4726153016090388E-2</v>
      </c>
      <c r="U111"/>
      <c r="V111"/>
    </row>
    <row r="112" spans="1:22" s="226" customFormat="1" ht="16" customHeight="1" x14ac:dyDescent="0.15">
      <c r="B112" s="638"/>
      <c r="C112" s="556">
        <f>'Assumptions_&amp;_Inputs'!C109</f>
        <v>5.1999999999999998E-2</v>
      </c>
      <c r="D112" s="550">
        <f>'Assumptions_&amp;_Inputs'!D109</f>
        <v>0.15691586136817934</v>
      </c>
      <c r="E112" s="550">
        <f>'Assumptions_&amp;_Inputs'!E109</f>
        <v>0.13475003838539126</v>
      </c>
      <c r="F112" s="550">
        <f>'Assumptions_&amp;_Inputs'!F109</f>
        <v>0.11446751952171327</v>
      </c>
      <c r="G112" s="550">
        <f>'Assumptions_&amp;_Inputs'!G109</f>
        <v>9.5776435732841489E-2</v>
      </c>
      <c r="H112" s="550">
        <f>'Assumptions_&amp;_Inputs'!H109</f>
        <v>7.9242047667503368E-2</v>
      </c>
      <c r="I112" s="550">
        <f>'Assumptions_&amp;_Inputs'!I109</f>
        <v>6.3750794529914834E-2</v>
      </c>
      <c r="J112" s="550">
        <f>'Assumptions_&amp;_Inputs'!J109</f>
        <v>4.91616040468216E-2</v>
      </c>
      <c r="K112"/>
      <c r="L112" s="641"/>
      <c r="M112" s="556">
        <f>'Assumptions_&amp;_Inputs'!C122</f>
        <v>2.3E-2</v>
      </c>
      <c r="N112" s="550">
        <f>'Assumptions_&amp;_Inputs'!D122</f>
        <v>9.5181128382682792E-2</v>
      </c>
      <c r="O112" s="550">
        <f>'Assumptions_&amp;_Inputs'!E122</f>
        <v>9.0425911545753496E-2</v>
      </c>
      <c r="P112" s="550">
        <f>'Assumptions_&amp;_Inputs'!F122</f>
        <v>8.5745170712470994E-2</v>
      </c>
      <c r="Q112" s="550">
        <f>'Assumptions_&amp;_Inputs'!G122</f>
        <v>8.1132057309150699E-2</v>
      </c>
      <c r="R112" s="550">
        <f>'Assumptions_&amp;_Inputs'!H122</f>
        <v>7.658013403415681E-2</v>
      </c>
      <c r="S112" s="550">
        <f>'Assumptions_&amp;_Inputs'!I122</f>
        <v>7.2083345055580159E-2</v>
      </c>
      <c r="T112" s="550">
        <f>'Assumptions_&amp;_Inputs'!J122</f>
        <v>6.7635944485664387E-2</v>
      </c>
      <c r="U112"/>
      <c r="V112"/>
    </row>
    <row r="113" spans="1:22" s="226" customFormat="1" ht="16" customHeight="1" x14ac:dyDescent="0.15">
      <c r="B113" s="638"/>
      <c r="C113" s="556">
        <f>'Assumptions_&amp;_Inputs'!C110</f>
        <v>5.3499999999999999E-2</v>
      </c>
      <c r="D113" s="550">
        <f>'Assumptions_&amp;_Inputs'!D110</f>
        <v>0.15251439213752746</v>
      </c>
      <c r="E113" s="550">
        <f>'Assumptions_&amp;_Inputs'!E110</f>
        <v>0.1302580535411835</v>
      </c>
      <c r="F113" s="550">
        <f>'Assumptions_&amp;_Inputs'!F110</f>
        <v>0.10990760922431947</v>
      </c>
      <c r="G113" s="550">
        <f>'Assumptions_&amp;_Inputs'!G110</f>
        <v>9.1166529059410112E-2</v>
      </c>
      <c r="H113" s="550">
        <f>'Assumptions_&amp;_Inputs'!H110</f>
        <v>7.4597874283790597E-2</v>
      </c>
      <c r="I113" s="550">
        <f>'Assumptions_&amp;_Inputs'!I110</f>
        <v>5.9082815051078805E-2</v>
      </c>
      <c r="J113" s="550">
        <f>'Assumptions_&amp;_Inputs'!J110</f>
        <v>4.44787472486496E-2</v>
      </c>
      <c r="K113"/>
      <c r="L113" s="641"/>
      <c r="M113" s="556">
        <f>'Assumptions_&amp;_Inputs'!C123</f>
        <v>2.4E-2</v>
      </c>
      <c r="N113" s="550">
        <f>'Assumptions_&amp;_Inputs'!D123</f>
        <v>9.7832566499710089E-2</v>
      </c>
      <c r="O113" s="550">
        <f>'Assumptions_&amp;_Inputs'!E123</f>
        <v>9.3112048506736766E-2</v>
      </c>
      <c r="P113" s="550">
        <f>'Assumptions_&amp;_Inputs'!F123</f>
        <v>8.8467308878898629E-2</v>
      </c>
      <c r="Q113" s="550">
        <f>'Assumptions_&amp;_Inputs'!G123</f>
        <v>8.3891543745994557E-2</v>
      </c>
      <c r="R113" s="550">
        <f>'Assumptions_&amp;_Inputs'!H123</f>
        <v>7.937840521335604E-2</v>
      </c>
      <c r="S113" s="550">
        <f>'Assumptions_&amp;_Inputs'!I123</f>
        <v>7.4921903014183083E-2</v>
      </c>
      <c r="T113" s="550">
        <f>'Assumptions_&amp;_Inputs'!J123</f>
        <v>7.0516380667686465E-2</v>
      </c>
      <c r="U113"/>
      <c r="V113"/>
    </row>
    <row r="114" spans="1:22" s="226" customFormat="1" ht="16" customHeight="1" x14ac:dyDescent="0.15">
      <c r="B114" s="638"/>
      <c r="C114" s="556">
        <f>'Assumptions_&amp;_Inputs'!C111</f>
        <v>5.5E-2</v>
      </c>
      <c r="D114" s="550">
        <f>'Assumptions_&amp;_Inputs'!D111</f>
        <v>0.14818660616874693</v>
      </c>
      <c r="E114" s="550">
        <f>'Assumptions_&amp;_Inputs'!E111</f>
        <v>0.12583848834037781</v>
      </c>
      <c r="F114" s="550">
        <f>'Assumptions_&amp;_Inputs'!F111</f>
        <v>0.10541897416114809</v>
      </c>
      <c r="G114" s="551">
        <f>'Assumptions_&amp;_Inputs'!G111</f>
        <v>8.6626896262168906E-2</v>
      </c>
      <c r="H114" s="550">
        <f>'Assumptions_&amp;_Inputs'!H111</f>
        <v>7.0023098587989802E-2</v>
      </c>
      <c r="I114" s="550">
        <f>'Assumptions_&amp;_Inputs'!I111</f>
        <v>5.4483434557914726E-2</v>
      </c>
      <c r="J114" s="550">
        <f>'Assumptions_&amp;_Inputs'!J111</f>
        <v>3.9863750338554396E-2</v>
      </c>
      <c r="K114"/>
      <c r="L114" s="641"/>
      <c r="M114" s="556">
        <f>'Assumptions_&amp;_Inputs'!C124</f>
        <v>2.5000000000000001E-2</v>
      </c>
      <c r="N114" s="550">
        <f>'Assumptions_&amp;_Inputs'!D124</f>
        <v>0.1004633367061615</v>
      </c>
      <c r="O114" s="550">
        <f>'Assumptions_&amp;_Inputs'!E124</f>
        <v>9.5776435732841489E-2</v>
      </c>
      <c r="P114" s="550">
        <f>'Assumptions_&amp;_Inputs'!F124</f>
        <v>9.1166529059410112E-2</v>
      </c>
      <c r="Q114" s="551">
        <f>'Assumptions_&amp;_Inputs'!G124</f>
        <v>8.6626896262168906E-2</v>
      </c>
      <c r="R114" s="550">
        <f>'Assumptions_&amp;_Inputs'!H124</f>
        <v>8.2151231169700648E-2</v>
      </c>
      <c r="S114" s="550">
        <f>'Assumptions_&amp;_Inputs'!I124</f>
        <v>7.7733626961708088E-2</v>
      </c>
      <c r="T114" s="550">
        <f>'Assumptions_&amp;_Inputs'!J124</f>
        <v>7.3368504643440274E-2</v>
      </c>
      <c r="U114"/>
      <c r="V114"/>
    </row>
    <row r="115" spans="1:22" s="226" customFormat="1" ht="16" customHeight="1" x14ac:dyDescent="0.15">
      <c r="B115" s="638"/>
      <c r="C115" s="556">
        <f>'Assumptions_&amp;_Inputs'!C112</f>
        <v>5.6500000000000002E-2</v>
      </c>
      <c r="D115" s="550">
        <f>'Assumptions_&amp;_Inputs'!D112</f>
        <v>0.14392645955085759</v>
      </c>
      <c r="E115" s="550">
        <f>'Assumptions_&amp;_Inputs'!E112</f>
        <v>0.12148516774177553</v>
      </c>
      <c r="F115" s="550">
        <f>'Assumptions_&amp;_Inputs'!F112</f>
        <v>0.10099537968635561</v>
      </c>
      <c r="G115" s="550">
        <f>'Assumptions_&amp;_Inputs'!G112</f>
        <v>8.2151231169700648E-2</v>
      </c>
      <c r="H115" s="550">
        <f>'Assumptions_&amp;_Inputs'!H112</f>
        <v>6.5511390566825853E-2</v>
      </c>
      <c r="I115" s="550">
        <f>'Assumptions_&amp;_Inputs'!I112</f>
        <v>4.9946287274360651E-2</v>
      </c>
      <c r="J115" s="550">
        <f>'Assumptions_&amp;_Inputs'!J112</f>
        <v>3.5310223698616042E-2</v>
      </c>
      <c r="K115"/>
      <c r="L115" s="641"/>
      <c r="M115" s="556">
        <f>'Assumptions_&amp;_Inputs'!C125</f>
        <v>2.6000000000000002E-2</v>
      </c>
      <c r="N115" s="550">
        <f>'Assumptions_&amp;_Inputs'!D125</f>
        <v>0.10307406783103945</v>
      </c>
      <c r="O115" s="550">
        <f>'Assumptions_&amp;_Inputs'!E125</f>
        <v>9.8419743776321428E-2</v>
      </c>
      <c r="P115" s="550">
        <f>'Assumptions_&amp;_Inputs'!F125</f>
        <v>9.3843576312065122E-2</v>
      </c>
      <c r="Q115" s="550">
        <f>'Assumptions_&amp;_Inputs'!G125</f>
        <v>8.9338895678520228E-2</v>
      </c>
      <c r="R115" s="550">
        <f>'Assumptions_&amp;_Inputs'!H125</f>
        <v>8.4899464249610909E-2</v>
      </c>
      <c r="S115" s="550">
        <f>'Assumptions_&amp;_Inputs'!I125</f>
        <v>8.0519440770149248E-2</v>
      </c>
      <c r="T115" s="550">
        <f>'Assumptions_&amp;_Inputs'!J125</f>
        <v>7.6193305850028994E-2</v>
      </c>
      <c r="U115"/>
      <c r="V115"/>
    </row>
    <row r="116" spans="1:22" s="226" customFormat="1" ht="16" customHeight="1" x14ac:dyDescent="0.15">
      <c r="B116" s="638"/>
      <c r="C116" s="556">
        <f>'Assumptions_&amp;_Inputs'!C113</f>
        <v>5.8000000000000003E-2</v>
      </c>
      <c r="D116" s="550">
        <f>'Assumptions_&amp;_Inputs'!D113</f>
        <v>0.13972830176353454</v>
      </c>
      <c r="E116" s="550">
        <f>'Assumptions_&amp;_Inputs'!E113</f>
        <v>0.11719234585762023</v>
      </c>
      <c r="F116" s="550">
        <f>'Assumptions_&amp;_Inputs'!F113</f>
        <v>9.6630984544754023E-2</v>
      </c>
      <c r="G116" s="550">
        <f>'Assumptions_&amp;_Inputs'!G113</f>
        <v>7.7733626961708088E-2</v>
      </c>
      <c r="H116" s="550">
        <f>'Assumptions_&amp;_Inputs'!H113</f>
        <v>6.1056777834892273E-2</v>
      </c>
      <c r="I116" s="550">
        <f>'Assumptions_&amp;_Inputs'!I113</f>
        <v>4.5465382933616655E-2</v>
      </c>
      <c r="J116" s="550">
        <f>'Assumptions_&amp;_Inputs'!J113</f>
        <v>3.0812159180641174E-2</v>
      </c>
      <c r="K116"/>
      <c r="L116" s="641"/>
      <c r="M116" s="556">
        <f>'Assumptions_&amp;_Inputs'!C126</f>
        <v>2.7000000000000003E-2</v>
      </c>
      <c r="N116" s="550">
        <f>'Assumptions_&amp;_Inputs'!D126</f>
        <v>0.10566535592079165</v>
      </c>
      <c r="O116" s="550">
        <f>'Assumptions_&amp;_Inputs'!E126</f>
        <v>0.10104261040687559</v>
      </c>
      <c r="P116" s="550">
        <f>'Assumptions_&amp;_Inputs'!F126</f>
        <v>9.6499139070510886E-2</v>
      </c>
      <c r="Q116" s="550">
        <f>'Assumptions_&amp;_Inputs'!G126</f>
        <v>9.2028293013572682E-2</v>
      </c>
      <c r="R116" s="550">
        <f>'Assumptions_&amp;_Inputs'!H126</f>
        <v>8.7623915076255818E-2</v>
      </c>
      <c r="S116" s="550">
        <f>'Assumptions_&amp;_Inputs'!I126</f>
        <v>8.328021466732026E-2</v>
      </c>
      <c r="T116" s="550">
        <f>'Assumptions_&amp;_Inputs'!J126</f>
        <v>7.8991737961769115E-2</v>
      </c>
      <c r="U116"/>
      <c r="V116"/>
    </row>
    <row r="117" spans="1:22" s="226" customFormat="1" ht="16" customHeight="1" x14ac:dyDescent="0.15">
      <c r="B117" s="639"/>
      <c r="C117" s="557">
        <f>'Assumptions_&amp;_Inputs'!C114</f>
        <v>5.9500000000000004E-2</v>
      </c>
      <c r="D117" s="558">
        <f>'Assumptions_&amp;_Inputs'!D114</f>
        <v>0.13558682799339297</v>
      </c>
      <c r="E117" s="558">
        <f>'Assumptions_&amp;_Inputs'!E114</f>
        <v>0.11295458674430847</v>
      </c>
      <c r="F117" s="558">
        <f>'Assumptions_&amp;_Inputs'!F114</f>
        <v>9.2320266366004961E-2</v>
      </c>
      <c r="G117" s="558">
        <f>'Assumptions_&amp;_Inputs'!G114</f>
        <v>7.3368504643440274E-2</v>
      </c>
      <c r="H117" s="558">
        <f>'Assumptions_&amp;_Inputs'!H114</f>
        <v>5.6653639674186712E-2</v>
      </c>
      <c r="I117" s="558">
        <f>'Assumptions_&amp;_Inputs'!I114</f>
        <v>4.1035047173500067E-2</v>
      </c>
      <c r="J117" s="558">
        <f>'Assumptions_&amp;_Inputs'!J114</f>
        <v>2.6363852620124816E-2</v>
      </c>
      <c r="K117"/>
      <c r="L117" s="642"/>
      <c r="M117" s="557">
        <f>'Assumptions_&amp;_Inputs'!C127</f>
        <v>2.8000000000000004E-2</v>
      </c>
      <c r="N117" s="558">
        <f>'Assumptions_&amp;_Inputs'!D127</f>
        <v>0.10823777318000793</v>
      </c>
      <c r="O117" s="558">
        <f>'Assumptions_&amp;_Inputs'!E127</f>
        <v>0.10364566445350645</v>
      </c>
      <c r="P117" s="558">
        <f>'Assumptions_&amp;_Inputs'!F127</f>
        <v>9.9133867025375383E-2</v>
      </c>
      <c r="Q117" s="558">
        <f>'Assumptions_&amp;_Inputs'!G127</f>
        <v>9.469580948352814E-2</v>
      </c>
      <c r="R117" s="558">
        <f>'Assumptions_&amp;_Inputs'!H127</f>
        <v>9.0325358510017398E-2</v>
      </c>
      <c r="S117" s="558">
        <f>'Assumptions_&amp;_Inputs'!I127</f>
        <v>8.6016777157783483E-2</v>
      </c>
      <c r="T117" s="558">
        <f>'Assumptions_&amp;_Inputs'!J127</f>
        <v>8.176468908786777E-2</v>
      </c>
      <c r="U117"/>
      <c r="V117"/>
    </row>
    <row r="118" spans="1:22" s="226" customFormat="1" ht="16" customHeight="1" x14ac:dyDescent="0.15">
      <c r="B118"/>
      <c r="C118"/>
      <c r="D118"/>
      <c r="E118"/>
      <c r="F118"/>
      <c r="G118"/>
      <c r="H118"/>
      <c r="I118"/>
      <c r="J118"/>
      <c r="K118"/>
      <c r="L118"/>
      <c r="M118"/>
      <c r="N118"/>
      <c r="O118"/>
      <c r="P118"/>
      <c r="Q118"/>
      <c r="R118"/>
      <c r="S118"/>
      <c r="T118"/>
      <c r="U118"/>
      <c r="V118"/>
    </row>
    <row r="119" spans="1:22" s="226" customFormat="1" ht="16" customHeight="1" x14ac:dyDescent="0.15">
      <c r="B119"/>
      <c r="C119"/>
      <c r="D119"/>
      <c r="E119"/>
      <c r="F119"/>
      <c r="G119"/>
      <c r="H119"/>
      <c r="I119"/>
      <c r="J119"/>
      <c r="K119"/>
      <c r="L119"/>
      <c r="M119"/>
      <c r="N119"/>
      <c r="O119"/>
      <c r="P119"/>
      <c r="Q119"/>
      <c r="R119"/>
      <c r="S119"/>
      <c r="T119"/>
      <c r="U119"/>
      <c r="V119"/>
    </row>
    <row r="120" spans="1:22" s="226" customFormat="1" ht="16" customHeight="1" x14ac:dyDescent="0.2">
      <c r="B120" s="476" t="str">
        <f>"Levered IRR: "&amp;'Assumptions_&amp;_Inputs'!B130&amp;" vs. "&amp;'Assumptions_&amp;_Inputs'!G130</f>
        <v>Levered IRR: Renovation Cost per sq. ft. vs. Rent Premium</v>
      </c>
      <c r="C120" s="476"/>
      <c r="D120" s="476"/>
      <c r="E120" s="476"/>
      <c r="F120" s="476"/>
      <c r="G120" s="476"/>
      <c r="H120" s="476"/>
      <c r="I120" s="476"/>
      <c r="J120" s="476"/>
      <c r="K120"/>
      <c r="L120" s="476" t="str">
        <f>"Levered IRR: "&amp;'Assumptions_&amp;_Inputs'!B143&amp;" vs. "&amp;'Assumptions_&amp;_Inputs'!G143</f>
        <v>Levered IRR: Bridge Loan Interest Rate vs. Cap Rate at Refinance</v>
      </c>
      <c r="M120" s="476"/>
      <c r="N120" s="476"/>
      <c r="O120" s="476"/>
      <c r="P120" s="476"/>
      <c r="Q120" s="476"/>
      <c r="R120" s="476"/>
      <c r="S120" s="476"/>
      <c r="T120" s="476"/>
      <c r="U120"/>
      <c r="V120"/>
    </row>
    <row r="121" spans="1:22" s="226" customFormat="1" ht="16" customHeight="1" x14ac:dyDescent="0.15">
      <c r="C121" s="548"/>
      <c r="D121" s="549" t="str">
        <f>'Assumptions_&amp;_Inputs'!G130</f>
        <v>Rent Premium</v>
      </c>
      <c r="E121" s="549"/>
      <c r="F121" s="549"/>
      <c r="G121" s="549"/>
      <c r="H121" s="549"/>
      <c r="I121" s="549"/>
      <c r="J121" s="549"/>
      <c r="K121"/>
      <c r="M121" s="548"/>
      <c r="N121" s="549" t="str">
        <f>'Assumptions_&amp;_Inputs'!G143</f>
        <v>Cap Rate at Refinance</v>
      </c>
      <c r="O121" s="549"/>
      <c r="P121" s="549"/>
      <c r="Q121" s="549"/>
      <c r="R121" s="549"/>
      <c r="S121" s="549"/>
      <c r="T121" s="549"/>
      <c r="U121"/>
      <c r="V121"/>
    </row>
    <row r="122" spans="1:22" ht="16" customHeight="1" x14ac:dyDescent="0.15">
      <c r="A122" s="226"/>
      <c r="B122" s="552" t="s">
        <v>402</v>
      </c>
      <c r="C122" s="553">
        <f>'Assumptions_&amp;_Inputs'!C133</f>
        <v>8.6626896262168906E-2</v>
      </c>
      <c r="D122" s="559">
        <f>'Assumptions_&amp;_Inputs'!D133</f>
        <v>6.25E-2</v>
      </c>
      <c r="E122" s="559">
        <f>'Assumptions_&amp;_Inputs'!E133</f>
        <v>6.5000000000000002E-2</v>
      </c>
      <c r="F122" s="559">
        <f>'Assumptions_&amp;_Inputs'!F133</f>
        <v>6.7500000000000004E-2</v>
      </c>
      <c r="G122" s="559">
        <f>'Assumptions_&amp;_Inputs'!G133</f>
        <v>7.0000000000000007E-2</v>
      </c>
      <c r="H122" s="559">
        <f>'Assumptions_&amp;_Inputs'!H133</f>
        <v>7.2500000000000009E-2</v>
      </c>
      <c r="I122" s="559">
        <f>'Assumptions_&amp;_Inputs'!I133</f>
        <v>7.5000000000000011E-2</v>
      </c>
      <c r="J122" s="559">
        <f>'Assumptions_&amp;_Inputs'!J133</f>
        <v>7.7500000000000013E-2</v>
      </c>
      <c r="K122"/>
      <c r="L122" s="552" t="s">
        <v>402</v>
      </c>
      <c r="M122" s="553">
        <f>'Assumptions_&amp;_Inputs'!C146</f>
        <v>8.6626896262168906E-2</v>
      </c>
      <c r="N122" s="559">
        <f>'Assumptions_&amp;_Inputs'!D146</f>
        <v>5.2499999999999991E-2</v>
      </c>
      <c r="O122" s="559">
        <f>'Assumptions_&amp;_Inputs'!E146</f>
        <v>5.4999999999999993E-2</v>
      </c>
      <c r="P122" s="559">
        <f>'Assumptions_&amp;_Inputs'!F146</f>
        <v>5.7499999999999996E-2</v>
      </c>
      <c r="Q122" s="559">
        <f>'Assumptions_&amp;_Inputs'!G146</f>
        <v>0.06</v>
      </c>
      <c r="R122" s="559">
        <f>'Assumptions_&amp;_Inputs'!H146</f>
        <v>6.25E-2</v>
      </c>
      <c r="S122" s="559">
        <f>'Assumptions_&amp;_Inputs'!I146</f>
        <v>6.5000000000000002E-2</v>
      </c>
      <c r="T122" s="559">
        <f>'Assumptions_&amp;_Inputs'!J146</f>
        <v>6.7500000000000004E-2</v>
      </c>
      <c r="U122"/>
      <c r="V122"/>
    </row>
    <row r="123" spans="1:22" ht="16" customHeight="1" x14ac:dyDescent="0.15">
      <c r="A123" s="226"/>
      <c r="B123" s="640" t="str">
        <f>'Assumptions_&amp;_Inputs'!B130</f>
        <v>Renovation Cost per sq. ft.</v>
      </c>
      <c r="C123" s="561">
        <f>'Assumptions_&amp;_Inputs'!C134</f>
        <v>34</v>
      </c>
      <c r="D123" s="560">
        <f>'Assumptions_&amp;_Inputs'!D134</f>
        <v>8.6881217360496532E-2</v>
      </c>
      <c r="E123" s="560">
        <f>'Assumptions_&amp;_Inputs'!E134</f>
        <v>8.7820801138877885E-2</v>
      </c>
      <c r="F123" s="560">
        <f>'Assumptions_&amp;_Inputs'!F134</f>
        <v>8.8761785626411446E-2</v>
      </c>
      <c r="G123" s="560">
        <f>'Assumptions_&amp;_Inputs'!G134</f>
        <v>8.9704194664955161E-2</v>
      </c>
      <c r="H123" s="560">
        <f>'Assumptions_&amp;_Inputs'!H134</f>
        <v>9.0648040175437927E-2</v>
      </c>
      <c r="I123" s="560">
        <f>'Assumptions_&amp;_Inputs'!I134</f>
        <v>9.1593340039253249E-2</v>
      </c>
      <c r="J123" s="560">
        <f>'Assumptions_&amp;_Inputs'!J134</f>
        <v>9.2540106177330023E-2</v>
      </c>
      <c r="K123"/>
      <c r="L123" s="641" t="str">
        <f>'Assumptions_&amp;_Inputs'!B143</f>
        <v>Bridge Loan Interest Rate</v>
      </c>
      <c r="M123" s="555">
        <f>'Assumptions_&amp;_Inputs'!C147</f>
        <v>5.5499999999999994E-2</v>
      </c>
      <c r="N123" s="550">
        <f>'Assumptions_&amp;_Inputs'!D147</f>
        <v>9.3658956885337832E-2</v>
      </c>
      <c r="O123" s="550">
        <f>'Assumptions_&amp;_Inputs'!E147</f>
        <v>9.1311839222908017E-2</v>
      </c>
      <c r="P123" s="550">
        <f>'Assumptions_&amp;_Inputs'!F147</f>
        <v>8.9381822943687475E-2</v>
      </c>
      <c r="Q123" s="550">
        <f>'Assumptions_&amp;_Inputs'!G147</f>
        <v>8.7767294049262992E-2</v>
      </c>
      <c r="R123" s="550">
        <f>'Assumptions_&amp;_Inputs'!H147</f>
        <v>8.6397024989128116E-2</v>
      </c>
      <c r="S123" s="550">
        <f>'Assumptions_&amp;_Inputs'!I147</f>
        <v>8.5219666361808763E-2</v>
      </c>
      <c r="T123" s="550">
        <f>'Assumptions_&amp;_Inputs'!J147</f>
        <v>8.4197279810905454E-2</v>
      </c>
      <c r="U123"/>
      <c r="V123"/>
    </row>
    <row r="124" spans="1:22" ht="16" customHeight="1" x14ac:dyDescent="0.15">
      <c r="B124" s="641"/>
      <c r="C124" s="562">
        <f>'Assumptions_&amp;_Inputs'!C135</f>
        <v>36</v>
      </c>
      <c r="D124" s="550">
        <f>'Assumptions_&amp;_Inputs'!D135</f>
        <v>8.5860833525657654E-2</v>
      </c>
      <c r="E124" s="550">
        <f>'Assumptions_&amp;_Inputs'!E135</f>
        <v>8.6795887351036077E-2</v>
      </c>
      <c r="F124" s="550">
        <f>'Assumptions_&amp;_Inputs'!F135</f>
        <v>8.7732318043708804E-2</v>
      </c>
      <c r="G124" s="550">
        <f>'Assumptions_&amp;_Inputs'!G135</f>
        <v>8.8670143485069283E-2</v>
      </c>
      <c r="H124" s="550">
        <f>'Assumptions_&amp;_Inputs'!H135</f>
        <v>8.9609375596046481E-2</v>
      </c>
      <c r="I124" s="550">
        <f>'Assumptions_&amp;_Inputs'!I135</f>
        <v>9.0550038218498247E-2</v>
      </c>
      <c r="J124" s="550">
        <f>'Assumptions_&amp;_Inputs'!J135</f>
        <v>9.1492143273353602E-2</v>
      </c>
      <c r="K124"/>
      <c r="L124" s="641"/>
      <c r="M124" s="556">
        <f>'Assumptions_&amp;_Inputs'!C148</f>
        <v>5.6999999999999995E-2</v>
      </c>
      <c r="N124" s="550">
        <f>'Assumptions_&amp;_Inputs'!D148</f>
        <v>9.3208232522010798E-2</v>
      </c>
      <c r="O124" s="550">
        <f>'Assumptions_&amp;_Inputs'!E148</f>
        <v>9.0889039635658295E-2</v>
      </c>
      <c r="P124" s="550">
        <f>'Assumptions_&amp;_Inputs'!F148</f>
        <v>8.8981792330741896E-2</v>
      </c>
      <c r="Q124" s="550">
        <f>'Assumptions_&amp;_Inputs'!G148</f>
        <v>8.7386164069175723E-2</v>
      </c>
      <c r="R124" s="550">
        <f>'Assumptions_&amp;_Inputs'!H148</f>
        <v>8.6031833291053766E-2</v>
      </c>
      <c r="S124" s="550">
        <f>'Assumptions_&amp;_Inputs'!I148</f>
        <v>8.4868094325065604E-2</v>
      </c>
      <c r="T124" s="550">
        <f>'Assumptions_&amp;_Inputs'!J148</f>
        <v>8.3857473731040966E-2</v>
      </c>
      <c r="U124"/>
      <c r="V124"/>
    </row>
    <row r="125" spans="1:22" ht="16" customHeight="1" x14ac:dyDescent="0.15">
      <c r="B125" s="641"/>
      <c r="C125" s="562">
        <f>'Assumptions_&amp;_Inputs'!C136</f>
        <v>38</v>
      </c>
      <c r="D125" s="550">
        <f>'Assumptions_&amp;_Inputs'!D136</f>
        <v>8.4848597645759596E-2</v>
      </c>
      <c r="E125" s="550">
        <f>'Assumptions_&amp;_Inputs'!E136</f>
        <v>8.5779181122779852E-2</v>
      </c>
      <c r="F125" s="550">
        <f>'Assumptions_&amp;_Inputs'!F136</f>
        <v>8.671111166477205E-2</v>
      </c>
      <c r="G125" s="550">
        <f>'Assumptions_&amp;_Inputs'!G136</f>
        <v>8.7644413113594069E-2</v>
      </c>
      <c r="H125" s="550">
        <f>'Assumptions_&amp;_Inputs'!H136</f>
        <v>8.857909739017486E-2</v>
      </c>
      <c r="I125" s="550">
        <f>'Assumptions_&amp;_Inputs'!I136</f>
        <v>8.9515182375907928E-2</v>
      </c>
      <c r="J125" s="550">
        <f>'Assumptions_&amp;_Inputs'!J136</f>
        <v>9.0452685952186584E-2</v>
      </c>
      <c r="K125"/>
      <c r="L125" s="641"/>
      <c r="M125" s="556">
        <f>'Assumptions_&amp;_Inputs'!C149</f>
        <v>5.8499999999999996E-2</v>
      </c>
      <c r="N125" s="550">
        <f>'Assumptions_&amp;_Inputs'!D149</f>
        <v>9.2758843302726754E-2</v>
      </c>
      <c r="O125" s="550">
        <f>'Assumptions_&amp;_Inputs'!E149</f>
        <v>9.0467438101768494E-2</v>
      </c>
      <c r="P125" s="550">
        <f>'Assumptions_&amp;_Inputs'!F149</f>
        <v>8.8582846522331254E-2</v>
      </c>
      <c r="Q125" s="550">
        <f>'Assumptions_&amp;_Inputs'!G149</f>
        <v>8.7006029486656214E-2</v>
      </c>
      <c r="R125" s="550">
        <f>'Assumptions_&amp;_Inputs'!H149</f>
        <v>8.5667571425437905E-2</v>
      </c>
      <c r="S125" s="550">
        <f>'Assumptions_&amp;_Inputs'!I149</f>
        <v>8.4517386555671717E-2</v>
      </c>
      <c r="T125" s="550">
        <f>'Assumptions_&amp;_Inputs'!J149</f>
        <v>8.3518472313880932E-2</v>
      </c>
      <c r="U125"/>
      <c r="V125"/>
    </row>
    <row r="126" spans="1:22" ht="16" customHeight="1" x14ac:dyDescent="0.15">
      <c r="B126" s="641"/>
      <c r="C126" s="562">
        <f>'Assumptions_&amp;_Inputs'!C137</f>
        <v>40</v>
      </c>
      <c r="D126" s="550">
        <f>'Assumptions_&amp;_Inputs'!D137</f>
        <v>8.3844396471977237E-2</v>
      </c>
      <c r="E126" s="550">
        <f>'Assumptions_&amp;_Inputs'!E137</f>
        <v>8.4770563244819644E-2</v>
      </c>
      <c r="F126" s="550">
        <f>'Assumptions_&amp;_Inputs'!F137</f>
        <v>8.5698059201240531E-2</v>
      </c>
      <c r="G126" s="551">
        <f>'Assumptions_&amp;_Inputs'!G137</f>
        <v>8.6626896262168906E-2</v>
      </c>
      <c r="H126" s="550">
        <f>'Assumptions_&amp;_Inputs'!H137</f>
        <v>8.7557086348533639E-2</v>
      </c>
      <c r="I126" s="550">
        <f>'Assumptions_&amp;_Inputs'!I137</f>
        <v>8.8488653302192702E-2</v>
      </c>
      <c r="J126" s="550">
        <f>'Assumptions_&amp;_Inputs'!J137</f>
        <v>8.9421603083610551E-2</v>
      </c>
      <c r="K126"/>
      <c r="L126" s="641"/>
      <c r="M126" s="556">
        <f>'Assumptions_&amp;_Inputs'!C150</f>
        <v>0.06</v>
      </c>
      <c r="N126" s="550">
        <f>'Assumptions_&amp;_Inputs'!D150</f>
        <v>9.2310795187950156E-2</v>
      </c>
      <c r="O126" s="550">
        <f>'Assumptions_&amp;_Inputs'!E150</f>
        <v>9.0047028660774242E-2</v>
      </c>
      <c r="P126" s="550">
        <f>'Assumptions_&amp;_Inputs'!F150</f>
        <v>8.8184979557991053E-2</v>
      </c>
      <c r="Q126" s="551">
        <f>'Assumptions_&amp;_Inputs'!G150</f>
        <v>8.6626896262168906E-2</v>
      </c>
      <c r="R126" s="550">
        <f>'Assumptions_&amp;_Inputs'!H150</f>
        <v>8.5304227471351621E-2</v>
      </c>
      <c r="S126" s="550">
        <f>'Assumptions_&amp;_Inputs'!I150</f>
        <v>8.4167537093162534E-2</v>
      </c>
      <c r="T126" s="550">
        <f>'Assumptions_&amp;_Inputs'!J150</f>
        <v>8.3180281519889848E-2</v>
      </c>
      <c r="U126"/>
      <c r="V126"/>
    </row>
    <row r="127" spans="1:22" ht="16" customHeight="1" x14ac:dyDescent="0.15">
      <c r="B127" s="641"/>
      <c r="C127" s="562">
        <f>'Assumptions_&amp;_Inputs'!C138</f>
        <v>42</v>
      </c>
      <c r="D127" s="550">
        <f>'Assumptions_&amp;_Inputs'!D138</f>
        <v>8.2848116755485535E-2</v>
      </c>
      <c r="E127" s="550">
        <f>'Assumptions_&amp;_Inputs'!E138</f>
        <v>8.3769932389259338E-2</v>
      </c>
      <c r="F127" s="550">
        <f>'Assumptions_&amp;_Inputs'!F138</f>
        <v>8.4693041443824807E-2</v>
      </c>
      <c r="G127" s="550">
        <f>'Assumptions_&amp;_Inputs'!G138</f>
        <v>8.561746776103972E-2</v>
      </c>
      <c r="H127" s="550">
        <f>'Assumptions_&amp;_Inputs'!H138</f>
        <v>8.6543223261833196E-2</v>
      </c>
      <c r="I127" s="550">
        <f>'Assumptions_&amp;_Inputs'!I138</f>
        <v>8.7470325827598588E-2</v>
      </c>
      <c r="J127" s="550">
        <f>'Assumptions_&amp;_Inputs'!J138</f>
        <v>8.8398793339729331E-2</v>
      </c>
      <c r="K127"/>
      <c r="L127" s="641"/>
      <c r="M127" s="556">
        <f>'Assumptions_&amp;_Inputs'!C151</f>
        <v>6.1499999999999999E-2</v>
      </c>
      <c r="N127" s="550">
        <f>'Assumptions_&amp;_Inputs'!D151</f>
        <v>9.1864076256752011E-2</v>
      </c>
      <c r="O127" s="550">
        <f>'Assumptions_&amp;_Inputs'!E151</f>
        <v>8.9627811312675484E-2</v>
      </c>
      <c r="P127" s="550">
        <f>'Assumptions_&amp;_Inputs'!F151</f>
        <v>8.7788197398185747E-2</v>
      </c>
      <c r="Q127" s="550">
        <f>'Assumptions_&amp;_Inputs'!G151</f>
        <v>8.6248746514320393E-2</v>
      </c>
      <c r="R127" s="550">
        <f>'Assumptions_&amp;_Inputs'!H151</f>
        <v>8.4941795468330375E-2</v>
      </c>
      <c r="S127" s="550">
        <f>'Assumptions_&amp;_Inputs'!I151</f>
        <v>8.3818539977073669E-2</v>
      </c>
      <c r="T127" s="550">
        <f>'Assumptions_&amp;_Inputs'!J151</f>
        <v>8.284288942813875E-2</v>
      </c>
      <c r="U127"/>
      <c r="V127"/>
    </row>
    <row r="128" spans="1:22" ht="16" customHeight="1" x14ac:dyDescent="0.15">
      <c r="B128" s="641"/>
      <c r="C128" s="562">
        <f>'Assumptions_&amp;_Inputs'!C139</f>
        <v>44</v>
      </c>
      <c r="D128" s="550">
        <f>'Assumptions_&amp;_Inputs'!D139</f>
        <v>8.1859657168388375E-2</v>
      </c>
      <c r="E128" s="550">
        <f>'Assumptions_&amp;_Inputs'!E139</f>
        <v>8.2777163386344929E-2</v>
      </c>
      <c r="F128" s="550">
        <f>'Assumptions_&amp;_Inputs'!F139</f>
        <v>8.3695945143699643E-2</v>
      </c>
      <c r="G128" s="550">
        <f>'Assumptions_&amp;_Inputs'!G139</f>
        <v>8.4616020321846022E-2</v>
      </c>
      <c r="H128" s="550">
        <f>'Assumptions_&amp;_Inputs'!H139</f>
        <v>8.5537394881248466E-2</v>
      </c>
      <c r="I128" s="550">
        <f>'Assumptions_&amp;_Inputs'!I139</f>
        <v>8.6460092663764962E-2</v>
      </c>
      <c r="J128" s="550">
        <f>'Assumptions_&amp;_Inputs'!J139</f>
        <v>8.7384131550788877E-2</v>
      </c>
      <c r="K128"/>
      <c r="L128" s="641"/>
      <c r="M128" s="556">
        <f>'Assumptions_&amp;_Inputs'!C152</f>
        <v>6.3E-2</v>
      </c>
      <c r="N128" s="550">
        <f>'Assumptions_&amp;_Inputs'!D152</f>
        <v>9.1418680548667919E-2</v>
      </c>
      <c r="O128" s="550">
        <f>'Assumptions_&amp;_Inputs'!E152</f>
        <v>8.920977413654331E-2</v>
      </c>
      <c r="P128" s="550">
        <f>'Assumptions_&amp;_Inputs'!F152</f>
        <v>8.7392488121986384E-2</v>
      </c>
      <c r="Q128" s="550">
        <f>'Assumptions_&amp;_Inputs'!G152</f>
        <v>8.5871580243110687E-2</v>
      </c>
      <c r="R128" s="550">
        <f>'Assumptions_&amp;_Inputs'!H152</f>
        <v>8.4580281376838706E-2</v>
      </c>
      <c r="S128" s="550">
        <f>'Assumptions_&amp;_Inputs'!I152</f>
        <v>8.3470395207405082E-2</v>
      </c>
      <c r="T128" s="550">
        <f>'Assumptions_&amp;_Inputs'!J152</f>
        <v>8.2506301999092105E-2</v>
      </c>
      <c r="U128"/>
      <c r="V128"/>
    </row>
    <row r="129" spans="2:22" ht="16" customHeight="1" x14ac:dyDescent="0.15">
      <c r="B129" s="642"/>
      <c r="C129" s="563">
        <f>'Assumptions_&amp;_Inputs'!C140</f>
        <v>46</v>
      </c>
      <c r="D129" s="558">
        <f>'Assumptions_&amp;_Inputs'!D140</f>
        <v>8.0878904461860704E-2</v>
      </c>
      <c r="E129" s="558">
        <f>'Assumptions_&amp;_Inputs'!E140</f>
        <v>8.1792160868644728E-2</v>
      </c>
      <c r="F129" s="558">
        <f>'Assumptions_&amp;_Inputs'!F140</f>
        <v>8.2706668972969064E-2</v>
      </c>
      <c r="G129" s="558">
        <f>'Assumptions_&amp;_Inputs'!G140</f>
        <v>8.3622440695762634E-2</v>
      </c>
      <c r="H129" s="558">
        <f>'Assumptions_&amp;_Inputs'!H140</f>
        <v>8.4539493918418918E-2</v>
      </c>
      <c r="I129" s="558">
        <f>'Assumptions_&amp;_Inputs'!I140</f>
        <v>8.5457840561866769E-2</v>
      </c>
      <c r="J129" s="558">
        <f>'Assumptions_&amp;_Inputs'!J140</f>
        <v>8.6377504467964175E-2</v>
      </c>
      <c r="K129"/>
      <c r="L129" s="642"/>
      <c r="M129" s="557">
        <f>'Assumptions_&amp;_Inputs'!C153</f>
        <v>6.4500000000000002E-2</v>
      </c>
      <c r="N129" s="558">
        <f>'Assumptions_&amp;_Inputs'!D153</f>
        <v>9.0974602103233368E-2</v>
      </c>
      <c r="O129" s="558">
        <f>'Assumptions_&amp;_Inputs'!E153</f>
        <v>8.8792917132377622E-2</v>
      </c>
      <c r="P129" s="558">
        <f>'Assumptions_&amp;_Inputs'!F153</f>
        <v>8.6997845768928564E-2</v>
      </c>
      <c r="Q129" s="558">
        <f>'Assumptions_&amp;_Inputs'!G153</f>
        <v>8.549539744853972E-2</v>
      </c>
      <c r="R129" s="558">
        <f>'Assumptions_&amp;_Inputs'!H153</f>
        <v>8.4219673275947551E-2</v>
      </c>
      <c r="S129" s="558">
        <f>'Assumptions_&amp;_Inputs'!I153</f>
        <v>8.3123096823692344E-2</v>
      </c>
      <c r="T129" s="558">
        <f>'Assumptions_&amp;_Inputs'!J153</f>
        <v>8.2170513272285459E-2</v>
      </c>
      <c r="U129"/>
      <c r="V129"/>
    </row>
    <row r="130" spans="2:22" ht="16" customHeight="1" x14ac:dyDescent="0.15">
      <c r="B130"/>
      <c r="C130"/>
      <c r="D130"/>
      <c r="E130"/>
      <c r="F130"/>
      <c r="G130"/>
      <c r="H130"/>
      <c r="I130"/>
      <c r="J130"/>
      <c r="K130"/>
      <c r="L130"/>
      <c r="M130"/>
      <c r="N130"/>
      <c r="O130"/>
      <c r="P130"/>
      <c r="Q130"/>
      <c r="R130"/>
      <c r="S130"/>
      <c r="T130"/>
      <c r="U130"/>
      <c r="V130"/>
    </row>
    <row r="131" spans="2:22" ht="16" customHeight="1" x14ac:dyDescent="0.15">
      <c r="B131"/>
      <c r="C131"/>
      <c r="D131"/>
      <c r="E131"/>
      <c r="F131"/>
      <c r="G131"/>
      <c r="H131"/>
      <c r="I131"/>
      <c r="J131"/>
      <c r="K131"/>
      <c r="L131"/>
      <c r="M131"/>
      <c r="N131"/>
      <c r="O131"/>
      <c r="P131"/>
      <c r="Q131"/>
      <c r="R131"/>
      <c r="S131"/>
      <c r="T131"/>
      <c r="U131"/>
      <c r="V131"/>
    </row>
    <row r="132" spans="2:22" ht="16" customHeight="1" x14ac:dyDescent="0.15">
      <c r="B132"/>
      <c r="C132"/>
      <c r="D132"/>
      <c r="E132"/>
      <c r="F132"/>
      <c r="G132"/>
      <c r="H132"/>
      <c r="I132"/>
      <c r="J132"/>
      <c r="K132"/>
      <c r="L132"/>
      <c r="M132"/>
      <c r="N132"/>
      <c r="O132"/>
      <c r="P132"/>
      <c r="Q132"/>
      <c r="R132"/>
      <c r="S132"/>
      <c r="T132"/>
      <c r="U132"/>
      <c r="V132"/>
    </row>
    <row r="133" spans="2:22" ht="16" customHeight="1" x14ac:dyDescent="0.15">
      <c r="B133"/>
      <c r="C133"/>
      <c r="D133"/>
      <c r="E133"/>
      <c r="F133"/>
      <c r="G133"/>
      <c r="H133"/>
      <c r="I133"/>
      <c r="J133"/>
      <c r="K133"/>
      <c r="L133"/>
      <c r="M133"/>
      <c r="N133"/>
      <c r="O133"/>
      <c r="P133"/>
      <c r="Q133"/>
      <c r="R133"/>
      <c r="S133"/>
      <c r="T133"/>
      <c r="U133"/>
      <c r="V133"/>
    </row>
    <row r="134" spans="2:22" ht="16" customHeight="1" x14ac:dyDescent="0.15">
      <c r="B134"/>
      <c r="C134"/>
      <c r="D134"/>
      <c r="E134"/>
      <c r="F134"/>
      <c r="G134"/>
      <c r="H134"/>
      <c r="I134"/>
      <c r="J134"/>
      <c r="K134"/>
      <c r="L134"/>
      <c r="M134"/>
      <c r="N134"/>
      <c r="O134"/>
      <c r="P134"/>
      <c r="Q134"/>
      <c r="R134"/>
      <c r="S134"/>
      <c r="T134"/>
      <c r="U134"/>
      <c r="V134"/>
    </row>
    <row r="135" spans="2:22" ht="16" customHeight="1" x14ac:dyDescent="0.15">
      <c r="B135"/>
      <c r="C135"/>
      <c r="D135"/>
      <c r="E135"/>
      <c r="F135"/>
      <c r="G135"/>
      <c r="H135"/>
      <c r="I135"/>
      <c r="J135"/>
      <c r="K135"/>
      <c r="L135"/>
      <c r="M135"/>
      <c r="N135"/>
      <c r="O135"/>
      <c r="P135"/>
      <c r="Q135"/>
      <c r="R135"/>
      <c r="S135"/>
      <c r="T135"/>
      <c r="U135"/>
      <c r="V135"/>
    </row>
    <row r="136" spans="2:22" ht="16" customHeight="1" x14ac:dyDescent="0.15">
      <c r="B136"/>
      <c r="C136"/>
      <c r="D136"/>
      <c r="E136"/>
      <c r="F136"/>
      <c r="G136"/>
      <c r="H136"/>
      <c r="I136"/>
      <c r="J136"/>
      <c r="K136"/>
      <c r="L136"/>
      <c r="M136"/>
      <c r="N136"/>
      <c r="O136"/>
      <c r="P136"/>
      <c r="Q136"/>
      <c r="R136"/>
      <c r="S136"/>
      <c r="T136"/>
      <c r="U136"/>
      <c r="V136"/>
    </row>
    <row r="137" spans="2:22" ht="16" customHeight="1" x14ac:dyDescent="0.15">
      <c r="B137"/>
      <c r="C137"/>
      <c r="D137"/>
      <c r="E137"/>
      <c r="F137"/>
      <c r="G137"/>
      <c r="H137"/>
      <c r="I137"/>
      <c r="J137"/>
      <c r="K137"/>
      <c r="L137"/>
      <c r="M137"/>
      <c r="N137"/>
      <c r="O137"/>
      <c r="P137"/>
      <c r="Q137"/>
      <c r="R137"/>
      <c r="S137"/>
      <c r="T137"/>
      <c r="U137"/>
      <c r="V137"/>
    </row>
    <row r="138" spans="2:22" ht="16" customHeight="1" x14ac:dyDescent="0.15">
      <c r="B138"/>
      <c r="C138"/>
      <c r="D138"/>
      <c r="E138"/>
      <c r="F138"/>
      <c r="G138"/>
      <c r="H138"/>
      <c r="I138"/>
      <c r="J138"/>
      <c r="K138"/>
      <c r="L138"/>
      <c r="M138"/>
      <c r="N138"/>
      <c r="O138"/>
      <c r="P138"/>
      <c r="Q138"/>
      <c r="R138"/>
      <c r="S138"/>
      <c r="T138"/>
      <c r="U138"/>
      <c r="V138"/>
    </row>
  </sheetData>
  <mergeCells count="20">
    <mergeCell ref="Y57:AF57"/>
    <mergeCell ref="B95:J96"/>
    <mergeCell ref="B98:J100"/>
    <mergeCell ref="O50:V51"/>
    <mergeCell ref="O53:V56"/>
    <mergeCell ref="O58:V60"/>
    <mergeCell ref="O62:V63"/>
    <mergeCell ref="O66:V69"/>
    <mergeCell ref="O72:V75"/>
    <mergeCell ref="O77:V77"/>
    <mergeCell ref="O84:V85"/>
    <mergeCell ref="O80:V83"/>
    <mergeCell ref="Y47:AF50"/>
    <mergeCell ref="Y52:AF55"/>
    <mergeCell ref="Y42:AE45"/>
    <mergeCell ref="B111:B117"/>
    <mergeCell ref="L111:L117"/>
    <mergeCell ref="L123:L129"/>
    <mergeCell ref="B123:B129"/>
    <mergeCell ref="O43:V47"/>
  </mergeCells>
  <printOptions horizontalCentered="1"/>
  <pageMargins left="0.25" right="0.25" top="0.6" bottom="0.6" header="0.3" footer="0.3"/>
  <pageSetup paperSize="9" scale="56" orientation="landscape" horizontalDpi="0" verticalDpi="0"/>
  <headerFooter>
    <oddHeader>&amp;C&amp;"-,Bold"2480 Dundas St W – Deal Summary</oddHeader>
    <oddFooter>&amp;L&amp;8&amp;F&amp;C&amp;8Page &amp;P of &amp;N&amp;R&amp;8&amp;D</oddFooter>
  </headerFooter>
  <colBreaks count="2" manualBreakCount="2">
    <brk id="11" min="104" max="128" man="1"/>
    <brk id="23" max="1048575" man="1"/>
  </colBreaks>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F55B4A-4A8E-8F4C-A268-300BFB338272}">
  <sheetPr codeName="Sheet3">
    <tabColor rgb="FFFFFF99"/>
  </sheetPr>
  <dimension ref="B2:L37"/>
  <sheetViews>
    <sheetView showGridLines="0" zoomScaleNormal="147" workbookViewId="0"/>
  </sheetViews>
  <sheetFormatPr baseColWidth="10" defaultRowHeight="11" x14ac:dyDescent="0.15"/>
  <cols>
    <col min="1" max="1" width="6.25" style="179" customWidth="1"/>
    <col min="2" max="2" width="34" style="179" bestFit="1" customWidth="1"/>
    <col min="3" max="3" width="22" style="179" bestFit="1" customWidth="1"/>
    <col min="4" max="4" width="23.75" style="179" customWidth="1"/>
    <col min="5" max="5" width="19.75" style="179" customWidth="1"/>
    <col min="6" max="7" width="16" style="179" customWidth="1"/>
    <col min="8" max="8" width="20" style="179" bestFit="1" customWidth="1"/>
    <col min="9" max="9" width="17" style="179" customWidth="1"/>
    <col min="10" max="11" width="19.5" style="179" customWidth="1"/>
    <col min="12" max="12" width="43.75" style="179" customWidth="1"/>
    <col min="13" max="16384" width="10.75" style="179"/>
  </cols>
  <sheetData>
    <row r="2" spans="2:12" ht="19" x14ac:dyDescent="0.25">
      <c r="B2" s="137" t="str">
        <f>'Assumptions_&amp;_Inputs'!$E$14&amp;" Rent Roll Breakdown"</f>
        <v>2480 Dundas St W Rent Roll Breakdown</v>
      </c>
      <c r="E2" s="643"/>
      <c r="F2" s="643"/>
      <c r="G2" s="643"/>
      <c r="H2" s="438"/>
      <c r="I2" s="437"/>
      <c r="J2" s="437"/>
      <c r="K2" s="437"/>
    </row>
    <row r="3" spans="2:12" x14ac:dyDescent="0.15">
      <c r="B3" s="138" t="s">
        <v>182</v>
      </c>
    </row>
    <row r="4" spans="2:12" x14ac:dyDescent="0.15">
      <c r="C4" s="185"/>
      <c r="L4" s="183"/>
    </row>
    <row r="5" spans="2:12" x14ac:dyDescent="0.15">
      <c r="B5" s="180" t="s">
        <v>100</v>
      </c>
      <c r="C5" s="181"/>
      <c r="D5" s="181"/>
      <c r="E5" s="181"/>
      <c r="F5" s="181"/>
      <c r="G5" s="308"/>
      <c r="H5" s="182"/>
      <c r="L5" s="183"/>
    </row>
    <row r="6" spans="2:12" x14ac:dyDescent="0.15">
      <c r="B6" s="186" t="s">
        <v>91</v>
      </c>
      <c r="C6" s="187" t="s">
        <v>77</v>
      </c>
      <c r="D6" s="187" t="s">
        <v>133</v>
      </c>
      <c r="E6" s="187" t="s">
        <v>135</v>
      </c>
      <c r="F6" s="188" t="s">
        <v>98</v>
      </c>
      <c r="G6" s="616" t="s">
        <v>99</v>
      </c>
      <c r="H6" s="619" t="s">
        <v>459</v>
      </c>
      <c r="L6" s="183"/>
    </row>
    <row r="7" spans="2:12" x14ac:dyDescent="0.15">
      <c r="B7" s="189" t="s">
        <v>130</v>
      </c>
      <c r="C7" s="190">
        <v>5</v>
      </c>
      <c r="D7" s="191">
        <f>AVERAGEIF($C$23:$C$36,$B7,$G$23:$G$36)</f>
        <v>338.4</v>
      </c>
      <c r="E7" s="192">
        <v>1699</v>
      </c>
      <c r="F7" s="193">
        <f t="shared" ref="F7:F9" si="0">E7*12</f>
        <v>20388</v>
      </c>
      <c r="G7" s="617">
        <f t="shared" ref="G7:G9" si="1">F7/D7</f>
        <v>60.248226950354614</v>
      </c>
      <c r="H7" s="621" t="s">
        <v>458</v>
      </c>
      <c r="L7" s="183"/>
    </row>
    <row r="8" spans="2:12" x14ac:dyDescent="0.15">
      <c r="B8" s="189" t="s">
        <v>131</v>
      </c>
      <c r="C8" s="190">
        <v>5</v>
      </c>
      <c r="D8" s="191">
        <f>AVERAGEIF($C$23:$C$36,$B8,$G$23:$G$36)</f>
        <v>618.4</v>
      </c>
      <c r="E8" s="192">
        <v>2480</v>
      </c>
      <c r="F8" s="193">
        <f t="shared" si="0"/>
        <v>29760</v>
      </c>
      <c r="G8" s="617">
        <f t="shared" si="1"/>
        <v>48.124191461837</v>
      </c>
      <c r="H8" s="620" t="s">
        <v>458</v>
      </c>
      <c r="L8" s="183"/>
    </row>
    <row r="9" spans="2:12" x14ac:dyDescent="0.15">
      <c r="B9" s="186" t="s">
        <v>132</v>
      </c>
      <c r="C9" s="195">
        <v>4</v>
      </c>
      <c r="D9" s="196">
        <f>AVERAGEIF($C$23:$C$36,$B9,$G$23:$G$36)</f>
        <v>1466.75</v>
      </c>
      <c r="E9" s="197">
        <v>3800</v>
      </c>
      <c r="F9" s="198">
        <f t="shared" si="0"/>
        <v>45600</v>
      </c>
      <c r="G9" s="618">
        <f t="shared" si="1"/>
        <v>31.089142662348731</v>
      </c>
      <c r="H9" s="622" t="s">
        <v>458</v>
      </c>
      <c r="L9" s="183"/>
    </row>
    <row r="10" spans="2:12" x14ac:dyDescent="0.15">
      <c r="B10" s="200" t="s">
        <v>114</v>
      </c>
      <c r="C10" s="185"/>
      <c r="L10" s="183"/>
    </row>
    <row r="11" spans="2:12" x14ac:dyDescent="0.15">
      <c r="D11" s="185"/>
      <c r="L11" s="183"/>
    </row>
    <row r="12" spans="2:12" x14ac:dyDescent="0.15">
      <c r="D12" s="185"/>
      <c r="L12" s="183"/>
    </row>
    <row r="13" spans="2:12" x14ac:dyDescent="0.15">
      <c r="B13" s="308"/>
      <c r="C13" s="309" t="s">
        <v>222</v>
      </c>
      <c r="D13" s="307" t="s">
        <v>225</v>
      </c>
      <c r="L13" s="183"/>
    </row>
    <row r="14" spans="2:12" x14ac:dyDescent="0.15">
      <c r="B14" s="283" t="s">
        <v>51</v>
      </c>
      <c r="C14" s="194">
        <f>+H37</f>
        <v>36759.380000000005</v>
      </c>
      <c r="D14" s="194">
        <f>+J37</f>
        <v>36095</v>
      </c>
      <c r="L14" s="183"/>
    </row>
    <row r="15" spans="2:12" x14ac:dyDescent="0.15">
      <c r="B15" s="285" t="s">
        <v>103</v>
      </c>
      <c r="D15" s="287">
        <f>D14/C14-1</f>
        <v>-1.8073754236333839E-2</v>
      </c>
      <c r="L15" s="183"/>
    </row>
    <row r="16" spans="2:12" x14ac:dyDescent="0.15">
      <c r="B16" s="305" t="s">
        <v>226</v>
      </c>
      <c r="C16" s="306">
        <f>+C14*12</f>
        <v>441112.56000000006</v>
      </c>
      <c r="D16" s="306">
        <f>+D14*12</f>
        <v>433140</v>
      </c>
      <c r="J16" s="284"/>
      <c r="K16" s="284"/>
      <c r="L16" s="183"/>
    </row>
    <row r="17" spans="2:12" x14ac:dyDescent="0.15">
      <c r="B17" s="179" t="s">
        <v>471</v>
      </c>
      <c r="C17" s="310" cm="1">
        <f t="array" ref="C17">SUMPRODUCT(G23:G36/G37,I23:I36)</f>
        <v>3.4512609144681248</v>
      </c>
      <c r="D17" s="310" cm="1">
        <f t="array" ref="D17">SUMPRODUCT(G23:G36/G37,K23:K36)</f>
        <v>3.3888836728945644</v>
      </c>
      <c r="F17" s="199"/>
      <c r="L17" s="183"/>
    </row>
    <row r="18" spans="2:12" x14ac:dyDescent="0.15">
      <c r="B18" s="179" t="s">
        <v>103</v>
      </c>
      <c r="C18" s="310"/>
      <c r="D18" s="311">
        <f>D17/C17-1</f>
        <v>-1.8073754236333506E-2</v>
      </c>
      <c r="L18" s="183"/>
    </row>
    <row r="19" spans="2:12" ht="13" customHeight="1" x14ac:dyDescent="0.15">
      <c r="F19" s="284"/>
      <c r="H19" s="288"/>
      <c r="I19" s="288"/>
      <c r="J19" s="288"/>
      <c r="K19" s="288"/>
      <c r="L19" s="183"/>
    </row>
    <row r="20" spans="2:12" ht="14" x14ac:dyDescent="0.15">
      <c r="B20" s="201" t="s">
        <v>93</v>
      </c>
      <c r="D20" s="285"/>
      <c r="F20" s="286"/>
      <c r="H20" s="194"/>
      <c r="J20" s="194"/>
      <c r="K20" s="194"/>
    </row>
    <row r="21" spans="2:12" x14ac:dyDescent="0.15">
      <c r="B21" s="202"/>
      <c r="C21" s="203"/>
      <c r="D21" s="184"/>
      <c r="E21" s="184"/>
      <c r="F21" s="184"/>
      <c r="G21" s="184"/>
      <c r="H21" s="644" t="s">
        <v>222</v>
      </c>
      <c r="I21" s="645"/>
      <c r="J21" s="646" t="s">
        <v>225</v>
      </c>
      <c r="K21" s="647"/>
      <c r="L21" s="184"/>
    </row>
    <row r="22" spans="2:12" ht="27" customHeight="1" x14ac:dyDescent="0.15">
      <c r="B22" s="204" t="s">
        <v>92</v>
      </c>
      <c r="C22" s="204" t="s">
        <v>97</v>
      </c>
      <c r="D22" s="204" t="s">
        <v>94</v>
      </c>
      <c r="E22" s="204" t="s">
        <v>95</v>
      </c>
      <c r="F22" s="204" t="s">
        <v>96</v>
      </c>
      <c r="G22" s="295" t="s">
        <v>78</v>
      </c>
      <c r="H22" s="204" t="s">
        <v>220</v>
      </c>
      <c r="I22" s="289" t="s">
        <v>227</v>
      </c>
      <c r="J22" s="299" t="s">
        <v>221</v>
      </c>
      <c r="K22" s="289" t="s">
        <v>227</v>
      </c>
      <c r="L22" s="204" t="s">
        <v>102</v>
      </c>
    </row>
    <row r="23" spans="2:12" ht="17" customHeight="1" x14ac:dyDescent="0.15">
      <c r="B23" s="143" t="s">
        <v>116</v>
      </c>
      <c r="C23" s="161" t="s">
        <v>130</v>
      </c>
      <c r="D23" s="143" t="s">
        <v>85</v>
      </c>
      <c r="E23" s="143" t="s">
        <v>85</v>
      </c>
      <c r="F23" s="143" t="s">
        <v>477</v>
      </c>
      <c r="G23" s="296">
        <v>415</v>
      </c>
      <c r="H23" s="293">
        <v>2295.62</v>
      </c>
      <c r="I23" s="290">
        <f>H23/G23</f>
        <v>5.5316144578313251</v>
      </c>
      <c r="J23" s="300">
        <f t="shared" ref="J23:J36" si="2">_xlfn.XLOOKUP(C23,$B$7:$B$9,$E$7:$E$9)</f>
        <v>1699</v>
      </c>
      <c r="K23" s="303">
        <f>J23/G23</f>
        <v>4.0939759036144574</v>
      </c>
      <c r="L23" s="164"/>
    </row>
    <row r="24" spans="2:12" ht="17" customHeight="1" x14ac:dyDescent="0.15">
      <c r="B24" s="143" t="s">
        <v>117</v>
      </c>
      <c r="C24" s="161" t="s">
        <v>131</v>
      </c>
      <c r="D24" s="143" t="s">
        <v>85</v>
      </c>
      <c r="E24" s="143" t="s">
        <v>85</v>
      </c>
      <c r="F24" s="143" t="s">
        <v>477</v>
      </c>
      <c r="G24" s="296">
        <v>721</v>
      </c>
      <c r="H24" s="293">
        <v>2843.49</v>
      </c>
      <c r="I24" s="290">
        <f t="shared" ref="I24:I36" si="3">H24/G24</f>
        <v>3.9438141470180303</v>
      </c>
      <c r="J24" s="300">
        <f t="shared" si="2"/>
        <v>2480</v>
      </c>
      <c r="K24" s="303">
        <f>J24/G24</f>
        <v>3.4396671289875171</v>
      </c>
    </row>
    <row r="25" spans="2:12" ht="17" customHeight="1" x14ac:dyDescent="0.15">
      <c r="B25" s="143" t="s">
        <v>118</v>
      </c>
      <c r="C25" s="161" t="s">
        <v>131</v>
      </c>
      <c r="D25" s="143" t="s">
        <v>85</v>
      </c>
      <c r="E25" s="143" t="s">
        <v>85</v>
      </c>
      <c r="F25" s="143" t="s">
        <v>477</v>
      </c>
      <c r="G25" s="296">
        <v>532</v>
      </c>
      <c r="H25" s="293">
        <v>1996.14</v>
      </c>
      <c r="I25" s="290">
        <f t="shared" si="3"/>
        <v>3.7521428571428572</v>
      </c>
      <c r="J25" s="300">
        <f t="shared" si="2"/>
        <v>2480</v>
      </c>
      <c r="K25" s="303">
        <f t="shared" ref="K25:K36" si="4">J25/G25</f>
        <v>4.6616541353383463</v>
      </c>
    </row>
    <row r="26" spans="2:12" ht="17" customHeight="1" x14ac:dyDescent="0.15">
      <c r="B26" s="143" t="s">
        <v>119</v>
      </c>
      <c r="C26" s="161" t="s">
        <v>132</v>
      </c>
      <c r="D26" s="143" t="s">
        <v>85</v>
      </c>
      <c r="E26" s="143" t="s">
        <v>85</v>
      </c>
      <c r="F26" s="143" t="s">
        <v>477</v>
      </c>
      <c r="G26" s="296">
        <v>1845</v>
      </c>
      <c r="H26" s="293">
        <v>4200</v>
      </c>
      <c r="I26" s="290">
        <f t="shared" si="3"/>
        <v>2.2764227642276422</v>
      </c>
      <c r="J26" s="300">
        <f t="shared" si="2"/>
        <v>3800</v>
      </c>
      <c r="K26" s="303">
        <f t="shared" si="4"/>
        <v>2.0596205962059622</v>
      </c>
    </row>
    <row r="27" spans="2:12" ht="17" customHeight="1" x14ac:dyDescent="0.15">
      <c r="B27" s="143" t="s">
        <v>120</v>
      </c>
      <c r="C27" s="161" t="s">
        <v>130</v>
      </c>
      <c r="D27" s="143" t="s">
        <v>85</v>
      </c>
      <c r="E27" s="143" t="s">
        <v>85</v>
      </c>
      <c r="F27" s="143" t="s">
        <v>477</v>
      </c>
      <c r="G27" s="296">
        <v>196</v>
      </c>
      <c r="H27" s="293">
        <v>1346.11</v>
      </c>
      <c r="I27" s="290">
        <f t="shared" si="3"/>
        <v>6.8679081632653052</v>
      </c>
      <c r="J27" s="300">
        <f t="shared" si="2"/>
        <v>1699</v>
      </c>
      <c r="K27" s="303">
        <f t="shared" si="4"/>
        <v>8.6683673469387763</v>
      </c>
    </row>
    <row r="28" spans="2:12" ht="17" customHeight="1" x14ac:dyDescent="0.15">
      <c r="B28" s="143" t="s">
        <v>121</v>
      </c>
      <c r="C28" s="161" t="s">
        <v>132</v>
      </c>
      <c r="D28" s="143" t="s">
        <v>85</v>
      </c>
      <c r="E28" s="143" t="s">
        <v>85</v>
      </c>
      <c r="F28" s="143" t="s">
        <v>477</v>
      </c>
      <c r="G28" s="296">
        <v>1361</v>
      </c>
      <c r="H28" s="293">
        <v>4485</v>
      </c>
      <c r="I28" s="290">
        <f t="shared" si="3"/>
        <v>3.2953710506980163</v>
      </c>
      <c r="J28" s="300">
        <f t="shared" si="2"/>
        <v>3800</v>
      </c>
      <c r="K28" s="303">
        <f t="shared" si="4"/>
        <v>2.7920646583394562</v>
      </c>
    </row>
    <row r="29" spans="2:12" ht="17" customHeight="1" x14ac:dyDescent="0.15">
      <c r="B29" s="143" t="s">
        <v>122</v>
      </c>
      <c r="C29" s="161" t="s">
        <v>131</v>
      </c>
      <c r="D29" s="143" t="s">
        <v>85</v>
      </c>
      <c r="E29" s="143" t="s">
        <v>85</v>
      </c>
      <c r="F29" s="143" t="s">
        <v>477</v>
      </c>
      <c r="G29" s="296">
        <v>623</v>
      </c>
      <c r="H29" s="293">
        <v>2040.24</v>
      </c>
      <c r="I29" s="290">
        <f t="shared" si="3"/>
        <v>3.2748635634028891</v>
      </c>
      <c r="J29" s="300">
        <f t="shared" si="2"/>
        <v>2480</v>
      </c>
      <c r="K29" s="303">
        <f>J29/G29</f>
        <v>3.9807383627608348</v>
      </c>
    </row>
    <row r="30" spans="2:12" ht="17" customHeight="1" x14ac:dyDescent="0.15">
      <c r="B30" s="143" t="s">
        <v>123</v>
      </c>
      <c r="C30" s="161" t="s">
        <v>131</v>
      </c>
      <c r="D30" s="143" t="s">
        <v>85</v>
      </c>
      <c r="E30" s="143" t="s">
        <v>85</v>
      </c>
      <c r="F30" s="143" t="s">
        <v>477</v>
      </c>
      <c r="G30" s="296">
        <v>521</v>
      </c>
      <c r="H30" s="293">
        <v>2547.13</v>
      </c>
      <c r="I30" s="290">
        <f t="shared" si="3"/>
        <v>4.8889251439539345</v>
      </c>
      <c r="J30" s="300">
        <f t="shared" si="2"/>
        <v>2480</v>
      </c>
      <c r="K30" s="303">
        <f t="shared" si="4"/>
        <v>4.7600767754318616</v>
      </c>
    </row>
    <row r="31" spans="2:12" ht="17" customHeight="1" x14ac:dyDescent="0.15">
      <c r="B31" s="143" t="s">
        <v>124</v>
      </c>
      <c r="C31" s="161" t="s">
        <v>131</v>
      </c>
      <c r="D31" s="143" t="s">
        <v>85</v>
      </c>
      <c r="E31" s="143" t="s">
        <v>85</v>
      </c>
      <c r="F31" s="143" t="s">
        <v>477</v>
      </c>
      <c r="G31" s="296">
        <v>695</v>
      </c>
      <c r="H31" s="293">
        <v>2665.64</v>
      </c>
      <c r="I31" s="290">
        <f t="shared" si="3"/>
        <v>3.8354532374100718</v>
      </c>
      <c r="J31" s="300">
        <f t="shared" si="2"/>
        <v>2480</v>
      </c>
      <c r="K31" s="303">
        <f t="shared" si="4"/>
        <v>3.5683453237410072</v>
      </c>
    </row>
    <row r="32" spans="2:12" ht="17" customHeight="1" x14ac:dyDescent="0.15">
      <c r="B32" s="143" t="s">
        <v>125</v>
      </c>
      <c r="C32" s="161" t="s">
        <v>132</v>
      </c>
      <c r="D32" s="143" t="s">
        <v>85</v>
      </c>
      <c r="E32" s="143" t="s">
        <v>85</v>
      </c>
      <c r="F32" s="143" t="s">
        <v>477</v>
      </c>
      <c r="G32" s="296">
        <v>1356</v>
      </c>
      <c r="H32" s="293">
        <v>4239.04</v>
      </c>
      <c r="I32" s="290">
        <f t="shared" si="3"/>
        <v>3.126135693215339</v>
      </c>
      <c r="J32" s="300">
        <f t="shared" si="2"/>
        <v>3800</v>
      </c>
      <c r="K32" s="303">
        <f t="shared" si="4"/>
        <v>2.8023598820058999</v>
      </c>
    </row>
    <row r="33" spans="2:12" ht="17" customHeight="1" x14ac:dyDescent="0.15">
      <c r="B33" s="143" t="s">
        <v>126</v>
      </c>
      <c r="C33" s="161" t="s">
        <v>130</v>
      </c>
      <c r="D33" s="143" t="s">
        <v>85</v>
      </c>
      <c r="E33" s="143" t="s">
        <v>85</v>
      </c>
      <c r="F33" s="143" t="s">
        <v>477</v>
      </c>
      <c r="G33" s="296">
        <v>418</v>
      </c>
      <c r="H33" s="293">
        <v>1822.49</v>
      </c>
      <c r="I33" s="290">
        <f t="shared" si="3"/>
        <v>4.3600239234449765</v>
      </c>
      <c r="J33" s="300">
        <f t="shared" si="2"/>
        <v>1699</v>
      </c>
      <c r="K33" s="303">
        <f t="shared" si="4"/>
        <v>4.0645933014354068</v>
      </c>
    </row>
    <row r="34" spans="2:12" ht="17" customHeight="1" x14ac:dyDescent="0.15">
      <c r="B34" s="143" t="s">
        <v>127</v>
      </c>
      <c r="C34" s="161" t="s">
        <v>132</v>
      </c>
      <c r="D34" s="143" t="s">
        <v>85</v>
      </c>
      <c r="E34" s="143" t="s">
        <v>85</v>
      </c>
      <c r="F34" s="143" t="s">
        <v>477</v>
      </c>
      <c r="G34" s="296">
        <v>1305</v>
      </c>
      <c r="H34" s="293">
        <v>3588.38</v>
      </c>
      <c r="I34" s="290">
        <f t="shared" si="3"/>
        <v>2.7497164750957857</v>
      </c>
      <c r="J34" s="300">
        <f t="shared" si="2"/>
        <v>3800</v>
      </c>
      <c r="K34" s="303">
        <f t="shared" si="4"/>
        <v>2.9118773946360155</v>
      </c>
    </row>
    <row r="35" spans="2:12" ht="17" customHeight="1" x14ac:dyDescent="0.15">
      <c r="B35" s="143" t="s">
        <v>128</v>
      </c>
      <c r="C35" s="161" t="s">
        <v>130</v>
      </c>
      <c r="D35" s="143" t="s">
        <v>85</v>
      </c>
      <c r="E35" s="143" t="s">
        <v>85</v>
      </c>
      <c r="F35" s="143" t="s">
        <v>477</v>
      </c>
      <c r="G35" s="296">
        <v>427</v>
      </c>
      <c r="H35" s="293">
        <v>1507.65</v>
      </c>
      <c r="I35" s="290">
        <f t="shared" si="3"/>
        <v>3.5307962529274008</v>
      </c>
      <c r="J35" s="300">
        <f t="shared" si="2"/>
        <v>1699</v>
      </c>
      <c r="K35" s="303">
        <f t="shared" si="4"/>
        <v>3.9789227166276349</v>
      </c>
    </row>
    <row r="36" spans="2:12" ht="17" customHeight="1" x14ac:dyDescent="0.15">
      <c r="B36" s="209" t="s">
        <v>129</v>
      </c>
      <c r="C36" s="166" t="s">
        <v>130</v>
      </c>
      <c r="D36" s="209" t="s">
        <v>85</v>
      </c>
      <c r="E36" s="209" t="s">
        <v>85</v>
      </c>
      <c r="F36" s="209" t="s">
        <v>477</v>
      </c>
      <c r="G36" s="297">
        <v>236</v>
      </c>
      <c r="H36" s="294">
        <v>1182.45</v>
      </c>
      <c r="I36" s="291">
        <f t="shared" si="3"/>
        <v>5.0103813559322035</v>
      </c>
      <c r="J36" s="301">
        <f t="shared" si="2"/>
        <v>1699</v>
      </c>
      <c r="K36" s="304">
        <f t="shared" si="4"/>
        <v>7.1991525423728815</v>
      </c>
      <c r="L36" s="184"/>
    </row>
    <row r="37" spans="2:12" x14ac:dyDescent="0.15">
      <c r="G37" s="298">
        <f>SUM(G23:G36)</f>
        <v>10651</v>
      </c>
      <c r="H37" s="183">
        <f>SUM(H23:H36)</f>
        <v>36759.380000000005</v>
      </c>
      <c r="I37" s="292">
        <f>AVERAGE(I23:I36)</f>
        <v>4.0316835061118415</v>
      </c>
      <c r="J37" s="302">
        <f>SUM(J23:J36)</f>
        <v>36095</v>
      </c>
      <c r="K37" s="292">
        <f>AVERAGE(K23:K36)</f>
        <v>4.2129582906025753</v>
      </c>
    </row>
  </sheetData>
  <mergeCells count="3">
    <mergeCell ref="E2:G2"/>
    <mergeCell ref="H21:I21"/>
    <mergeCell ref="J21:K21"/>
  </mergeCells>
  <phoneticPr fontId="8" type="noConversion"/>
  <conditionalFormatting sqref="H23:H36">
    <cfRule type="expression" dxfId="5" priority="1">
      <formula>AND(H23&lt;&gt;"",J23&lt;&gt;"",H23&lt;J23)</formula>
    </cfRule>
    <cfRule type="cellIs" dxfId="4" priority="2" operator="lessThan">
      <formula>$J$23</formula>
    </cfRule>
  </conditionalFormatting>
  <hyperlinks>
    <hyperlink ref="H7" r:id="rId1" xr:uid="{1430723C-0E12-5D48-8869-FCF336493A79}"/>
    <hyperlink ref="H8" r:id="rId2" xr:uid="{0363CD5D-59D6-2C47-913C-1B7D0C03820F}"/>
    <hyperlink ref="H9" r:id="rId3" xr:uid="{F482EF99-C55B-B44B-9F9C-D34E2E26E94B}"/>
  </hyperlinks>
  <pageMargins left="0.7" right="0.7" top="0.75" bottom="0.75" header="0.3" footer="0.3"/>
  <pageSetup paperSize="9" orientation="portrait" horizontalDpi="0" verticalDpi="0"/>
  <ignoredErrors>
    <ignoredError sqref="B23:B36" numberStoredAsText="1"/>
    <ignoredError sqref="I37" formula="1"/>
  </ignoredErrors>
  <legacyDrawing r:id="rId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37331-4D89-8540-9168-12EAA6A72EA0}">
  <sheetPr>
    <tabColor theme="3" tint="0.749992370372631"/>
  </sheetPr>
  <dimension ref="B2:G55"/>
  <sheetViews>
    <sheetView showGridLines="0" workbookViewId="0"/>
  </sheetViews>
  <sheetFormatPr baseColWidth="10" defaultRowHeight="11" x14ac:dyDescent="0.15"/>
  <cols>
    <col min="1" max="1" width="3" customWidth="1"/>
    <col min="2" max="2" width="47.5" customWidth="1"/>
    <col min="3" max="3" width="25.5" customWidth="1"/>
    <col min="4" max="4" width="28" customWidth="1"/>
    <col min="5" max="5" width="24.75" customWidth="1"/>
    <col min="6" max="6" width="27.5" customWidth="1"/>
    <col min="7" max="7" width="20" customWidth="1"/>
  </cols>
  <sheetData>
    <row r="2" spans="2:7" ht="19" x14ac:dyDescent="0.25">
      <c r="B2" s="565" t="s">
        <v>405</v>
      </c>
      <c r="C2" s="564"/>
      <c r="D2" s="564"/>
      <c r="E2" s="564"/>
      <c r="F2" s="564"/>
      <c r="G2" s="564"/>
    </row>
    <row r="3" spans="2:7" ht="12" x14ac:dyDescent="0.15">
      <c r="B3" s="566" t="s">
        <v>406</v>
      </c>
      <c r="C3" s="564"/>
      <c r="D3" s="564"/>
      <c r="E3" s="564"/>
      <c r="F3" s="564"/>
      <c r="G3" s="564"/>
    </row>
    <row r="4" spans="2:7" ht="12" x14ac:dyDescent="0.15">
      <c r="B4" s="564"/>
      <c r="C4" s="564"/>
      <c r="D4" s="564"/>
      <c r="E4" s="564"/>
      <c r="F4" s="564"/>
      <c r="G4" s="564"/>
    </row>
    <row r="5" spans="2:7" ht="12" x14ac:dyDescent="0.15">
      <c r="B5" s="567" t="s">
        <v>407</v>
      </c>
      <c r="C5" s="568" t="s">
        <v>162</v>
      </c>
      <c r="D5" s="569"/>
      <c r="E5" s="564"/>
      <c r="F5" s="564"/>
      <c r="G5" s="564"/>
    </row>
    <row r="6" spans="2:7" ht="12" x14ac:dyDescent="0.15">
      <c r="B6" s="564" t="s">
        <v>408</v>
      </c>
      <c r="C6" s="570">
        <f>rentable_sf</f>
        <v>10651</v>
      </c>
      <c r="D6" s="564"/>
      <c r="E6" s="564"/>
      <c r="F6" s="564"/>
      <c r="G6" s="564"/>
    </row>
    <row r="7" spans="2:7" ht="12" x14ac:dyDescent="0.15">
      <c r="B7" s="564" t="s">
        <v>409</v>
      </c>
      <c r="C7" s="586">
        <v>10756</v>
      </c>
      <c r="D7" s="564"/>
      <c r="E7" s="564"/>
      <c r="F7" s="564"/>
      <c r="G7" s="564"/>
    </row>
    <row r="8" spans="2:7" ht="12" x14ac:dyDescent="0.15">
      <c r="B8" s="564" t="s">
        <v>462</v>
      </c>
      <c r="C8" s="571">
        <f>C7-C6</f>
        <v>105</v>
      </c>
      <c r="D8" s="564"/>
      <c r="E8" s="564"/>
      <c r="F8" s="564"/>
      <c r="G8" s="564"/>
    </row>
    <row r="9" spans="2:7" ht="12" x14ac:dyDescent="0.15">
      <c r="B9" s="564" t="s">
        <v>410</v>
      </c>
      <c r="C9" s="586">
        <v>569</v>
      </c>
      <c r="D9" s="564"/>
      <c r="E9" s="564"/>
      <c r="F9" s="564"/>
      <c r="G9" s="564"/>
    </row>
    <row r="10" spans="2:7" ht="12" x14ac:dyDescent="0.15">
      <c r="B10" s="564" t="s">
        <v>411</v>
      </c>
      <c r="C10" s="586">
        <v>11937</v>
      </c>
      <c r="D10" s="564"/>
      <c r="E10" s="564"/>
      <c r="F10" s="564"/>
      <c r="G10" s="564"/>
    </row>
    <row r="11" spans="2:7" ht="12" x14ac:dyDescent="0.15">
      <c r="B11" s="564"/>
      <c r="C11" s="564"/>
      <c r="D11" s="564"/>
      <c r="E11" s="564"/>
      <c r="F11" s="564"/>
      <c r="G11" s="564"/>
    </row>
    <row r="12" spans="2:7" ht="12" x14ac:dyDescent="0.15">
      <c r="B12" s="567" t="s">
        <v>412</v>
      </c>
      <c r="C12" s="584" t="s">
        <v>43</v>
      </c>
      <c r="D12" s="584" t="s">
        <v>413</v>
      </c>
      <c r="E12" s="584" t="s">
        <v>414</v>
      </c>
      <c r="F12" s="584" t="s">
        <v>188</v>
      </c>
      <c r="G12" s="564"/>
    </row>
    <row r="13" spans="2:7" ht="12" x14ac:dyDescent="0.15">
      <c r="B13" s="572" t="s">
        <v>101</v>
      </c>
      <c r="C13" s="572"/>
      <c r="D13" s="572"/>
      <c r="E13" s="572"/>
      <c r="F13" s="572"/>
      <c r="G13" s="564"/>
    </row>
    <row r="14" spans="2:7" ht="12" x14ac:dyDescent="0.15">
      <c r="B14" s="573" t="s">
        <v>415</v>
      </c>
      <c r="C14" s="577">
        <f>Rent_Roll!H37</f>
        <v>36759.380000000005</v>
      </c>
      <c r="D14" s="574">
        <f>C14*12</f>
        <v>441112.56000000006</v>
      </c>
      <c r="E14" s="575">
        <f>D14/$D$16</f>
        <v>0.98658056038506281</v>
      </c>
      <c r="F14" s="576">
        <f>D14/$C$6</f>
        <v>41.415130973617508</v>
      </c>
      <c r="G14" s="564"/>
    </row>
    <row r="15" spans="2:7" ht="12" x14ac:dyDescent="0.15">
      <c r="B15" s="573" t="s">
        <v>416</v>
      </c>
      <c r="C15" s="585">
        <v>500</v>
      </c>
      <c r="D15" s="574">
        <f>C15*12</f>
        <v>6000</v>
      </c>
      <c r="E15" s="575">
        <f>D15/$D$16</f>
        <v>1.341943961493723E-2</v>
      </c>
      <c r="F15" s="576">
        <f>D15/$C$6</f>
        <v>0.56332738709980279</v>
      </c>
      <c r="G15" s="564"/>
    </row>
    <row r="16" spans="2:7" ht="12" x14ac:dyDescent="0.15">
      <c r="B16" s="578" t="s">
        <v>417</v>
      </c>
      <c r="C16" s="579">
        <f>SUM(C14:C15)</f>
        <v>37259.380000000005</v>
      </c>
      <c r="D16" s="579">
        <f>SUM(D14:D15)</f>
        <v>447112.56000000006</v>
      </c>
      <c r="E16" s="580">
        <f>D16/$D$16</f>
        <v>1</v>
      </c>
      <c r="F16" s="581">
        <f>D16/$C$6</f>
        <v>41.978458360717312</v>
      </c>
      <c r="G16" s="564"/>
    </row>
    <row r="17" spans="2:7" ht="12" x14ac:dyDescent="0.15">
      <c r="B17" s="573" t="s">
        <v>418</v>
      </c>
      <c r="C17" s="574">
        <f>D17/12</f>
        <v>-745.1875</v>
      </c>
      <c r="D17" s="585">
        <v>-8942.25</v>
      </c>
      <c r="E17" s="575">
        <f>D17/$D$16</f>
        <v>-1.9999997316112076E-2</v>
      </c>
      <c r="F17" s="576">
        <f>D17/$C$6</f>
        <v>-0.83956905454886865</v>
      </c>
      <c r="G17" s="564"/>
    </row>
    <row r="18" spans="2:7" ht="12" x14ac:dyDescent="0.15">
      <c r="B18" s="578" t="s">
        <v>419</v>
      </c>
      <c r="C18" s="579">
        <f>C16+C17</f>
        <v>36514.192500000005</v>
      </c>
      <c r="D18" s="579">
        <f>D16+D17</f>
        <v>438170.31000000006</v>
      </c>
      <c r="E18" s="580">
        <f>D18/$D$16</f>
        <v>0.98000000268388787</v>
      </c>
      <c r="F18" s="581">
        <f>D18/$C$6</f>
        <v>41.138889306168437</v>
      </c>
      <c r="G18" s="564"/>
    </row>
    <row r="19" spans="2:7" ht="12" x14ac:dyDescent="0.15">
      <c r="B19" s="564"/>
      <c r="C19" s="564"/>
      <c r="D19" s="564"/>
      <c r="E19" s="564"/>
      <c r="F19" s="564"/>
      <c r="G19" s="564"/>
    </row>
    <row r="20" spans="2:7" ht="12" x14ac:dyDescent="0.15">
      <c r="B20" s="572" t="s">
        <v>420</v>
      </c>
      <c r="C20" s="572"/>
      <c r="D20" s="572"/>
      <c r="E20" s="572"/>
      <c r="F20" s="572"/>
      <c r="G20" s="564"/>
    </row>
    <row r="21" spans="2:7" ht="12" x14ac:dyDescent="0.15">
      <c r="B21" s="573" t="s">
        <v>421</v>
      </c>
      <c r="C21" s="574">
        <f t="shared" ref="C21:C30" si="0">D21/12</f>
        <v>1446.3333333333333</v>
      </c>
      <c r="D21" s="585">
        <v>17356</v>
      </c>
      <c r="E21" s="575">
        <f t="shared" ref="E21:E31" si="1">D21/$D$16</f>
        <v>3.8817965659475095E-2</v>
      </c>
      <c r="F21" s="576">
        <f t="shared" ref="F21:F31" si="2">D21/$C$6</f>
        <v>1.6295183550840298</v>
      </c>
      <c r="G21" s="564"/>
    </row>
    <row r="22" spans="2:7" ht="12" x14ac:dyDescent="0.15">
      <c r="B22" s="573" t="s">
        <v>422</v>
      </c>
      <c r="C22" s="574">
        <f t="shared" si="0"/>
        <v>475.33500000000004</v>
      </c>
      <c r="D22" s="585">
        <v>5704.02</v>
      </c>
      <c r="E22" s="575">
        <f t="shared" si="1"/>
        <v>1.2757458658732377E-2</v>
      </c>
      <c r="F22" s="576">
        <f t="shared" si="2"/>
        <v>0.53553844709416965</v>
      </c>
      <c r="G22" s="564"/>
    </row>
    <row r="23" spans="2:7" ht="12" x14ac:dyDescent="0.15">
      <c r="B23" s="573" t="s">
        <v>423</v>
      </c>
      <c r="C23" s="574">
        <f t="shared" si="0"/>
        <v>299.44916666666666</v>
      </c>
      <c r="D23" s="585">
        <v>3593.39</v>
      </c>
      <c r="E23" s="575">
        <f t="shared" si="1"/>
        <v>8.0368800196532145E-3</v>
      </c>
      <c r="F23" s="576">
        <f t="shared" si="2"/>
        <v>0.3373758332550934</v>
      </c>
      <c r="G23" s="564"/>
    </row>
    <row r="24" spans="2:7" ht="12" x14ac:dyDescent="0.15">
      <c r="B24" s="573" t="s">
        <v>424</v>
      </c>
      <c r="C24" s="574">
        <f t="shared" si="0"/>
        <v>79.100000000000009</v>
      </c>
      <c r="D24" s="585">
        <v>949.2</v>
      </c>
      <c r="E24" s="575">
        <f t="shared" si="1"/>
        <v>2.1229553470830699E-3</v>
      </c>
      <c r="F24" s="576">
        <f t="shared" si="2"/>
        <v>8.9118392639188818E-2</v>
      </c>
      <c r="G24" s="564"/>
    </row>
    <row r="25" spans="2:7" ht="12" x14ac:dyDescent="0.15">
      <c r="B25" s="573" t="s">
        <v>425</v>
      </c>
      <c r="C25" s="574">
        <f t="shared" si="0"/>
        <v>766.68416666666656</v>
      </c>
      <c r="D25" s="585">
        <v>9200.2099999999991</v>
      </c>
      <c r="E25" s="575">
        <f t="shared" si="1"/>
        <v>2.0576943756623608E-2</v>
      </c>
      <c r="F25" s="576">
        <f t="shared" si="2"/>
        <v>0.86378837667824604</v>
      </c>
      <c r="G25" s="564"/>
    </row>
    <row r="26" spans="2:7" ht="12" x14ac:dyDescent="0.15">
      <c r="B26" s="573" t="s">
        <v>426</v>
      </c>
      <c r="C26" s="574">
        <f t="shared" si="0"/>
        <v>79.100000000000009</v>
      </c>
      <c r="D26" s="585">
        <v>949.2</v>
      </c>
      <c r="E26" s="575">
        <f t="shared" si="1"/>
        <v>2.1229553470830699E-3</v>
      </c>
      <c r="F26" s="576">
        <f t="shared" si="2"/>
        <v>8.9118392639188818E-2</v>
      </c>
      <c r="G26" s="564"/>
    </row>
    <row r="27" spans="2:7" ht="12" x14ac:dyDescent="0.15">
      <c r="B27" s="573" t="s">
        <v>427</v>
      </c>
      <c r="C27" s="574">
        <f t="shared" si="0"/>
        <v>100</v>
      </c>
      <c r="D27" s="585">
        <v>1200</v>
      </c>
      <c r="E27" s="575">
        <f t="shared" si="1"/>
        <v>2.6838879229874458E-3</v>
      </c>
      <c r="F27" s="576">
        <f t="shared" si="2"/>
        <v>0.11266547741996057</v>
      </c>
      <c r="G27" s="564"/>
    </row>
    <row r="28" spans="2:7" ht="12" x14ac:dyDescent="0.15">
      <c r="B28" s="573" t="s">
        <v>428</v>
      </c>
      <c r="C28" s="574">
        <f t="shared" si="0"/>
        <v>1304.0783333333334</v>
      </c>
      <c r="D28" s="585">
        <v>15648.94</v>
      </c>
      <c r="E28" s="575">
        <f t="shared" si="1"/>
        <v>3.5000000894629305E-2</v>
      </c>
      <c r="F28" s="576">
        <f t="shared" si="2"/>
        <v>1.4692460801802647</v>
      </c>
      <c r="G28" s="564"/>
    </row>
    <row r="29" spans="2:7" ht="12" x14ac:dyDescent="0.15">
      <c r="B29" s="573" t="s">
        <v>429</v>
      </c>
      <c r="C29" s="574">
        <f t="shared" si="0"/>
        <v>700</v>
      </c>
      <c r="D29" s="585">
        <v>8400</v>
      </c>
      <c r="E29" s="575">
        <f t="shared" si="1"/>
        <v>1.8787215460912124E-2</v>
      </c>
      <c r="F29" s="576">
        <f t="shared" si="2"/>
        <v>0.78865834193972395</v>
      </c>
      <c r="G29" s="564"/>
    </row>
    <row r="30" spans="2:7" ht="12" x14ac:dyDescent="0.15">
      <c r="B30" s="573" t="s">
        <v>430</v>
      </c>
      <c r="C30" s="574">
        <f t="shared" si="0"/>
        <v>587.79</v>
      </c>
      <c r="D30" s="585">
        <v>7053.48</v>
      </c>
      <c r="E30" s="575">
        <f t="shared" si="1"/>
        <v>1.5775624822527909E-2</v>
      </c>
      <c r="F30" s="576">
        <f t="shared" si="2"/>
        <v>0.66223640972678621</v>
      </c>
      <c r="G30" s="564"/>
    </row>
    <row r="31" spans="2:7" ht="12" x14ac:dyDescent="0.15">
      <c r="B31" s="578" t="s">
        <v>431</v>
      </c>
      <c r="C31" s="579">
        <f>SUM(C21:C30)</f>
        <v>5837.87</v>
      </c>
      <c r="D31" s="579">
        <f>SUM(D21:D30)</f>
        <v>70054.44</v>
      </c>
      <c r="E31" s="580">
        <f t="shared" si="1"/>
        <v>0.15668188788970722</v>
      </c>
      <c r="F31" s="581">
        <f t="shared" si="2"/>
        <v>6.577264106656652</v>
      </c>
      <c r="G31" s="564"/>
    </row>
    <row r="32" spans="2:7" ht="12" x14ac:dyDescent="0.15">
      <c r="B32" s="564"/>
      <c r="C32" s="564"/>
      <c r="D32" s="564"/>
      <c r="E32" s="564"/>
      <c r="F32" s="564"/>
      <c r="G32" s="564"/>
    </row>
    <row r="33" spans="2:7" ht="13" thickBot="1" x14ac:dyDescent="0.2">
      <c r="B33" s="592" t="s">
        <v>432</v>
      </c>
      <c r="C33" s="593">
        <f>C18-C31</f>
        <v>30676.322500000006</v>
      </c>
      <c r="D33" s="593">
        <f>D18-D31</f>
        <v>368115.87000000005</v>
      </c>
      <c r="E33" s="594">
        <f>D33/$D$16</f>
        <v>0.82331811479418071</v>
      </c>
      <c r="F33" s="595">
        <f>D33/$C$6</f>
        <v>34.561625199511788</v>
      </c>
      <c r="G33" s="564"/>
    </row>
    <row r="34" spans="2:7" ht="13" thickTop="1" x14ac:dyDescent="0.15">
      <c r="B34" s="573" t="s">
        <v>433</v>
      </c>
      <c r="C34" s="574">
        <f>D34/12</f>
        <v>30676.666666666668</v>
      </c>
      <c r="D34" s="585">
        <v>368120</v>
      </c>
      <c r="E34" s="575">
        <f>D34/$D$16</f>
        <v>0.82332735184178218</v>
      </c>
      <c r="F34" s="576">
        <f>D34/$C$6</f>
        <v>34.562012956529905</v>
      </c>
      <c r="G34" s="564"/>
    </row>
    <row r="35" spans="2:7" ht="12" x14ac:dyDescent="0.15">
      <c r="B35" s="573" t="s">
        <v>445</v>
      </c>
      <c r="C35" s="574">
        <f>C33-C34</f>
        <v>-0.34416666666220408</v>
      </c>
      <c r="D35" s="574">
        <f>D33-D34</f>
        <v>-4.129999999946449</v>
      </c>
      <c r="E35" s="575">
        <f>D35/$D$16</f>
        <v>-9.2370476014953567E-6</v>
      </c>
      <c r="F35" s="576">
        <f>D35/$C$6</f>
        <v>-3.8775701811533651E-4</v>
      </c>
      <c r="G35" s="564"/>
    </row>
    <row r="36" spans="2:7" ht="12" x14ac:dyDescent="0.15">
      <c r="B36" s="564"/>
      <c r="C36" s="564"/>
      <c r="D36" s="564"/>
      <c r="E36" s="564"/>
      <c r="F36" s="564"/>
      <c r="G36" s="564"/>
    </row>
    <row r="37" spans="2:7" ht="12" x14ac:dyDescent="0.15">
      <c r="B37" s="567" t="s">
        <v>434</v>
      </c>
      <c r="C37" s="568" t="s">
        <v>141</v>
      </c>
      <c r="D37" s="568" t="s">
        <v>435</v>
      </c>
      <c r="E37" s="568"/>
      <c r="F37" s="568" t="s">
        <v>188</v>
      </c>
      <c r="G37" s="564"/>
    </row>
    <row r="38" spans="2:7" ht="12" x14ac:dyDescent="0.15">
      <c r="B38" s="564" t="s">
        <v>436</v>
      </c>
      <c r="C38" s="582" t="s">
        <v>150</v>
      </c>
      <c r="D38" s="574">
        <f>D21</f>
        <v>17356</v>
      </c>
      <c r="E38" s="564"/>
      <c r="F38" s="576">
        <f>D38/$C$6</f>
        <v>1.6295183550840298</v>
      </c>
      <c r="G38" s="564"/>
    </row>
    <row r="39" spans="2:7" ht="12" x14ac:dyDescent="0.15">
      <c r="B39" s="564" t="s">
        <v>437</v>
      </c>
      <c r="C39" s="582" t="s">
        <v>438</v>
      </c>
      <c r="D39" s="587">
        <f>'Assumptions_&amp;_Inputs'!I59</f>
        <v>1.21E-2</v>
      </c>
      <c r="E39" s="564"/>
      <c r="F39" s="573"/>
      <c r="G39" s="564"/>
    </row>
    <row r="40" spans="2:7" ht="12" x14ac:dyDescent="0.15">
      <c r="B40" s="588" t="s">
        <v>439</v>
      </c>
      <c r="C40" s="589" t="s">
        <v>150</v>
      </c>
      <c r="D40" s="590">
        <f>D38/D39</f>
        <v>1434380.1652892563</v>
      </c>
      <c r="E40" s="588"/>
      <c r="F40" s="591">
        <f>D40/$C$6</f>
        <v>134.67093843669667</v>
      </c>
      <c r="G40" s="564"/>
    </row>
    <row r="41" spans="2:7" ht="12" x14ac:dyDescent="0.15">
      <c r="B41" s="564" t="s">
        <v>440</v>
      </c>
      <c r="C41" s="582" t="s">
        <v>150</v>
      </c>
      <c r="D41" s="577">
        <f>purchase_price</f>
        <v>5985000</v>
      </c>
      <c r="E41" s="564"/>
      <c r="F41" s="576">
        <f>D41/$C$6</f>
        <v>561.91906863205338</v>
      </c>
      <c r="G41" s="564"/>
    </row>
    <row r="42" spans="2:7" ht="12" x14ac:dyDescent="0.15">
      <c r="B42" s="564" t="s">
        <v>441</v>
      </c>
      <c r="C42" s="582" t="s">
        <v>155</v>
      </c>
      <c r="D42" s="575">
        <f>D40/D41</f>
        <v>0.2396625171744789</v>
      </c>
      <c r="E42" s="564"/>
      <c r="F42" s="573"/>
      <c r="G42" s="564"/>
    </row>
    <row r="43" spans="2:7" ht="12" x14ac:dyDescent="0.15">
      <c r="B43" s="564" t="s">
        <v>442</v>
      </c>
      <c r="C43" s="582" t="s">
        <v>155</v>
      </c>
      <c r="D43" s="583">
        <f>'Assumptions_&amp;_Inputs'!I26</f>
        <v>0.75</v>
      </c>
      <c r="E43" s="564"/>
      <c r="F43" s="573"/>
      <c r="G43" s="564"/>
    </row>
    <row r="44" spans="2:7" ht="12" x14ac:dyDescent="0.15">
      <c r="B44" s="564" t="s">
        <v>443</v>
      </c>
      <c r="C44" s="582" t="s">
        <v>150</v>
      </c>
      <c r="D44" s="574">
        <f>D41*D43*D39</f>
        <v>54313.875</v>
      </c>
      <c r="E44" s="564"/>
      <c r="F44" s="576">
        <f>D44/$C$6</f>
        <v>5.0994155478358838</v>
      </c>
      <c r="G44" s="564"/>
    </row>
    <row r="45" spans="2:7" ht="12" x14ac:dyDescent="0.15">
      <c r="B45" s="564" t="s">
        <v>444</v>
      </c>
      <c r="C45" s="582" t="s">
        <v>150</v>
      </c>
      <c r="D45" s="574">
        <f>D44-D38</f>
        <v>36957.875</v>
      </c>
      <c r="E45" s="564"/>
      <c r="F45" s="576">
        <f>D45/$C$6</f>
        <v>3.4698971927518545</v>
      </c>
      <c r="G45" s="564"/>
    </row>
    <row r="46" spans="2:7" ht="12" x14ac:dyDescent="0.15">
      <c r="B46" s="564"/>
      <c r="C46" s="564"/>
      <c r="D46" s="564"/>
      <c r="E46" s="564"/>
      <c r="F46" s="564"/>
      <c r="G46" s="564"/>
    </row>
    <row r="47" spans="2:7" ht="12" x14ac:dyDescent="0.15">
      <c r="B47" s="564"/>
      <c r="C47" s="564"/>
      <c r="D47" s="564"/>
      <c r="E47" s="564"/>
      <c r="F47" s="564"/>
      <c r="G47" s="564"/>
    </row>
    <row r="48" spans="2:7" ht="12" x14ac:dyDescent="0.15">
      <c r="B48" s="564"/>
      <c r="C48" s="564"/>
      <c r="D48" s="564"/>
      <c r="E48" s="564"/>
      <c r="F48" s="564"/>
      <c r="G48" s="564"/>
    </row>
    <row r="49" spans="2:7" ht="12" x14ac:dyDescent="0.15">
      <c r="B49" s="564"/>
      <c r="C49" s="564"/>
      <c r="D49" s="564"/>
      <c r="E49" s="564"/>
      <c r="F49" s="564"/>
      <c r="G49" s="564"/>
    </row>
    <row r="50" spans="2:7" ht="12" x14ac:dyDescent="0.15">
      <c r="B50" s="564"/>
      <c r="C50" s="564"/>
      <c r="D50" s="564"/>
      <c r="E50" s="564"/>
      <c r="F50" s="564"/>
      <c r="G50" s="564"/>
    </row>
    <row r="51" spans="2:7" ht="12" x14ac:dyDescent="0.15">
      <c r="B51" s="564"/>
      <c r="C51" s="564"/>
      <c r="D51" s="564"/>
      <c r="E51" s="564"/>
      <c r="F51" s="564"/>
      <c r="G51" s="564"/>
    </row>
    <row r="52" spans="2:7" ht="12" x14ac:dyDescent="0.15">
      <c r="B52" s="564"/>
      <c r="C52" s="564"/>
      <c r="D52" s="564"/>
      <c r="E52" s="564"/>
      <c r="F52" s="564"/>
      <c r="G52" s="564"/>
    </row>
    <row r="53" spans="2:7" ht="12" x14ac:dyDescent="0.15">
      <c r="B53" s="564"/>
      <c r="C53" s="564"/>
      <c r="D53" s="564"/>
      <c r="E53" s="564"/>
      <c r="F53" s="564"/>
      <c r="G53" s="564"/>
    </row>
    <row r="54" spans="2:7" ht="12" x14ac:dyDescent="0.15">
      <c r="B54" s="564"/>
      <c r="C54" s="564"/>
      <c r="D54" s="564"/>
      <c r="E54" s="564"/>
      <c r="F54" s="564"/>
      <c r="G54" s="564"/>
    </row>
    <row r="55" spans="2:7" ht="12" x14ac:dyDescent="0.15">
      <c r="B55" s="564"/>
      <c r="C55" s="564"/>
      <c r="D55" s="564"/>
      <c r="E55" s="564"/>
      <c r="F55" s="564"/>
      <c r="G55" s="564"/>
    </row>
  </sheetData>
  <pageMargins left="0.7" right="0.7" top="0.75" bottom="0.75" header="0.3" footer="0.3"/>
  <pageSetup paperSize="9" orientation="portrait" horizontalDpi="0" verticalDpi="0"/>
  <ignoredErrors>
    <ignoredError sqref="D41" formula="1"/>
  </ignoredErrors>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29E64-DDE0-E441-9196-2DE05B0376F9}">
  <sheetPr codeName="Sheet4">
    <tabColor rgb="FFFFFF99"/>
  </sheetPr>
  <dimension ref="A2:NC110"/>
  <sheetViews>
    <sheetView showGridLines="0" zoomScale="58" zoomScaleNormal="130" workbookViewId="0">
      <pane xSplit="5" ySplit="8" topLeftCell="F9" activePane="bottomRight" state="frozen"/>
      <selection pane="topRight" activeCell="F1" sqref="F1"/>
      <selection pane="bottomLeft" activeCell="A9" sqref="A9"/>
      <selection pane="bottomRight"/>
    </sheetView>
  </sheetViews>
  <sheetFormatPr baseColWidth="10" defaultColWidth="10.75" defaultRowHeight="16" customHeight="1" x14ac:dyDescent="0.15"/>
  <cols>
    <col min="1" max="1" width="7.25" customWidth="1"/>
    <col min="2" max="2" width="49" bestFit="1" customWidth="1"/>
    <col min="3" max="3" width="14.25" customWidth="1"/>
    <col min="4" max="4" width="17.5" bestFit="1" customWidth="1"/>
    <col min="5" max="5" width="6.5" style="9" customWidth="1"/>
    <col min="6" max="188" width="13.75" customWidth="1"/>
  </cols>
  <sheetData>
    <row r="2" spans="1:366" ht="16" customHeight="1" x14ac:dyDescent="0.2">
      <c r="B2" s="18" t="str">
        <f>'Assumptions_&amp;_Inputs'!$E$14&amp;" Monthly P&amp;L"</f>
        <v>2480 Dundas St W Monthly P&amp;L</v>
      </c>
      <c r="C2" s="18"/>
    </row>
    <row r="3" spans="1:366" ht="16" customHeight="1" x14ac:dyDescent="0.15">
      <c r="B3" s="138" t="s">
        <v>182</v>
      </c>
      <c r="O3" s="33"/>
      <c r="AF3" s="26"/>
    </row>
    <row r="4" spans="1:366" ht="16" customHeight="1" x14ac:dyDescent="0.15">
      <c r="B4" t="s">
        <v>59</v>
      </c>
      <c r="F4">
        <f>'Assumptions_&amp;_Inputs'!I29</f>
        <v>10</v>
      </c>
      <c r="J4" s="28" t="s">
        <v>82</v>
      </c>
      <c r="K4" s="28" t="str">
        <f>SUBSTITUTE(ADDRESS(1,$F$5+6,4),"1","")</f>
        <v>DV</v>
      </c>
      <c r="M4" s="121"/>
    </row>
    <row r="5" spans="1:366" ht="16" customHeight="1" x14ac:dyDescent="0.15">
      <c r="B5" t="s">
        <v>39</v>
      </c>
      <c r="F5">
        <f>F4*12</f>
        <v>120</v>
      </c>
      <c r="H5">
        <f>MOD(12,13)</f>
        <v>12</v>
      </c>
      <c r="GD5" s="36"/>
      <c r="GE5" s="36"/>
      <c r="GF5" s="36"/>
      <c r="GG5" s="36"/>
      <c r="GH5" s="36"/>
      <c r="GI5" s="36"/>
      <c r="GJ5" s="36"/>
      <c r="GK5" s="36"/>
      <c r="GL5" s="36"/>
      <c r="GM5" s="36"/>
      <c r="GN5" s="36"/>
      <c r="GO5" s="36"/>
      <c r="GP5" s="36"/>
    </row>
    <row r="6" spans="1:366" ht="16" customHeight="1" x14ac:dyDescent="0.15">
      <c r="O6" s="122" t="s">
        <v>136</v>
      </c>
      <c r="P6" s="122"/>
      <c r="CK6" t="s">
        <v>46</v>
      </c>
    </row>
    <row r="7" spans="1:366" s="604" customFormat="1" ht="16" customHeight="1" x14ac:dyDescent="0.15">
      <c r="A7"/>
      <c r="B7" s="45" t="s">
        <v>219</v>
      </c>
      <c r="C7" s="45"/>
      <c r="D7" s="45"/>
      <c r="E7" s="99"/>
      <c r="F7" s="46">
        <v>0</v>
      </c>
      <c r="G7" s="46">
        <f>F$7+1</f>
        <v>1</v>
      </c>
      <c r="H7" s="46">
        <f t="shared" ref="H7:BS7" si="0">G$7+1</f>
        <v>2</v>
      </c>
      <c r="I7" s="46">
        <f t="shared" si="0"/>
        <v>3</v>
      </c>
      <c r="J7" s="46">
        <f t="shared" si="0"/>
        <v>4</v>
      </c>
      <c r="K7" s="46">
        <f t="shared" si="0"/>
        <v>5</v>
      </c>
      <c r="L7" s="46">
        <f t="shared" si="0"/>
        <v>6</v>
      </c>
      <c r="M7" s="46">
        <f t="shared" si="0"/>
        <v>7</v>
      </c>
      <c r="N7" s="46">
        <f t="shared" si="0"/>
        <v>8</v>
      </c>
      <c r="O7" s="46">
        <f t="shared" si="0"/>
        <v>9</v>
      </c>
      <c r="P7" s="46">
        <f t="shared" si="0"/>
        <v>10</v>
      </c>
      <c r="Q7" s="46">
        <f t="shared" si="0"/>
        <v>11</v>
      </c>
      <c r="R7" s="46">
        <f t="shared" si="0"/>
        <v>12</v>
      </c>
      <c r="S7" s="46">
        <f t="shared" si="0"/>
        <v>13</v>
      </c>
      <c r="T7" s="46">
        <f t="shared" si="0"/>
        <v>14</v>
      </c>
      <c r="U7" s="46">
        <f t="shared" si="0"/>
        <v>15</v>
      </c>
      <c r="V7" s="46">
        <f t="shared" si="0"/>
        <v>16</v>
      </c>
      <c r="W7" s="46">
        <f t="shared" si="0"/>
        <v>17</v>
      </c>
      <c r="X7" s="46">
        <f t="shared" si="0"/>
        <v>18</v>
      </c>
      <c r="Y7" s="46">
        <f t="shared" si="0"/>
        <v>19</v>
      </c>
      <c r="Z7" s="46">
        <f t="shared" si="0"/>
        <v>20</v>
      </c>
      <c r="AA7" s="46">
        <f t="shared" si="0"/>
        <v>21</v>
      </c>
      <c r="AB7" s="46">
        <f t="shared" si="0"/>
        <v>22</v>
      </c>
      <c r="AC7" s="46">
        <f t="shared" si="0"/>
        <v>23</v>
      </c>
      <c r="AD7" s="46">
        <f t="shared" si="0"/>
        <v>24</v>
      </c>
      <c r="AE7" s="46">
        <f t="shared" si="0"/>
        <v>25</v>
      </c>
      <c r="AF7" s="46">
        <f t="shared" si="0"/>
        <v>26</v>
      </c>
      <c r="AG7" s="46">
        <f t="shared" si="0"/>
        <v>27</v>
      </c>
      <c r="AH7" s="46">
        <f t="shared" si="0"/>
        <v>28</v>
      </c>
      <c r="AI7" s="46">
        <f t="shared" si="0"/>
        <v>29</v>
      </c>
      <c r="AJ7" s="46">
        <f t="shared" si="0"/>
        <v>30</v>
      </c>
      <c r="AK7" s="46">
        <f t="shared" si="0"/>
        <v>31</v>
      </c>
      <c r="AL7" s="46">
        <f t="shared" si="0"/>
        <v>32</v>
      </c>
      <c r="AM7" s="46">
        <f t="shared" si="0"/>
        <v>33</v>
      </c>
      <c r="AN7" s="46">
        <f t="shared" si="0"/>
        <v>34</v>
      </c>
      <c r="AO7" s="46">
        <f t="shared" si="0"/>
        <v>35</v>
      </c>
      <c r="AP7" s="46">
        <f t="shared" si="0"/>
        <v>36</v>
      </c>
      <c r="AQ7" s="46">
        <f t="shared" si="0"/>
        <v>37</v>
      </c>
      <c r="AR7" s="46">
        <f t="shared" si="0"/>
        <v>38</v>
      </c>
      <c r="AS7" s="46">
        <f t="shared" si="0"/>
        <v>39</v>
      </c>
      <c r="AT7" s="46">
        <f t="shared" si="0"/>
        <v>40</v>
      </c>
      <c r="AU7" s="46">
        <f t="shared" si="0"/>
        <v>41</v>
      </c>
      <c r="AV7" s="46">
        <f t="shared" si="0"/>
        <v>42</v>
      </c>
      <c r="AW7" s="46">
        <f t="shared" si="0"/>
        <v>43</v>
      </c>
      <c r="AX7" s="46">
        <f t="shared" si="0"/>
        <v>44</v>
      </c>
      <c r="AY7" s="46">
        <f t="shared" si="0"/>
        <v>45</v>
      </c>
      <c r="AZ7" s="46">
        <f t="shared" si="0"/>
        <v>46</v>
      </c>
      <c r="BA7" s="46">
        <f t="shared" si="0"/>
        <v>47</v>
      </c>
      <c r="BB7" s="46">
        <f t="shared" si="0"/>
        <v>48</v>
      </c>
      <c r="BC7" s="46">
        <f t="shared" si="0"/>
        <v>49</v>
      </c>
      <c r="BD7" s="46">
        <f t="shared" si="0"/>
        <v>50</v>
      </c>
      <c r="BE7" s="46">
        <f t="shared" si="0"/>
        <v>51</v>
      </c>
      <c r="BF7" s="46">
        <f t="shared" si="0"/>
        <v>52</v>
      </c>
      <c r="BG7" s="46">
        <f t="shared" si="0"/>
        <v>53</v>
      </c>
      <c r="BH7" s="46">
        <f t="shared" si="0"/>
        <v>54</v>
      </c>
      <c r="BI7" s="46">
        <f t="shared" si="0"/>
        <v>55</v>
      </c>
      <c r="BJ7" s="46">
        <f t="shared" si="0"/>
        <v>56</v>
      </c>
      <c r="BK7" s="46">
        <f t="shared" si="0"/>
        <v>57</v>
      </c>
      <c r="BL7" s="46">
        <f t="shared" si="0"/>
        <v>58</v>
      </c>
      <c r="BM7" s="46">
        <f t="shared" si="0"/>
        <v>59</v>
      </c>
      <c r="BN7" s="46">
        <f t="shared" si="0"/>
        <v>60</v>
      </c>
      <c r="BO7" s="46">
        <f t="shared" si="0"/>
        <v>61</v>
      </c>
      <c r="BP7" s="46">
        <f t="shared" si="0"/>
        <v>62</v>
      </c>
      <c r="BQ7" s="46">
        <f t="shared" si="0"/>
        <v>63</v>
      </c>
      <c r="BR7" s="46">
        <f t="shared" si="0"/>
        <v>64</v>
      </c>
      <c r="BS7" s="46">
        <f t="shared" si="0"/>
        <v>65</v>
      </c>
      <c r="BT7" s="46">
        <f t="shared" ref="BT7:EE7" si="1">BS$7+1</f>
        <v>66</v>
      </c>
      <c r="BU7" s="46">
        <f t="shared" si="1"/>
        <v>67</v>
      </c>
      <c r="BV7" s="46">
        <f t="shared" si="1"/>
        <v>68</v>
      </c>
      <c r="BW7" s="46">
        <f t="shared" si="1"/>
        <v>69</v>
      </c>
      <c r="BX7" s="46">
        <f t="shared" si="1"/>
        <v>70</v>
      </c>
      <c r="BY7" s="46">
        <f t="shared" si="1"/>
        <v>71</v>
      </c>
      <c r="BZ7" s="46">
        <f t="shared" si="1"/>
        <v>72</v>
      </c>
      <c r="CA7" s="46">
        <f t="shared" si="1"/>
        <v>73</v>
      </c>
      <c r="CB7" s="46">
        <f t="shared" si="1"/>
        <v>74</v>
      </c>
      <c r="CC7" s="46">
        <f t="shared" si="1"/>
        <v>75</v>
      </c>
      <c r="CD7" s="46">
        <f t="shared" si="1"/>
        <v>76</v>
      </c>
      <c r="CE7" s="46">
        <f t="shared" si="1"/>
        <v>77</v>
      </c>
      <c r="CF7" s="46">
        <f t="shared" si="1"/>
        <v>78</v>
      </c>
      <c r="CG7" s="46">
        <f t="shared" si="1"/>
        <v>79</v>
      </c>
      <c r="CH7" s="46">
        <f t="shared" si="1"/>
        <v>80</v>
      </c>
      <c r="CI7" s="46">
        <f t="shared" si="1"/>
        <v>81</v>
      </c>
      <c r="CJ7" s="46">
        <f t="shared" si="1"/>
        <v>82</v>
      </c>
      <c r="CK7" s="46">
        <f t="shared" si="1"/>
        <v>83</v>
      </c>
      <c r="CL7" s="46">
        <f t="shared" si="1"/>
        <v>84</v>
      </c>
      <c r="CM7" s="46">
        <f t="shared" si="1"/>
        <v>85</v>
      </c>
      <c r="CN7" s="46">
        <f t="shared" si="1"/>
        <v>86</v>
      </c>
      <c r="CO7" s="46">
        <f t="shared" si="1"/>
        <v>87</v>
      </c>
      <c r="CP7" s="46">
        <f t="shared" si="1"/>
        <v>88</v>
      </c>
      <c r="CQ7" s="46">
        <f t="shared" si="1"/>
        <v>89</v>
      </c>
      <c r="CR7" s="46">
        <f t="shared" si="1"/>
        <v>90</v>
      </c>
      <c r="CS7" s="46">
        <f t="shared" si="1"/>
        <v>91</v>
      </c>
      <c r="CT7" s="46">
        <f t="shared" si="1"/>
        <v>92</v>
      </c>
      <c r="CU7" s="46">
        <f t="shared" si="1"/>
        <v>93</v>
      </c>
      <c r="CV7" s="46">
        <f t="shared" si="1"/>
        <v>94</v>
      </c>
      <c r="CW7" s="46">
        <f t="shared" si="1"/>
        <v>95</v>
      </c>
      <c r="CX7" s="46">
        <f t="shared" si="1"/>
        <v>96</v>
      </c>
      <c r="CY7" s="46">
        <f t="shared" si="1"/>
        <v>97</v>
      </c>
      <c r="CZ7" s="46">
        <f t="shared" si="1"/>
        <v>98</v>
      </c>
      <c r="DA7" s="46">
        <f t="shared" si="1"/>
        <v>99</v>
      </c>
      <c r="DB7" s="46">
        <f t="shared" si="1"/>
        <v>100</v>
      </c>
      <c r="DC7" s="46">
        <f t="shared" si="1"/>
        <v>101</v>
      </c>
      <c r="DD7" s="46">
        <f t="shared" si="1"/>
        <v>102</v>
      </c>
      <c r="DE7" s="46">
        <f t="shared" si="1"/>
        <v>103</v>
      </c>
      <c r="DF7" s="46">
        <f t="shared" si="1"/>
        <v>104</v>
      </c>
      <c r="DG7" s="46">
        <f t="shared" si="1"/>
        <v>105</v>
      </c>
      <c r="DH7" s="46">
        <f t="shared" si="1"/>
        <v>106</v>
      </c>
      <c r="DI7" s="46">
        <f t="shared" si="1"/>
        <v>107</v>
      </c>
      <c r="DJ7" s="46">
        <f t="shared" si="1"/>
        <v>108</v>
      </c>
      <c r="DK7" s="46">
        <f t="shared" si="1"/>
        <v>109</v>
      </c>
      <c r="DL7" s="46">
        <f t="shared" si="1"/>
        <v>110</v>
      </c>
      <c r="DM7" s="46">
        <f t="shared" si="1"/>
        <v>111</v>
      </c>
      <c r="DN7" s="46">
        <f t="shared" si="1"/>
        <v>112</v>
      </c>
      <c r="DO7" s="46">
        <f t="shared" si="1"/>
        <v>113</v>
      </c>
      <c r="DP7" s="46">
        <f t="shared" si="1"/>
        <v>114</v>
      </c>
      <c r="DQ7" s="46">
        <f t="shared" si="1"/>
        <v>115</v>
      </c>
      <c r="DR7" s="46">
        <f t="shared" si="1"/>
        <v>116</v>
      </c>
      <c r="DS7" s="46">
        <f t="shared" si="1"/>
        <v>117</v>
      </c>
      <c r="DT7" s="46">
        <f t="shared" si="1"/>
        <v>118</v>
      </c>
      <c r="DU7" s="46">
        <f t="shared" si="1"/>
        <v>119</v>
      </c>
      <c r="DV7" s="46">
        <f t="shared" si="1"/>
        <v>120</v>
      </c>
      <c r="DW7" s="46">
        <f t="shared" si="1"/>
        <v>121</v>
      </c>
      <c r="DX7" s="46">
        <f t="shared" si="1"/>
        <v>122</v>
      </c>
      <c r="DY7" s="46">
        <f t="shared" si="1"/>
        <v>123</v>
      </c>
      <c r="DZ7" s="46">
        <f t="shared" si="1"/>
        <v>124</v>
      </c>
      <c r="EA7" s="46">
        <f t="shared" si="1"/>
        <v>125</v>
      </c>
      <c r="EB7" s="46">
        <f t="shared" si="1"/>
        <v>126</v>
      </c>
      <c r="EC7" s="46">
        <f t="shared" si="1"/>
        <v>127</v>
      </c>
      <c r="ED7" s="46">
        <f t="shared" si="1"/>
        <v>128</v>
      </c>
      <c r="EE7" s="46">
        <f t="shared" si="1"/>
        <v>129</v>
      </c>
      <c r="EF7" s="46">
        <f t="shared" ref="EF7:GD7" si="2">EE$7+1</f>
        <v>130</v>
      </c>
      <c r="EG7" s="46">
        <f t="shared" si="2"/>
        <v>131</v>
      </c>
      <c r="EH7" s="46">
        <f t="shared" si="2"/>
        <v>132</v>
      </c>
      <c r="EI7" s="46">
        <f t="shared" si="2"/>
        <v>133</v>
      </c>
      <c r="EJ7" s="46">
        <f t="shared" si="2"/>
        <v>134</v>
      </c>
      <c r="EK7" s="46">
        <f t="shared" si="2"/>
        <v>135</v>
      </c>
      <c r="EL7" s="46">
        <f t="shared" si="2"/>
        <v>136</v>
      </c>
      <c r="EM7" s="46">
        <f t="shared" si="2"/>
        <v>137</v>
      </c>
      <c r="EN7" s="46">
        <f t="shared" si="2"/>
        <v>138</v>
      </c>
      <c r="EO7" s="46">
        <f t="shared" si="2"/>
        <v>139</v>
      </c>
      <c r="EP7" s="46">
        <f t="shared" si="2"/>
        <v>140</v>
      </c>
      <c r="EQ7" s="46">
        <f t="shared" si="2"/>
        <v>141</v>
      </c>
      <c r="ER7" s="46">
        <f t="shared" si="2"/>
        <v>142</v>
      </c>
      <c r="ES7" s="46">
        <f t="shared" si="2"/>
        <v>143</v>
      </c>
      <c r="ET7" s="46">
        <f t="shared" si="2"/>
        <v>144</v>
      </c>
      <c r="EU7" s="46">
        <f t="shared" si="2"/>
        <v>145</v>
      </c>
      <c r="EV7" s="46">
        <f t="shared" si="2"/>
        <v>146</v>
      </c>
      <c r="EW7" s="46">
        <f t="shared" si="2"/>
        <v>147</v>
      </c>
      <c r="EX7" s="46">
        <f t="shared" si="2"/>
        <v>148</v>
      </c>
      <c r="EY7" s="46">
        <f t="shared" si="2"/>
        <v>149</v>
      </c>
      <c r="EZ7" s="46">
        <f t="shared" si="2"/>
        <v>150</v>
      </c>
      <c r="FA7" s="46">
        <f t="shared" si="2"/>
        <v>151</v>
      </c>
      <c r="FB7" s="46">
        <f t="shared" si="2"/>
        <v>152</v>
      </c>
      <c r="FC7" s="46">
        <f t="shared" si="2"/>
        <v>153</v>
      </c>
      <c r="FD7" s="46">
        <f t="shared" si="2"/>
        <v>154</v>
      </c>
      <c r="FE7" s="46">
        <f t="shared" si="2"/>
        <v>155</v>
      </c>
      <c r="FF7" s="46">
        <f t="shared" si="2"/>
        <v>156</v>
      </c>
      <c r="FG7" s="46">
        <f t="shared" si="2"/>
        <v>157</v>
      </c>
      <c r="FH7" s="46">
        <f t="shared" si="2"/>
        <v>158</v>
      </c>
      <c r="FI7" s="46">
        <f t="shared" si="2"/>
        <v>159</v>
      </c>
      <c r="FJ7" s="46">
        <f t="shared" si="2"/>
        <v>160</v>
      </c>
      <c r="FK7" s="46">
        <f t="shared" si="2"/>
        <v>161</v>
      </c>
      <c r="FL7" s="46">
        <f t="shared" si="2"/>
        <v>162</v>
      </c>
      <c r="FM7" s="46">
        <f t="shared" si="2"/>
        <v>163</v>
      </c>
      <c r="FN7" s="46">
        <f t="shared" si="2"/>
        <v>164</v>
      </c>
      <c r="FO7" s="46">
        <f t="shared" si="2"/>
        <v>165</v>
      </c>
      <c r="FP7" s="46">
        <f t="shared" si="2"/>
        <v>166</v>
      </c>
      <c r="FQ7" s="46">
        <f t="shared" si="2"/>
        <v>167</v>
      </c>
      <c r="FR7" s="46">
        <f t="shared" si="2"/>
        <v>168</v>
      </c>
      <c r="FS7" s="46">
        <f t="shared" si="2"/>
        <v>169</v>
      </c>
      <c r="FT7" s="46">
        <f t="shared" si="2"/>
        <v>170</v>
      </c>
      <c r="FU7" s="46">
        <f t="shared" si="2"/>
        <v>171</v>
      </c>
      <c r="FV7" s="46">
        <f t="shared" si="2"/>
        <v>172</v>
      </c>
      <c r="FW7" s="46">
        <f t="shared" si="2"/>
        <v>173</v>
      </c>
      <c r="FX7" s="46">
        <f t="shared" si="2"/>
        <v>174</v>
      </c>
      <c r="FY7" s="46">
        <f t="shared" si="2"/>
        <v>175</v>
      </c>
      <c r="FZ7" s="46">
        <f t="shared" si="2"/>
        <v>176</v>
      </c>
      <c r="GA7" s="46">
        <f t="shared" si="2"/>
        <v>177</v>
      </c>
      <c r="GB7" s="46">
        <f t="shared" si="2"/>
        <v>178</v>
      </c>
      <c r="GC7" s="46">
        <f t="shared" si="2"/>
        <v>179</v>
      </c>
      <c r="GD7" s="46">
        <f t="shared" si="2"/>
        <v>180</v>
      </c>
      <c r="GE7" s="46">
        <f t="shared" ref="GE7:GM7" si="3">GD$7+1</f>
        <v>181</v>
      </c>
      <c r="GF7" s="46">
        <f t="shared" si="3"/>
        <v>182</v>
      </c>
      <c r="GG7" s="46">
        <f t="shared" si="3"/>
        <v>183</v>
      </c>
      <c r="GH7" s="46">
        <f t="shared" si="3"/>
        <v>184</v>
      </c>
      <c r="GI7" s="46">
        <f t="shared" si="3"/>
        <v>185</v>
      </c>
      <c r="GJ7" s="46">
        <f t="shared" si="3"/>
        <v>186</v>
      </c>
      <c r="GK7" s="46">
        <f t="shared" si="3"/>
        <v>187</v>
      </c>
      <c r="GL7" s="46">
        <f t="shared" si="3"/>
        <v>188</v>
      </c>
      <c r="GM7" s="46">
        <f t="shared" si="3"/>
        <v>189</v>
      </c>
    </row>
    <row r="8" spans="1:366" s="6" customFormat="1" ht="16" customHeight="1" x14ac:dyDescent="0.15">
      <c r="A8"/>
      <c r="B8" s="45" t="s">
        <v>40</v>
      </c>
      <c r="C8" s="45"/>
      <c r="D8" s="45"/>
      <c r="E8" s="99"/>
      <c r="F8" s="47">
        <f>'Assumptions_&amp;_Inputs'!E27</f>
        <v>46266</v>
      </c>
      <c r="G8" s="47">
        <f>EDATE(F8,1)</f>
        <v>46296</v>
      </c>
      <c r="H8" s="47">
        <f t="shared" ref="H8:BS8" si="4">EDATE(G8,1)</f>
        <v>46327</v>
      </c>
      <c r="I8" s="47">
        <f t="shared" si="4"/>
        <v>46357</v>
      </c>
      <c r="J8" s="47">
        <f t="shared" si="4"/>
        <v>46388</v>
      </c>
      <c r="K8" s="47">
        <f t="shared" si="4"/>
        <v>46419</v>
      </c>
      <c r="L8" s="47">
        <f t="shared" si="4"/>
        <v>46447</v>
      </c>
      <c r="M8" s="47">
        <f t="shared" si="4"/>
        <v>46478</v>
      </c>
      <c r="N8" s="47">
        <f t="shared" si="4"/>
        <v>46508</v>
      </c>
      <c r="O8" s="47">
        <f t="shared" si="4"/>
        <v>46539</v>
      </c>
      <c r="P8" s="47">
        <f t="shared" si="4"/>
        <v>46569</v>
      </c>
      <c r="Q8" s="47">
        <f t="shared" si="4"/>
        <v>46600</v>
      </c>
      <c r="R8" s="47">
        <f t="shared" si="4"/>
        <v>46631</v>
      </c>
      <c r="S8" s="47">
        <f t="shared" si="4"/>
        <v>46661</v>
      </c>
      <c r="T8" s="47">
        <f t="shared" si="4"/>
        <v>46692</v>
      </c>
      <c r="U8" s="47">
        <f t="shared" si="4"/>
        <v>46722</v>
      </c>
      <c r="V8" s="47">
        <f t="shared" si="4"/>
        <v>46753</v>
      </c>
      <c r="W8" s="47">
        <f t="shared" si="4"/>
        <v>46784</v>
      </c>
      <c r="X8" s="47">
        <f t="shared" si="4"/>
        <v>46813</v>
      </c>
      <c r="Y8" s="47">
        <f t="shared" si="4"/>
        <v>46844</v>
      </c>
      <c r="Z8" s="47">
        <f t="shared" si="4"/>
        <v>46874</v>
      </c>
      <c r="AA8" s="47">
        <f t="shared" si="4"/>
        <v>46905</v>
      </c>
      <c r="AB8" s="47">
        <f t="shared" si="4"/>
        <v>46935</v>
      </c>
      <c r="AC8" s="47">
        <f t="shared" si="4"/>
        <v>46966</v>
      </c>
      <c r="AD8" s="47">
        <f t="shared" si="4"/>
        <v>46997</v>
      </c>
      <c r="AE8" s="47">
        <f t="shared" si="4"/>
        <v>47027</v>
      </c>
      <c r="AF8" s="47">
        <f t="shared" si="4"/>
        <v>47058</v>
      </c>
      <c r="AG8" s="47">
        <f t="shared" si="4"/>
        <v>47088</v>
      </c>
      <c r="AH8" s="47">
        <f t="shared" si="4"/>
        <v>47119</v>
      </c>
      <c r="AI8" s="47">
        <f t="shared" si="4"/>
        <v>47150</v>
      </c>
      <c r="AJ8" s="47">
        <f t="shared" si="4"/>
        <v>47178</v>
      </c>
      <c r="AK8" s="47">
        <f t="shared" si="4"/>
        <v>47209</v>
      </c>
      <c r="AL8" s="47">
        <f t="shared" si="4"/>
        <v>47239</v>
      </c>
      <c r="AM8" s="47">
        <f t="shared" si="4"/>
        <v>47270</v>
      </c>
      <c r="AN8" s="47">
        <f t="shared" si="4"/>
        <v>47300</v>
      </c>
      <c r="AO8" s="47">
        <f t="shared" si="4"/>
        <v>47331</v>
      </c>
      <c r="AP8" s="47">
        <f t="shared" si="4"/>
        <v>47362</v>
      </c>
      <c r="AQ8" s="47">
        <f t="shared" si="4"/>
        <v>47392</v>
      </c>
      <c r="AR8" s="47">
        <f t="shared" si="4"/>
        <v>47423</v>
      </c>
      <c r="AS8" s="47">
        <f t="shared" si="4"/>
        <v>47453</v>
      </c>
      <c r="AT8" s="47">
        <f t="shared" si="4"/>
        <v>47484</v>
      </c>
      <c r="AU8" s="47">
        <f t="shared" si="4"/>
        <v>47515</v>
      </c>
      <c r="AV8" s="47">
        <f t="shared" si="4"/>
        <v>47543</v>
      </c>
      <c r="AW8" s="47">
        <f t="shared" si="4"/>
        <v>47574</v>
      </c>
      <c r="AX8" s="47">
        <f t="shared" si="4"/>
        <v>47604</v>
      </c>
      <c r="AY8" s="47">
        <f t="shared" si="4"/>
        <v>47635</v>
      </c>
      <c r="AZ8" s="47">
        <f t="shared" si="4"/>
        <v>47665</v>
      </c>
      <c r="BA8" s="47">
        <f t="shared" si="4"/>
        <v>47696</v>
      </c>
      <c r="BB8" s="47">
        <f t="shared" si="4"/>
        <v>47727</v>
      </c>
      <c r="BC8" s="47">
        <f t="shared" si="4"/>
        <v>47757</v>
      </c>
      <c r="BD8" s="47">
        <f t="shared" si="4"/>
        <v>47788</v>
      </c>
      <c r="BE8" s="47">
        <f t="shared" si="4"/>
        <v>47818</v>
      </c>
      <c r="BF8" s="47">
        <f t="shared" si="4"/>
        <v>47849</v>
      </c>
      <c r="BG8" s="47">
        <f t="shared" si="4"/>
        <v>47880</v>
      </c>
      <c r="BH8" s="47">
        <f t="shared" si="4"/>
        <v>47908</v>
      </c>
      <c r="BI8" s="47">
        <f t="shared" si="4"/>
        <v>47939</v>
      </c>
      <c r="BJ8" s="47">
        <f t="shared" si="4"/>
        <v>47969</v>
      </c>
      <c r="BK8" s="47">
        <f t="shared" si="4"/>
        <v>48000</v>
      </c>
      <c r="BL8" s="47">
        <f t="shared" si="4"/>
        <v>48030</v>
      </c>
      <c r="BM8" s="47">
        <f t="shared" si="4"/>
        <v>48061</v>
      </c>
      <c r="BN8" s="47">
        <f t="shared" si="4"/>
        <v>48092</v>
      </c>
      <c r="BO8" s="47">
        <f t="shared" si="4"/>
        <v>48122</v>
      </c>
      <c r="BP8" s="47">
        <f t="shared" si="4"/>
        <v>48153</v>
      </c>
      <c r="BQ8" s="47">
        <f t="shared" si="4"/>
        <v>48183</v>
      </c>
      <c r="BR8" s="47">
        <f t="shared" si="4"/>
        <v>48214</v>
      </c>
      <c r="BS8" s="47">
        <f t="shared" si="4"/>
        <v>48245</v>
      </c>
      <c r="BT8" s="47">
        <f t="shared" ref="BT8:EE8" si="5">EDATE(BS8,1)</f>
        <v>48274</v>
      </c>
      <c r="BU8" s="47">
        <f t="shared" si="5"/>
        <v>48305</v>
      </c>
      <c r="BV8" s="47">
        <f t="shared" si="5"/>
        <v>48335</v>
      </c>
      <c r="BW8" s="47">
        <f t="shared" si="5"/>
        <v>48366</v>
      </c>
      <c r="BX8" s="47">
        <f t="shared" si="5"/>
        <v>48396</v>
      </c>
      <c r="BY8" s="47">
        <f t="shared" si="5"/>
        <v>48427</v>
      </c>
      <c r="BZ8" s="47">
        <f t="shared" si="5"/>
        <v>48458</v>
      </c>
      <c r="CA8" s="47">
        <f t="shared" si="5"/>
        <v>48488</v>
      </c>
      <c r="CB8" s="47">
        <f t="shared" si="5"/>
        <v>48519</v>
      </c>
      <c r="CC8" s="47">
        <f t="shared" si="5"/>
        <v>48549</v>
      </c>
      <c r="CD8" s="47">
        <f t="shared" si="5"/>
        <v>48580</v>
      </c>
      <c r="CE8" s="47">
        <f t="shared" si="5"/>
        <v>48611</v>
      </c>
      <c r="CF8" s="47">
        <f t="shared" si="5"/>
        <v>48639</v>
      </c>
      <c r="CG8" s="47">
        <f t="shared" si="5"/>
        <v>48670</v>
      </c>
      <c r="CH8" s="47">
        <f t="shared" si="5"/>
        <v>48700</v>
      </c>
      <c r="CI8" s="47">
        <f t="shared" si="5"/>
        <v>48731</v>
      </c>
      <c r="CJ8" s="47">
        <f t="shared" si="5"/>
        <v>48761</v>
      </c>
      <c r="CK8" s="47">
        <f t="shared" si="5"/>
        <v>48792</v>
      </c>
      <c r="CL8" s="47">
        <f t="shared" si="5"/>
        <v>48823</v>
      </c>
      <c r="CM8" s="47">
        <f t="shared" si="5"/>
        <v>48853</v>
      </c>
      <c r="CN8" s="47">
        <f t="shared" si="5"/>
        <v>48884</v>
      </c>
      <c r="CO8" s="47">
        <f t="shared" si="5"/>
        <v>48914</v>
      </c>
      <c r="CP8" s="47">
        <f t="shared" si="5"/>
        <v>48945</v>
      </c>
      <c r="CQ8" s="47">
        <f t="shared" si="5"/>
        <v>48976</v>
      </c>
      <c r="CR8" s="47">
        <f t="shared" si="5"/>
        <v>49004</v>
      </c>
      <c r="CS8" s="47">
        <f t="shared" si="5"/>
        <v>49035</v>
      </c>
      <c r="CT8" s="47">
        <f t="shared" si="5"/>
        <v>49065</v>
      </c>
      <c r="CU8" s="47">
        <f t="shared" si="5"/>
        <v>49096</v>
      </c>
      <c r="CV8" s="47">
        <f t="shared" si="5"/>
        <v>49126</v>
      </c>
      <c r="CW8" s="47">
        <f t="shared" si="5"/>
        <v>49157</v>
      </c>
      <c r="CX8" s="47">
        <f t="shared" si="5"/>
        <v>49188</v>
      </c>
      <c r="CY8" s="47">
        <f t="shared" si="5"/>
        <v>49218</v>
      </c>
      <c r="CZ8" s="47">
        <f t="shared" si="5"/>
        <v>49249</v>
      </c>
      <c r="DA8" s="47">
        <f t="shared" si="5"/>
        <v>49279</v>
      </c>
      <c r="DB8" s="47">
        <f t="shared" si="5"/>
        <v>49310</v>
      </c>
      <c r="DC8" s="47">
        <f t="shared" si="5"/>
        <v>49341</v>
      </c>
      <c r="DD8" s="47">
        <f t="shared" si="5"/>
        <v>49369</v>
      </c>
      <c r="DE8" s="47">
        <f t="shared" si="5"/>
        <v>49400</v>
      </c>
      <c r="DF8" s="47">
        <f t="shared" si="5"/>
        <v>49430</v>
      </c>
      <c r="DG8" s="47">
        <f t="shared" si="5"/>
        <v>49461</v>
      </c>
      <c r="DH8" s="47">
        <f t="shared" si="5"/>
        <v>49491</v>
      </c>
      <c r="DI8" s="47">
        <f t="shared" si="5"/>
        <v>49522</v>
      </c>
      <c r="DJ8" s="47">
        <f t="shared" si="5"/>
        <v>49553</v>
      </c>
      <c r="DK8" s="47">
        <f t="shared" si="5"/>
        <v>49583</v>
      </c>
      <c r="DL8" s="47">
        <f t="shared" si="5"/>
        <v>49614</v>
      </c>
      <c r="DM8" s="47">
        <f t="shared" si="5"/>
        <v>49644</v>
      </c>
      <c r="DN8" s="47">
        <f t="shared" si="5"/>
        <v>49675</v>
      </c>
      <c r="DO8" s="47">
        <f t="shared" si="5"/>
        <v>49706</v>
      </c>
      <c r="DP8" s="47">
        <f t="shared" si="5"/>
        <v>49735</v>
      </c>
      <c r="DQ8" s="47">
        <f t="shared" si="5"/>
        <v>49766</v>
      </c>
      <c r="DR8" s="47">
        <f t="shared" si="5"/>
        <v>49796</v>
      </c>
      <c r="DS8" s="47">
        <f t="shared" si="5"/>
        <v>49827</v>
      </c>
      <c r="DT8" s="47">
        <f t="shared" si="5"/>
        <v>49857</v>
      </c>
      <c r="DU8" s="47">
        <f t="shared" si="5"/>
        <v>49888</v>
      </c>
      <c r="DV8" s="47">
        <f t="shared" si="5"/>
        <v>49919</v>
      </c>
      <c r="DW8" s="47">
        <f t="shared" si="5"/>
        <v>49949</v>
      </c>
      <c r="DX8" s="47">
        <f t="shared" si="5"/>
        <v>49980</v>
      </c>
      <c r="DY8" s="47">
        <f t="shared" si="5"/>
        <v>50010</v>
      </c>
      <c r="DZ8" s="47">
        <f t="shared" si="5"/>
        <v>50041</v>
      </c>
      <c r="EA8" s="47">
        <f t="shared" si="5"/>
        <v>50072</v>
      </c>
      <c r="EB8" s="47">
        <f t="shared" si="5"/>
        <v>50100</v>
      </c>
      <c r="EC8" s="47">
        <f t="shared" si="5"/>
        <v>50131</v>
      </c>
      <c r="ED8" s="47">
        <f t="shared" si="5"/>
        <v>50161</v>
      </c>
      <c r="EE8" s="47">
        <f t="shared" si="5"/>
        <v>50192</v>
      </c>
      <c r="EF8" s="47">
        <f t="shared" ref="EF8:GD8" si="6">EDATE(EE8,1)</f>
        <v>50222</v>
      </c>
      <c r="EG8" s="47">
        <f t="shared" si="6"/>
        <v>50253</v>
      </c>
      <c r="EH8" s="47">
        <f t="shared" si="6"/>
        <v>50284</v>
      </c>
      <c r="EI8" s="47">
        <f t="shared" si="6"/>
        <v>50314</v>
      </c>
      <c r="EJ8" s="47">
        <f t="shared" si="6"/>
        <v>50345</v>
      </c>
      <c r="EK8" s="47">
        <f t="shared" si="6"/>
        <v>50375</v>
      </c>
      <c r="EL8" s="47">
        <f t="shared" si="6"/>
        <v>50406</v>
      </c>
      <c r="EM8" s="47">
        <f t="shared" si="6"/>
        <v>50437</v>
      </c>
      <c r="EN8" s="47">
        <f t="shared" si="6"/>
        <v>50465</v>
      </c>
      <c r="EO8" s="47">
        <f t="shared" si="6"/>
        <v>50496</v>
      </c>
      <c r="EP8" s="47">
        <f t="shared" si="6"/>
        <v>50526</v>
      </c>
      <c r="EQ8" s="47">
        <f t="shared" si="6"/>
        <v>50557</v>
      </c>
      <c r="ER8" s="47">
        <f t="shared" si="6"/>
        <v>50587</v>
      </c>
      <c r="ES8" s="47">
        <f t="shared" si="6"/>
        <v>50618</v>
      </c>
      <c r="ET8" s="47">
        <f t="shared" si="6"/>
        <v>50649</v>
      </c>
      <c r="EU8" s="47">
        <f t="shared" si="6"/>
        <v>50679</v>
      </c>
      <c r="EV8" s="47">
        <f t="shared" si="6"/>
        <v>50710</v>
      </c>
      <c r="EW8" s="47">
        <f t="shared" si="6"/>
        <v>50740</v>
      </c>
      <c r="EX8" s="47">
        <f t="shared" si="6"/>
        <v>50771</v>
      </c>
      <c r="EY8" s="47">
        <f t="shared" si="6"/>
        <v>50802</v>
      </c>
      <c r="EZ8" s="47">
        <f t="shared" si="6"/>
        <v>50830</v>
      </c>
      <c r="FA8" s="47">
        <f t="shared" si="6"/>
        <v>50861</v>
      </c>
      <c r="FB8" s="47">
        <f t="shared" si="6"/>
        <v>50891</v>
      </c>
      <c r="FC8" s="47">
        <f t="shared" si="6"/>
        <v>50922</v>
      </c>
      <c r="FD8" s="47">
        <f t="shared" si="6"/>
        <v>50952</v>
      </c>
      <c r="FE8" s="47">
        <f t="shared" si="6"/>
        <v>50983</v>
      </c>
      <c r="FF8" s="47">
        <f t="shared" si="6"/>
        <v>51014</v>
      </c>
      <c r="FG8" s="47">
        <f t="shared" si="6"/>
        <v>51044</v>
      </c>
      <c r="FH8" s="47">
        <f t="shared" si="6"/>
        <v>51075</v>
      </c>
      <c r="FI8" s="47">
        <f t="shared" si="6"/>
        <v>51105</v>
      </c>
      <c r="FJ8" s="47">
        <f t="shared" si="6"/>
        <v>51136</v>
      </c>
      <c r="FK8" s="47">
        <f t="shared" si="6"/>
        <v>51167</v>
      </c>
      <c r="FL8" s="47">
        <f t="shared" si="6"/>
        <v>51196</v>
      </c>
      <c r="FM8" s="47">
        <f t="shared" si="6"/>
        <v>51227</v>
      </c>
      <c r="FN8" s="47">
        <f t="shared" si="6"/>
        <v>51257</v>
      </c>
      <c r="FO8" s="47">
        <f t="shared" si="6"/>
        <v>51288</v>
      </c>
      <c r="FP8" s="47">
        <f t="shared" si="6"/>
        <v>51318</v>
      </c>
      <c r="FQ8" s="47">
        <f t="shared" si="6"/>
        <v>51349</v>
      </c>
      <c r="FR8" s="47">
        <f t="shared" si="6"/>
        <v>51380</v>
      </c>
      <c r="FS8" s="47">
        <f t="shared" si="6"/>
        <v>51410</v>
      </c>
      <c r="FT8" s="47">
        <f t="shared" si="6"/>
        <v>51441</v>
      </c>
      <c r="FU8" s="47">
        <f t="shared" si="6"/>
        <v>51471</v>
      </c>
      <c r="FV8" s="47">
        <f t="shared" si="6"/>
        <v>51502</v>
      </c>
      <c r="FW8" s="47">
        <f t="shared" si="6"/>
        <v>51533</v>
      </c>
      <c r="FX8" s="47">
        <f t="shared" si="6"/>
        <v>51561</v>
      </c>
      <c r="FY8" s="47">
        <f t="shared" si="6"/>
        <v>51592</v>
      </c>
      <c r="FZ8" s="47">
        <f t="shared" si="6"/>
        <v>51622</v>
      </c>
      <c r="GA8" s="47">
        <f t="shared" si="6"/>
        <v>51653</v>
      </c>
      <c r="GB8" s="47">
        <f t="shared" si="6"/>
        <v>51683</v>
      </c>
      <c r="GC8" s="47">
        <f t="shared" si="6"/>
        <v>51714</v>
      </c>
      <c r="GD8" s="47">
        <f t="shared" si="6"/>
        <v>51745</v>
      </c>
      <c r="GE8" s="47">
        <f t="shared" ref="GE8" si="7">EDATE(GD8,1)</f>
        <v>51775</v>
      </c>
      <c r="GF8" s="47">
        <f t="shared" ref="GF8" si="8">EDATE(GE8,1)</f>
        <v>51806</v>
      </c>
      <c r="GG8" s="47">
        <f t="shared" ref="GG8" si="9">EDATE(GF8,1)</f>
        <v>51836</v>
      </c>
      <c r="GH8" s="47">
        <f t="shared" ref="GH8" si="10">EDATE(GG8,1)</f>
        <v>51867</v>
      </c>
      <c r="GI8" s="47">
        <f t="shared" ref="GI8" si="11">EDATE(GH8,1)</f>
        <v>51898</v>
      </c>
      <c r="GJ8" s="47">
        <f t="shared" ref="GJ8" si="12">EDATE(GI8,1)</f>
        <v>51926</v>
      </c>
      <c r="GK8" s="47">
        <f t="shared" ref="GK8" si="13">EDATE(GJ8,1)</f>
        <v>51957</v>
      </c>
      <c r="GL8" s="47">
        <f t="shared" ref="GL8" si="14">EDATE(GK8,1)</f>
        <v>51987</v>
      </c>
      <c r="GM8" s="47">
        <f t="shared" ref="GM8" si="15">EDATE(GL8,1)</f>
        <v>52018</v>
      </c>
      <c r="GN8" s="278"/>
      <c r="GO8" s="278"/>
      <c r="GP8" s="278"/>
      <c r="GQ8" s="278"/>
      <c r="GR8" s="278"/>
      <c r="GS8" s="278"/>
      <c r="GT8" s="278"/>
      <c r="GU8" s="278"/>
      <c r="GV8" s="278"/>
      <c r="GW8" s="278"/>
      <c r="GX8" s="278"/>
      <c r="GY8" s="278"/>
      <c r="GZ8" s="278"/>
      <c r="HA8" s="278"/>
      <c r="HB8" s="278"/>
      <c r="HC8" s="278"/>
      <c r="HD8" s="278"/>
      <c r="HE8" s="278"/>
      <c r="HF8" s="278"/>
      <c r="HG8" s="278"/>
      <c r="HH8" s="278"/>
      <c r="HI8" s="278"/>
      <c r="HJ8" s="278"/>
      <c r="HK8" s="278"/>
      <c r="HL8" s="278"/>
      <c r="HM8" s="278"/>
      <c r="HN8" s="278"/>
      <c r="HO8" s="278"/>
      <c r="HP8" s="278"/>
      <c r="HQ8" s="278"/>
      <c r="HR8" s="278"/>
      <c r="HS8" s="278"/>
      <c r="HT8" s="278"/>
      <c r="HU8" s="278"/>
      <c r="HV8" s="278"/>
      <c r="HW8" s="278"/>
      <c r="HX8" s="278"/>
      <c r="HY8" s="278"/>
      <c r="HZ8" s="278"/>
      <c r="IA8" s="278"/>
      <c r="IB8" s="278"/>
      <c r="IC8" s="278"/>
      <c r="ID8" s="278"/>
      <c r="IE8" s="278"/>
      <c r="IF8" s="278"/>
      <c r="IG8" s="278"/>
      <c r="IH8" s="278"/>
      <c r="II8" s="278"/>
      <c r="IJ8" s="278"/>
      <c r="IK8" s="278"/>
      <c r="IL8" s="278"/>
      <c r="IM8" s="278"/>
      <c r="IN8" s="278"/>
      <c r="IO8" s="278"/>
      <c r="IP8" s="278"/>
      <c r="IQ8" s="278"/>
      <c r="IR8" s="278"/>
      <c r="IS8" s="278"/>
      <c r="IT8" s="278"/>
      <c r="IU8" s="278"/>
      <c r="IV8" s="278"/>
      <c r="IW8" s="278"/>
      <c r="IX8" s="278"/>
      <c r="IY8" s="278"/>
      <c r="IZ8" s="278"/>
      <c r="JA8" s="278"/>
      <c r="JB8" s="278"/>
      <c r="JC8" s="278"/>
      <c r="JD8" s="278"/>
      <c r="JE8" s="278"/>
      <c r="JF8" s="278"/>
      <c r="JG8" s="278"/>
      <c r="JH8" s="278"/>
      <c r="JI8" s="278"/>
      <c r="JJ8" s="278"/>
      <c r="JK8" s="278"/>
      <c r="JL8" s="278"/>
      <c r="JM8" s="278"/>
      <c r="JN8" s="278"/>
      <c r="JO8" s="278"/>
      <c r="JP8" s="278"/>
      <c r="JQ8" s="278"/>
      <c r="JR8" s="278"/>
      <c r="JS8" s="278"/>
      <c r="JT8" s="278"/>
      <c r="JU8" s="278"/>
      <c r="JV8" s="278"/>
      <c r="JW8" s="278"/>
      <c r="JX8" s="278"/>
      <c r="JY8" s="278"/>
      <c r="JZ8" s="278"/>
      <c r="KA8" s="278"/>
      <c r="KB8" s="278"/>
      <c r="KC8" s="278"/>
      <c r="KD8" s="278"/>
      <c r="KE8" s="278"/>
      <c r="KF8" s="278"/>
      <c r="KG8" s="278"/>
      <c r="KH8" s="278"/>
      <c r="KI8" s="278"/>
      <c r="KJ8" s="278"/>
      <c r="KK8" s="278"/>
      <c r="KL8" s="278"/>
      <c r="KM8" s="278"/>
      <c r="KN8" s="278"/>
      <c r="KO8" s="278"/>
      <c r="KP8" s="278"/>
      <c r="KQ8" s="278"/>
      <c r="KR8" s="278"/>
      <c r="KS8" s="278"/>
      <c r="KT8" s="278"/>
      <c r="KU8" s="278"/>
      <c r="KV8" s="278"/>
      <c r="KW8" s="278"/>
      <c r="KX8" s="278"/>
      <c r="KY8" s="278"/>
      <c r="KZ8" s="278"/>
      <c r="LA8" s="278"/>
      <c r="LB8" s="278"/>
      <c r="LC8" s="278"/>
      <c r="LD8" s="278"/>
      <c r="LE8" s="278"/>
      <c r="LF8" s="278"/>
      <c r="LG8" s="278"/>
      <c r="LH8" s="278"/>
      <c r="LI8" s="278"/>
      <c r="LJ8" s="278"/>
      <c r="LK8" s="278"/>
      <c r="LL8" s="278"/>
      <c r="LM8" s="278"/>
      <c r="LN8" s="278"/>
      <c r="LO8" s="278"/>
      <c r="LP8" s="278"/>
      <c r="LQ8" s="278"/>
      <c r="LR8" s="278"/>
      <c r="LS8" s="278"/>
      <c r="LT8" s="278"/>
      <c r="LU8" s="278"/>
      <c r="LV8" s="278"/>
      <c r="LW8" s="278"/>
      <c r="LX8" s="278"/>
      <c r="LY8" s="278"/>
      <c r="LZ8" s="278"/>
      <c r="MA8" s="278"/>
      <c r="MB8" s="278"/>
      <c r="MC8" s="278"/>
      <c r="MD8" s="278"/>
      <c r="ME8" s="278"/>
      <c r="MF8" s="278"/>
      <c r="MG8" s="278"/>
      <c r="MH8" s="278"/>
      <c r="MI8" s="278"/>
      <c r="MJ8" s="278"/>
      <c r="MK8" s="278"/>
      <c r="ML8" s="278"/>
      <c r="MM8" s="278"/>
      <c r="MN8" s="278"/>
      <c r="MO8" s="278"/>
      <c r="MP8" s="278"/>
      <c r="MQ8" s="278"/>
      <c r="MR8" s="278"/>
      <c r="MS8" s="278"/>
      <c r="MT8" s="278"/>
      <c r="MU8" s="278"/>
      <c r="MV8" s="278"/>
      <c r="MW8" s="278"/>
      <c r="MX8" s="278"/>
      <c r="MY8" s="278"/>
      <c r="MZ8" s="278"/>
      <c r="NA8" s="278"/>
      <c r="NB8" s="278"/>
    </row>
    <row r="9" spans="1:366" s="6" customFormat="1" ht="16" customHeight="1" x14ac:dyDescent="0.15">
      <c r="A9"/>
      <c r="B9" s="389"/>
      <c r="C9" s="389"/>
      <c r="D9" s="389"/>
      <c r="E9" s="390"/>
      <c r="F9" s="278"/>
      <c r="G9" s="278"/>
      <c r="H9" s="278"/>
      <c r="I9" s="278"/>
      <c r="J9" s="278"/>
      <c r="K9" s="278"/>
      <c r="L9" s="278"/>
      <c r="M9" s="278"/>
      <c r="N9" s="278"/>
      <c r="O9" s="278"/>
      <c r="P9" s="278"/>
      <c r="Q9" s="278"/>
      <c r="R9" s="278"/>
      <c r="S9" s="278"/>
      <c r="T9" s="278"/>
      <c r="U9" s="278"/>
      <c r="V9" s="278"/>
      <c r="W9" s="278"/>
      <c r="X9" s="278"/>
      <c r="Y9" s="278"/>
      <c r="Z9" s="278"/>
      <c r="AA9" s="278"/>
      <c r="AB9" s="278"/>
      <c r="AC9" s="278"/>
      <c r="AD9" s="278"/>
      <c r="AE9" s="278"/>
      <c r="AF9" s="278"/>
      <c r="AG9" s="278"/>
      <c r="AH9" s="278"/>
      <c r="AI9" s="278"/>
      <c r="AJ9" s="278"/>
      <c r="AK9" s="278"/>
      <c r="AL9" s="278"/>
      <c r="AM9" s="278"/>
      <c r="AN9" s="278"/>
      <c r="AO9" s="278"/>
      <c r="AP9" s="278"/>
      <c r="AQ9" s="278"/>
      <c r="AR9" s="278"/>
      <c r="AS9" s="278"/>
      <c r="AT9" s="278"/>
      <c r="AU9" s="278"/>
      <c r="AV9" s="278"/>
      <c r="AW9" s="278"/>
      <c r="AX9" s="278"/>
      <c r="AY9" s="278"/>
      <c r="AZ9" s="278"/>
      <c r="BA9" s="278"/>
      <c r="BB9" s="278"/>
      <c r="BC9" s="278"/>
      <c r="BD9" s="278"/>
      <c r="BE9" s="278"/>
      <c r="BF9" s="278"/>
      <c r="BG9" s="278"/>
      <c r="BH9" s="278"/>
      <c r="BI9" s="278"/>
      <c r="BJ9" s="278"/>
      <c r="BK9" s="278"/>
      <c r="BL9" s="278"/>
      <c r="BM9" s="278"/>
      <c r="BN9" s="278"/>
      <c r="BO9" s="278"/>
      <c r="BP9" s="278"/>
      <c r="BQ9" s="278"/>
      <c r="BR9" s="278"/>
      <c r="BS9" s="278"/>
      <c r="BT9" s="278"/>
      <c r="BU9" s="278"/>
      <c r="BV9" s="278"/>
      <c r="BW9" s="278"/>
      <c r="BX9" s="278"/>
      <c r="BY9" s="278"/>
      <c r="BZ9" s="278"/>
      <c r="CA9" s="278"/>
      <c r="CB9" s="278"/>
      <c r="CC9" s="278"/>
      <c r="CD9" s="278"/>
      <c r="CE9" s="278"/>
      <c r="CF9" s="278"/>
      <c r="CG9" s="278"/>
      <c r="CH9" s="278"/>
      <c r="CI9" s="278"/>
      <c r="CJ9" s="278"/>
      <c r="CK9" s="278"/>
      <c r="CL9" s="278"/>
      <c r="CM9" s="278"/>
      <c r="CN9" s="278"/>
      <c r="CO9" s="278"/>
      <c r="CP9" s="278"/>
      <c r="CQ9" s="278"/>
      <c r="CR9" s="278"/>
      <c r="CS9" s="278"/>
      <c r="CT9" s="278"/>
      <c r="CU9" s="278"/>
      <c r="CV9" s="278"/>
      <c r="CW9" s="278"/>
      <c r="CX9" s="278"/>
      <c r="CY9" s="278"/>
      <c r="CZ9" s="278"/>
      <c r="DA9" s="278"/>
      <c r="DB9" s="278"/>
      <c r="DC9" s="278"/>
      <c r="DD9" s="278"/>
      <c r="DE9" s="278"/>
      <c r="DF9" s="278"/>
      <c r="DG9" s="278"/>
      <c r="DH9" s="278"/>
      <c r="DI9" s="278"/>
      <c r="DJ9" s="278"/>
      <c r="DK9" s="278"/>
      <c r="DL9" s="278"/>
      <c r="DM9" s="278"/>
      <c r="DN9" s="278"/>
      <c r="DO9" s="278"/>
      <c r="DP9" s="278"/>
      <c r="DQ9" s="278"/>
      <c r="DR9" s="278"/>
      <c r="DS9" s="278"/>
      <c r="DT9" s="278"/>
      <c r="DU9" s="278"/>
      <c r="DV9" s="278"/>
      <c r="DW9" s="278"/>
      <c r="DX9" s="278"/>
      <c r="DY9" s="278"/>
      <c r="DZ9" s="278"/>
      <c r="EA9" s="278"/>
      <c r="EB9" s="278"/>
      <c r="EC9" s="278"/>
      <c r="ED9" s="278"/>
      <c r="EE9" s="278"/>
      <c r="EF9" s="278"/>
      <c r="EG9" s="278"/>
      <c r="EH9" s="278"/>
      <c r="EI9" s="278"/>
      <c r="EJ9" s="278"/>
      <c r="EK9" s="278"/>
      <c r="EL9" s="278"/>
      <c r="EM9" s="278"/>
      <c r="EN9" s="278"/>
      <c r="EO9" s="278"/>
      <c r="EP9" s="278"/>
      <c r="EQ9" s="278"/>
      <c r="ER9" s="278"/>
      <c r="ES9" s="278"/>
      <c r="ET9" s="278"/>
      <c r="EU9" s="278"/>
      <c r="EV9" s="278"/>
      <c r="EW9" s="278"/>
      <c r="EX9" s="278"/>
      <c r="EY9" s="278"/>
      <c r="EZ9" s="278"/>
      <c r="FA9" s="278"/>
      <c r="FB9" s="278"/>
      <c r="FC9" s="278"/>
      <c r="FD9" s="278"/>
      <c r="FE9" s="278"/>
      <c r="FF9" s="278"/>
      <c r="FG9" s="278"/>
      <c r="FH9" s="278"/>
      <c r="FI9" s="278"/>
      <c r="FJ9" s="278"/>
      <c r="FK9" s="278"/>
      <c r="FL9" s="278"/>
      <c r="FM9" s="278"/>
      <c r="FN9" s="278"/>
      <c r="FO9" s="278"/>
      <c r="FP9" s="278"/>
      <c r="FQ9" s="278"/>
      <c r="FR9" s="278"/>
      <c r="FS9" s="278"/>
      <c r="FT9" s="278"/>
      <c r="FU9" s="278"/>
      <c r="FV9" s="278"/>
      <c r="FW9" s="278"/>
      <c r="FX9" s="278"/>
      <c r="FY9" s="278"/>
      <c r="FZ9" s="278"/>
      <c r="GA9" s="278"/>
      <c r="GB9" s="278"/>
      <c r="GC9" s="278"/>
      <c r="GD9" s="278"/>
      <c r="GE9" s="278"/>
      <c r="GF9" s="278"/>
      <c r="GG9" s="278"/>
      <c r="GH9" s="278"/>
      <c r="GI9" s="278"/>
      <c r="GJ9" s="278"/>
      <c r="GK9" s="278"/>
      <c r="GL9" s="278"/>
      <c r="GM9" s="278"/>
      <c r="GN9" s="278"/>
      <c r="GO9" s="278"/>
      <c r="GP9" s="278"/>
      <c r="GQ9" s="278"/>
      <c r="GR9" s="278"/>
      <c r="GS9" s="278"/>
      <c r="GT9" s="278"/>
      <c r="GU9" s="278"/>
      <c r="GV9" s="278"/>
      <c r="GW9" s="278"/>
      <c r="GX9" s="278"/>
      <c r="GY9" s="278"/>
      <c r="GZ9" s="278"/>
      <c r="HA9" s="278"/>
      <c r="HB9" s="278"/>
      <c r="HC9" s="278"/>
      <c r="HD9" s="278"/>
      <c r="HE9" s="278"/>
      <c r="HF9" s="278"/>
      <c r="HG9" s="278"/>
      <c r="HH9" s="278"/>
      <c r="HI9" s="278"/>
      <c r="HJ9" s="278"/>
      <c r="HK9" s="278"/>
      <c r="HL9" s="278"/>
      <c r="HM9" s="278"/>
      <c r="HN9" s="278"/>
      <c r="HO9" s="278"/>
      <c r="HP9" s="278"/>
      <c r="HQ9" s="278"/>
      <c r="HR9" s="278"/>
      <c r="HS9" s="278"/>
      <c r="HT9" s="278"/>
      <c r="HU9" s="278"/>
      <c r="HV9" s="278"/>
      <c r="HW9" s="278"/>
      <c r="HX9" s="278"/>
      <c r="HY9" s="278"/>
      <c r="HZ9" s="278"/>
      <c r="IA9" s="278"/>
      <c r="IB9" s="278"/>
      <c r="IC9" s="278"/>
      <c r="ID9" s="278"/>
      <c r="IE9" s="278"/>
      <c r="IF9" s="278"/>
      <c r="IG9" s="278"/>
      <c r="IH9" s="278"/>
      <c r="II9" s="278"/>
      <c r="IJ9" s="278"/>
      <c r="IK9" s="278"/>
      <c r="IL9" s="278"/>
      <c r="IM9" s="278"/>
      <c r="IN9" s="278"/>
      <c r="IO9" s="278"/>
      <c r="IP9" s="278"/>
      <c r="IQ9" s="278"/>
      <c r="IR9" s="278"/>
      <c r="IS9" s="278"/>
      <c r="IT9" s="278"/>
      <c r="IU9" s="278"/>
      <c r="IV9" s="278"/>
      <c r="IW9" s="278"/>
      <c r="IX9" s="278"/>
      <c r="IY9" s="278"/>
      <c r="IZ9" s="278"/>
      <c r="JA9" s="278"/>
      <c r="JB9" s="278"/>
      <c r="JC9" s="278"/>
      <c r="JD9" s="278"/>
      <c r="JE9" s="278"/>
      <c r="JF9" s="278"/>
      <c r="JG9" s="278"/>
      <c r="JH9" s="278"/>
      <c r="JI9" s="278"/>
      <c r="JJ9" s="278"/>
      <c r="JK9" s="278"/>
      <c r="JL9" s="278"/>
      <c r="JM9" s="278"/>
      <c r="JN9" s="278"/>
      <c r="JO9" s="278"/>
      <c r="JP9" s="278"/>
      <c r="JQ9" s="278"/>
      <c r="JR9" s="278"/>
      <c r="JS9" s="278"/>
      <c r="JT9" s="278"/>
      <c r="JU9" s="278"/>
      <c r="JV9" s="278"/>
      <c r="JW9" s="278"/>
      <c r="JX9" s="278"/>
      <c r="JY9" s="278"/>
      <c r="JZ9" s="278"/>
      <c r="KA9" s="278"/>
      <c r="KB9" s="278"/>
      <c r="KC9" s="278"/>
      <c r="KD9" s="278"/>
      <c r="KE9" s="278"/>
      <c r="KF9" s="278"/>
      <c r="KG9" s="278"/>
      <c r="KH9" s="278"/>
      <c r="KI9" s="278"/>
      <c r="KJ9" s="278"/>
      <c r="KK9" s="278"/>
      <c r="KL9" s="278"/>
      <c r="KM9" s="278"/>
      <c r="KN9" s="278"/>
      <c r="KO9" s="278"/>
      <c r="KP9" s="278"/>
      <c r="KQ9" s="278"/>
      <c r="KR9" s="278"/>
      <c r="KS9" s="278"/>
      <c r="KT9" s="278"/>
      <c r="KU9" s="278"/>
      <c r="KV9" s="278"/>
      <c r="KW9" s="278"/>
      <c r="KX9" s="278"/>
      <c r="KY9" s="278"/>
      <c r="KZ9" s="278"/>
      <c r="LA9" s="278"/>
      <c r="LB9" s="278"/>
      <c r="LC9" s="278"/>
      <c r="LD9" s="278"/>
      <c r="LE9" s="278"/>
      <c r="LF9" s="278"/>
      <c r="LG9" s="278"/>
      <c r="LH9" s="278"/>
      <c r="LI9" s="278"/>
      <c r="LJ9" s="278"/>
      <c r="LK9" s="278"/>
      <c r="LL9" s="278"/>
      <c r="LM9" s="278"/>
      <c r="LN9" s="278"/>
      <c r="LO9" s="278"/>
      <c r="LP9" s="278"/>
      <c r="LQ9" s="278"/>
      <c r="LR9" s="278"/>
      <c r="LS9" s="278"/>
      <c r="LT9" s="278"/>
      <c r="LU9" s="278"/>
      <c r="LV9" s="278"/>
      <c r="LW9" s="278"/>
      <c r="LX9" s="278"/>
      <c r="LY9" s="278"/>
      <c r="LZ9" s="278"/>
      <c r="MA9" s="278"/>
      <c r="MB9" s="278"/>
      <c r="MC9" s="278"/>
      <c r="MD9" s="278"/>
      <c r="ME9" s="278"/>
      <c r="MF9" s="278"/>
      <c r="MG9" s="278"/>
      <c r="MH9" s="278"/>
      <c r="MI9" s="278"/>
      <c r="MJ9" s="278"/>
      <c r="MK9" s="278"/>
      <c r="ML9" s="278"/>
      <c r="MM9" s="278"/>
      <c r="MN9" s="278"/>
      <c r="MO9" s="278"/>
      <c r="MP9" s="278"/>
      <c r="MQ9" s="278"/>
      <c r="MR9" s="278"/>
      <c r="MS9" s="278"/>
      <c r="MT9" s="278"/>
      <c r="MU9" s="278"/>
      <c r="MV9" s="278"/>
      <c r="MW9" s="278"/>
      <c r="MX9" s="278"/>
      <c r="MY9" s="278"/>
      <c r="MZ9" s="278"/>
      <c r="NA9" s="278"/>
      <c r="NB9" s="278"/>
    </row>
    <row r="10" spans="1:366" ht="16" customHeight="1" x14ac:dyDescent="0.15">
      <c r="B10" t="s">
        <v>307</v>
      </c>
      <c r="F10" s="6">
        <f>IF(F$7&lt;=$F$5,1,0)</f>
        <v>1</v>
      </c>
      <c r="G10" s="6">
        <f t="shared" ref="G10:BR10" si="16">IF(G$7&lt;=$F$5,1,0)</f>
        <v>1</v>
      </c>
      <c r="H10" s="6">
        <f t="shared" si="16"/>
        <v>1</v>
      </c>
      <c r="I10" s="6">
        <f t="shared" si="16"/>
        <v>1</v>
      </c>
      <c r="J10" s="6">
        <f t="shared" si="16"/>
        <v>1</v>
      </c>
      <c r="K10" s="6">
        <f t="shared" si="16"/>
        <v>1</v>
      </c>
      <c r="L10" s="6">
        <f t="shared" si="16"/>
        <v>1</v>
      </c>
      <c r="M10" s="6">
        <f t="shared" si="16"/>
        <v>1</v>
      </c>
      <c r="N10" s="6">
        <f t="shared" si="16"/>
        <v>1</v>
      </c>
      <c r="O10" s="6">
        <f t="shared" si="16"/>
        <v>1</v>
      </c>
      <c r="P10" s="6">
        <f t="shared" si="16"/>
        <v>1</v>
      </c>
      <c r="Q10" s="6">
        <f t="shared" si="16"/>
        <v>1</v>
      </c>
      <c r="R10" s="6">
        <f t="shared" si="16"/>
        <v>1</v>
      </c>
      <c r="S10" s="6">
        <f t="shared" si="16"/>
        <v>1</v>
      </c>
      <c r="T10" s="6">
        <f t="shared" si="16"/>
        <v>1</v>
      </c>
      <c r="U10" s="6">
        <f t="shared" si="16"/>
        <v>1</v>
      </c>
      <c r="V10" s="6">
        <f t="shared" si="16"/>
        <v>1</v>
      </c>
      <c r="W10" s="6">
        <f t="shared" si="16"/>
        <v>1</v>
      </c>
      <c r="X10" s="6">
        <f t="shared" si="16"/>
        <v>1</v>
      </c>
      <c r="Y10" s="6">
        <f t="shared" si="16"/>
        <v>1</v>
      </c>
      <c r="Z10" s="6">
        <f t="shared" si="16"/>
        <v>1</v>
      </c>
      <c r="AA10" s="6">
        <f t="shared" si="16"/>
        <v>1</v>
      </c>
      <c r="AB10" s="6">
        <f t="shared" si="16"/>
        <v>1</v>
      </c>
      <c r="AC10" s="6">
        <f t="shared" si="16"/>
        <v>1</v>
      </c>
      <c r="AD10" s="6">
        <f t="shared" si="16"/>
        <v>1</v>
      </c>
      <c r="AE10" s="6">
        <f t="shared" si="16"/>
        <v>1</v>
      </c>
      <c r="AF10" s="6">
        <f t="shared" si="16"/>
        <v>1</v>
      </c>
      <c r="AG10" s="6">
        <f t="shared" si="16"/>
        <v>1</v>
      </c>
      <c r="AH10" s="6">
        <f t="shared" si="16"/>
        <v>1</v>
      </c>
      <c r="AI10" s="6">
        <f t="shared" si="16"/>
        <v>1</v>
      </c>
      <c r="AJ10" s="6">
        <f t="shared" si="16"/>
        <v>1</v>
      </c>
      <c r="AK10" s="6">
        <f t="shared" si="16"/>
        <v>1</v>
      </c>
      <c r="AL10" s="6">
        <f t="shared" si="16"/>
        <v>1</v>
      </c>
      <c r="AM10" s="6">
        <f t="shared" si="16"/>
        <v>1</v>
      </c>
      <c r="AN10" s="6">
        <f t="shared" si="16"/>
        <v>1</v>
      </c>
      <c r="AO10" s="6">
        <f t="shared" si="16"/>
        <v>1</v>
      </c>
      <c r="AP10" s="6">
        <f t="shared" si="16"/>
        <v>1</v>
      </c>
      <c r="AQ10" s="6">
        <f t="shared" si="16"/>
        <v>1</v>
      </c>
      <c r="AR10" s="6">
        <f t="shared" si="16"/>
        <v>1</v>
      </c>
      <c r="AS10" s="6">
        <f t="shared" si="16"/>
        <v>1</v>
      </c>
      <c r="AT10" s="6">
        <f t="shared" si="16"/>
        <v>1</v>
      </c>
      <c r="AU10" s="6">
        <f t="shared" si="16"/>
        <v>1</v>
      </c>
      <c r="AV10" s="6">
        <f t="shared" si="16"/>
        <v>1</v>
      </c>
      <c r="AW10" s="6">
        <f t="shared" si="16"/>
        <v>1</v>
      </c>
      <c r="AX10" s="6">
        <f t="shared" si="16"/>
        <v>1</v>
      </c>
      <c r="AY10" s="6">
        <f t="shared" si="16"/>
        <v>1</v>
      </c>
      <c r="AZ10" s="6">
        <f t="shared" si="16"/>
        <v>1</v>
      </c>
      <c r="BA10" s="6">
        <f t="shared" si="16"/>
        <v>1</v>
      </c>
      <c r="BB10" s="6">
        <f t="shared" si="16"/>
        <v>1</v>
      </c>
      <c r="BC10" s="6">
        <f t="shared" si="16"/>
        <v>1</v>
      </c>
      <c r="BD10" s="6">
        <f t="shared" si="16"/>
        <v>1</v>
      </c>
      <c r="BE10" s="6">
        <f t="shared" si="16"/>
        <v>1</v>
      </c>
      <c r="BF10" s="6">
        <f t="shared" si="16"/>
        <v>1</v>
      </c>
      <c r="BG10" s="6">
        <f t="shared" si="16"/>
        <v>1</v>
      </c>
      <c r="BH10" s="6">
        <f t="shared" si="16"/>
        <v>1</v>
      </c>
      <c r="BI10" s="6">
        <f t="shared" si="16"/>
        <v>1</v>
      </c>
      <c r="BJ10" s="6">
        <f t="shared" si="16"/>
        <v>1</v>
      </c>
      <c r="BK10" s="6">
        <f t="shared" si="16"/>
        <v>1</v>
      </c>
      <c r="BL10" s="6">
        <f t="shared" si="16"/>
        <v>1</v>
      </c>
      <c r="BM10" s="6">
        <f t="shared" si="16"/>
        <v>1</v>
      </c>
      <c r="BN10" s="6">
        <f t="shared" si="16"/>
        <v>1</v>
      </c>
      <c r="BO10" s="6">
        <f t="shared" si="16"/>
        <v>1</v>
      </c>
      <c r="BP10" s="6">
        <f t="shared" si="16"/>
        <v>1</v>
      </c>
      <c r="BQ10" s="6">
        <f t="shared" si="16"/>
        <v>1</v>
      </c>
      <c r="BR10" s="6">
        <f t="shared" si="16"/>
        <v>1</v>
      </c>
      <c r="BS10" s="6">
        <f t="shared" ref="BS10:ED10" si="17">IF(BS$7&lt;=$F$5,1,0)</f>
        <v>1</v>
      </c>
      <c r="BT10" s="6">
        <f t="shared" si="17"/>
        <v>1</v>
      </c>
      <c r="BU10" s="6">
        <f t="shared" si="17"/>
        <v>1</v>
      </c>
      <c r="BV10" s="6">
        <f t="shared" si="17"/>
        <v>1</v>
      </c>
      <c r="BW10" s="6">
        <f t="shared" si="17"/>
        <v>1</v>
      </c>
      <c r="BX10" s="6">
        <f t="shared" si="17"/>
        <v>1</v>
      </c>
      <c r="BY10" s="6">
        <f t="shared" si="17"/>
        <v>1</v>
      </c>
      <c r="BZ10" s="6">
        <f t="shared" si="17"/>
        <v>1</v>
      </c>
      <c r="CA10" s="6">
        <f t="shared" si="17"/>
        <v>1</v>
      </c>
      <c r="CB10" s="6">
        <f t="shared" si="17"/>
        <v>1</v>
      </c>
      <c r="CC10" s="6">
        <f t="shared" si="17"/>
        <v>1</v>
      </c>
      <c r="CD10" s="6">
        <f t="shared" si="17"/>
        <v>1</v>
      </c>
      <c r="CE10" s="6">
        <f t="shared" si="17"/>
        <v>1</v>
      </c>
      <c r="CF10" s="6">
        <f t="shared" si="17"/>
        <v>1</v>
      </c>
      <c r="CG10" s="6">
        <f t="shared" si="17"/>
        <v>1</v>
      </c>
      <c r="CH10" s="6">
        <f t="shared" si="17"/>
        <v>1</v>
      </c>
      <c r="CI10" s="6">
        <f t="shared" si="17"/>
        <v>1</v>
      </c>
      <c r="CJ10" s="6">
        <f t="shared" si="17"/>
        <v>1</v>
      </c>
      <c r="CK10" s="6">
        <f t="shared" si="17"/>
        <v>1</v>
      </c>
      <c r="CL10" s="6">
        <f t="shared" si="17"/>
        <v>1</v>
      </c>
      <c r="CM10" s="6">
        <f t="shared" si="17"/>
        <v>1</v>
      </c>
      <c r="CN10" s="6">
        <f t="shared" si="17"/>
        <v>1</v>
      </c>
      <c r="CO10" s="6">
        <f t="shared" si="17"/>
        <v>1</v>
      </c>
      <c r="CP10" s="6">
        <f t="shared" si="17"/>
        <v>1</v>
      </c>
      <c r="CQ10" s="6">
        <f t="shared" si="17"/>
        <v>1</v>
      </c>
      <c r="CR10" s="6">
        <f t="shared" si="17"/>
        <v>1</v>
      </c>
      <c r="CS10" s="6">
        <f t="shared" si="17"/>
        <v>1</v>
      </c>
      <c r="CT10" s="6">
        <f t="shared" si="17"/>
        <v>1</v>
      </c>
      <c r="CU10" s="6">
        <f t="shared" si="17"/>
        <v>1</v>
      </c>
      <c r="CV10" s="6">
        <f t="shared" si="17"/>
        <v>1</v>
      </c>
      <c r="CW10" s="6">
        <f t="shared" si="17"/>
        <v>1</v>
      </c>
      <c r="CX10" s="6">
        <f t="shared" si="17"/>
        <v>1</v>
      </c>
      <c r="CY10" s="6">
        <f t="shared" si="17"/>
        <v>1</v>
      </c>
      <c r="CZ10" s="6">
        <f t="shared" si="17"/>
        <v>1</v>
      </c>
      <c r="DA10" s="6">
        <f t="shared" si="17"/>
        <v>1</v>
      </c>
      <c r="DB10" s="6">
        <f t="shared" si="17"/>
        <v>1</v>
      </c>
      <c r="DC10" s="6">
        <f t="shared" si="17"/>
        <v>1</v>
      </c>
      <c r="DD10" s="6">
        <f t="shared" si="17"/>
        <v>1</v>
      </c>
      <c r="DE10" s="6">
        <f t="shared" si="17"/>
        <v>1</v>
      </c>
      <c r="DF10" s="6">
        <f t="shared" si="17"/>
        <v>1</v>
      </c>
      <c r="DG10" s="6">
        <f t="shared" si="17"/>
        <v>1</v>
      </c>
      <c r="DH10" s="6">
        <f t="shared" si="17"/>
        <v>1</v>
      </c>
      <c r="DI10" s="6">
        <f t="shared" si="17"/>
        <v>1</v>
      </c>
      <c r="DJ10" s="6">
        <f t="shared" si="17"/>
        <v>1</v>
      </c>
      <c r="DK10" s="6">
        <f t="shared" si="17"/>
        <v>1</v>
      </c>
      <c r="DL10" s="6">
        <f t="shared" si="17"/>
        <v>1</v>
      </c>
      <c r="DM10" s="6">
        <f t="shared" si="17"/>
        <v>1</v>
      </c>
      <c r="DN10" s="6">
        <f t="shared" si="17"/>
        <v>1</v>
      </c>
      <c r="DO10" s="6">
        <f t="shared" si="17"/>
        <v>1</v>
      </c>
      <c r="DP10" s="6">
        <f t="shared" si="17"/>
        <v>1</v>
      </c>
      <c r="DQ10" s="6">
        <f t="shared" si="17"/>
        <v>1</v>
      </c>
      <c r="DR10" s="6">
        <f t="shared" si="17"/>
        <v>1</v>
      </c>
      <c r="DS10" s="6">
        <f t="shared" si="17"/>
        <v>1</v>
      </c>
      <c r="DT10" s="6">
        <f t="shared" si="17"/>
        <v>1</v>
      </c>
      <c r="DU10" s="6">
        <f t="shared" si="17"/>
        <v>1</v>
      </c>
      <c r="DV10" s="6">
        <f t="shared" si="17"/>
        <v>1</v>
      </c>
      <c r="DW10" s="6">
        <f t="shared" si="17"/>
        <v>0</v>
      </c>
      <c r="DX10" s="6">
        <f t="shared" si="17"/>
        <v>0</v>
      </c>
      <c r="DY10" s="6">
        <f t="shared" si="17"/>
        <v>0</v>
      </c>
      <c r="DZ10" s="6">
        <f t="shared" si="17"/>
        <v>0</v>
      </c>
      <c r="EA10" s="6">
        <f t="shared" si="17"/>
        <v>0</v>
      </c>
      <c r="EB10" s="6">
        <f t="shared" si="17"/>
        <v>0</v>
      </c>
      <c r="EC10" s="6">
        <f t="shared" si="17"/>
        <v>0</v>
      </c>
      <c r="ED10" s="6">
        <f t="shared" si="17"/>
        <v>0</v>
      </c>
      <c r="EE10" s="6">
        <f t="shared" ref="EE10:GM10" si="18">IF(EE$7&lt;=$F$5,1,0)</f>
        <v>0</v>
      </c>
      <c r="EF10" s="6">
        <f t="shared" si="18"/>
        <v>0</v>
      </c>
      <c r="EG10" s="6">
        <f t="shared" si="18"/>
        <v>0</v>
      </c>
      <c r="EH10" s="6">
        <f t="shared" si="18"/>
        <v>0</v>
      </c>
      <c r="EI10" s="6">
        <f t="shared" si="18"/>
        <v>0</v>
      </c>
      <c r="EJ10" s="6">
        <f t="shared" si="18"/>
        <v>0</v>
      </c>
      <c r="EK10" s="6">
        <f t="shared" si="18"/>
        <v>0</v>
      </c>
      <c r="EL10" s="6">
        <f t="shared" si="18"/>
        <v>0</v>
      </c>
      <c r="EM10" s="6">
        <f t="shared" si="18"/>
        <v>0</v>
      </c>
      <c r="EN10" s="6">
        <f t="shared" si="18"/>
        <v>0</v>
      </c>
      <c r="EO10" s="6">
        <f t="shared" si="18"/>
        <v>0</v>
      </c>
      <c r="EP10" s="6">
        <f t="shared" si="18"/>
        <v>0</v>
      </c>
      <c r="EQ10" s="6">
        <f t="shared" si="18"/>
        <v>0</v>
      </c>
      <c r="ER10" s="6">
        <f t="shared" si="18"/>
        <v>0</v>
      </c>
      <c r="ES10" s="6">
        <f t="shared" si="18"/>
        <v>0</v>
      </c>
      <c r="ET10" s="6">
        <f t="shared" si="18"/>
        <v>0</v>
      </c>
      <c r="EU10" s="6">
        <f t="shared" si="18"/>
        <v>0</v>
      </c>
      <c r="EV10" s="6">
        <f t="shared" si="18"/>
        <v>0</v>
      </c>
      <c r="EW10" s="6">
        <f t="shared" si="18"/>
        <v>0</v>
      </c>
      <c r="EX10" s="6">
        <f t="shared" si="18"/>
        <v>0</v>
      </c>
      <c r="EY10" s="6">
        <f t="shared" si="18"/>
        <v>0</v>
      </c>
      <c r="EZ10" s="6">
        <f t="shared" si="18"/>
        <v>0</v>
      </c>
      <c r="FA10" s="6">
        <f t="shared" si="18"/>
        <v>0</v>
      </c>
      <c r="FB10" s="6">
        <f t="shared" si="18"/>
        <v>0</v>
      </c>
      <c r="FC10" s="6">
        <f t="shared" si="18"/>
        <v>0</v>
      </c>
      <c r="FD10" s="6">
        <f t="shared" si="18"/>
        <v>0</v>
      </c>
      <c r="FE10" s="6">
        <f t="shared" si="18"/>
        <v>0</v>
      </c>
      <c r="FF10" s="6">
        <f t="shared" si="18"/>
        <v>0</v>
      </c>
      <c r="FG10" s="6">
        <f t="shared" si="18"/>
        <v>0</v>
      </c>
      <c r="FH10" s="6">
        <f t="shared" si="18"/>
        <v>0</v>
      </c>
      <c r="FI10" s="6">
        <f t="shared" si="18"/>
        <v>0</v>
      </c>
      <c r="FJ10" s="6">
        <f t="shared" si="18"/>
        <v>0</v>
      </c>
      <c r="FK10" s="6">
        <f t="shared" si="18"/>
        <v>0</v>
      </c>
      <c r="FL10" s="6">
        <f t="shared" si="18"/>
        <v>0</v>
      </c>
      <c r="FM10" s="6">
        <f t="shared" si="18"/>
        <v>0</v>
      </c>
      <c r="FN10" s="6">
        <f t="shared" si="18"/>
        <v>0</v>
      </c>
      <c r="FO10" s="6">
        <f t="shared" si="18"/>
        <v>0</v>
      </c>
      <c r="FP10" s="6">
        <f t="shared" si="18"/>
        <v>0</v>
      </c>
      <c r="FQ10" s="6">
        <f t="shared" si="18"/>
        <v>0</v>
      </c>
      <c r="FR10" s="6">
        <f t="shared" si="18"/>
        <v>0</v>
      </c>
      <c r="FS10" s="6">
        <f t="shared" si="18"/>
        <v>0</v>
      </c>
      <c r="FT10" s="6">
        <f t="shared" si="18"/>
        <v>0</v>
      </c>
      <c r="FU10" s="6">
        <f t="shared" si="18"/>
        <v>0</v>
      </c>
      <c r="FV10" s="6">
        <f t="shared" si="18"/>
        <v>0</v>
      </c>
      <c r="FW10" s="6">
        <f t="shared" si="18"/>
        <v>0</v>
      </c>
      <c r="FX10" s="6">
        <f t="shared" si="18"/>
        <v>0</v>
      </c>
      <c r="FY10" s="6">
        <f t="shared" si="18"/>
        <v>0</v>
      </c>
      <c r="FZ10" s="6">
        <f t="shared" si="18"/>
        <v>0</v>
      </c>
      <c r="GA10" s="6">
        <f t="shared" si="18"/>
        <v>0</v>
      </c>
      <c r="GB10" s="6">
        <f t="shared" si="18"/>
        <v>0</v>
      </c>
      <c r="GC10" s="6">
        <f t="shared" si="18"/>
        <v>0</v>
      </c>
      <c r="GD10" s="6">
        <f t="shared" si="18"/>
        <v>0</v>
      </c>
      <c r="GE10" s="6">
        <f t="shared" si="18"/>
        <v>0</v>
      </c>
      <c r="GF10" s="6">
        <f t="shared" si="18"/>
        <v>0</v>
      </c>
      <c r="GG10" s="6">
        <f t="shared" si="18"/>
        <v>0</v>
      </c>
      <c r="GH10" s="6">
        <f t="shared" si="18"/>
        <v>0</v>
      </c>
      <c r="GI10" s="6">
        <f t="shared" si="18"/>
        <v>0</v>
      </c>
      <c r="GJ10" s="6">
        <f t="shared" si="18"/>
        <v>0</v>
      </c>
      <c r="GK10" s="6">
        <f t="shared" si="18"/>
        <v>0</v>
      </c>
      <c r="GL10" s="6">
        <f t="shared" si="18"/>
        <v>0</v>
      </c>
      <c r="GM10" s="6">
        <f t="shared" si="18"/>
        <v>0</v>
      </c>
      <c r="GN10" s="6"/>
      <c r="GO10" s="6"/>
      <c r="GP10" s="6"/>
    </row>
    <row r="11" spans="1:366" s="6" customFormat="1" ht="16" customHeight="1" x14ac:dyDescent="0.15">
      <c r="A11"/>
      <c r="B11" t="s">
        <v>41</v>
      </c>
      <c r="C11"/>
      <c r="D11"/>
      <c r="E11" s="9"/>
      <c r="F11" s="6">
        <v>0</v>
      </c>
      <c r="G11" s="6">
        <f t="shared" ref="G11:AL11" si="19">IF(G$8&gt;=purchase_date,1,0)</f>
        <v>1</v>
      </c>
      <c r="H11" s="6">
        <f t="shared" si="19"/>
        <v>1</v>
      </c>
      <c r="I11" s="6">
        <f t="shared" si="19"/>
        <v>1</v>
      </c>
      <c r="J11" s="6">
        <f t="shared" si="19"/>
        <v>1</v>
      </c>
      <c r="K11" s="6">
        <f t="shared" si="19"/>
        <v>1</v>
      </c>
      <c r="L11" s="6">
        <f t="shared" si="19"/>
        <v>1</v>
      </c>
      <c r="M11" s="6">
        <f t="shared" si="19"/>
        <v>1</v>
      </c>
      <c r="N11" s="6">
        <f t="shared" si="19"/>
        <v>1</v>
      </c>
      <c r="O11" s="6">
        <f t="shared" si="19"/>
        <v>1</v>
      </c>
      <c r="P11" s="6">
        <f t="shared" si="19"/>
        <v>1</v>
      </c>
      <c r="Q11" s="6">
        <f t="shared" si="19"/>
        <v>1</v>
      </c>
      <c r="R11" s="6">
        <f t="shared" si="19"/>
        <v>1</v>
      </c>
      <c r="S11" s="6">
        <f t="shared" si="19"/>
        <v>1</v>
      </c>
      <c r="T11" s="6">
        <f t="shared" si="19"/>
        <v>1</v>
      </c>
      <c r="U11" s="6">
        <f t="shared" si="19"/>
        <v>1</v>
      </c>
      <c r="V11" s="6">
        <f t="shared" si="19"/>
        <v>1</v>
      </c>
      <c r="W11" s="6">
        <f t="shared" si="19"/>
        <v>1</v>
      </c>
      <c r="X11" s="6">
        <f t="shared" si="19"/>
        <v>1</v>
      </c>
      <c r="Y11" s="6">
        <f t="shared" si="19"/>
        <v>1</v>
      </c>
      <c r="Z11" s="6">
        <f t="shared" si="19"/>
        <v>1</v>
      </c>
      <c r="AA11" s="6">
        <f t="shared" si="19"/>
        <v>1</v>
      </c>
      <c r="AB11" s="6">
        <f t="shared" si="19"/>
        <v>1</v>
      </c>
      <c r="AC11" s="6">
        <f t="shared" si="19"/>
        <v>1</v>
      </c>
      <c r="AD11" s="6">
        <f t="shared" si="19"/>
        <v>1</v>
      </c>
      <c r="AE11" s="6">
        <f t="shared" si="19"/>
        <v>1</v>
      </c>
      <c r="AF11" s="6">
        <f t="shared" si="19"/>
        <v>1</v>
      </c>
      <c r="AG11" s="6">
        <f t="shared" si="19"/>
        <v>1</v>
      </c>
      <c r="AH11" s="6">
        <f t="shared" si="19"/>
        <v>1</v>
      </c>
      <c r="AI11" s="6">
        <f t="shared" si="19"/>
        <v>1</v>
      </c>
      <c r="AJ11" s="6">
        <f t="shared" si="19"/>
        <v>1</v>
      </c>
      <c r="AK11" s="6">
        <f t="shared" si="19"/>
        <v>1</v>
      </c>
      <c r="AL11" s="6">
        <f t="shared" si="19"/>
        <v>1</v>
      </c>
      <c r="AM11" s="6">
        <f t="shared" ref="AM11:BR11" si="20">IF(AM$8&gt;=purchase_date,1,0)</f>
        <v>1</v>
      </c>
      <c r="AN11" s="6">
        <f t="shared" si="20"/>
        <v>1</v>
      </c>
      <c r="AO11" s="6">
        <f t="shared" si="20"/>
        <v>1</v>
      </c>
      <c r="AP11" s="6">
        <f t="shared" si="20"/>
        <v>1</v>
      </c>
      <c r="AQ11" s="6">
        <f t="shared" si="20"/>
        <v>1</v>
      </c>
      <c r="AR11" s="6">
        <f t="shared" si="20"/>
        <v>1</v>
      </c>
      <c r="AS11" s="6">
        <f t="shared" si="20"/>
        <v>1</v>
      </c>
      <c r="AT11" s="6">
        <f t="shared" si="20"/>
        <v>1</v>
      </c>
      <c r="AU11" s="6">
        <f t="shared" si="20"/>
        <v>1</v>
      </c>
      <c r="AV11" s="6">
        <f t="shared" si="20"/>
        <v>1</v>
      </c>
      <c r="AW11" s="6">
        <f t="shared" si="20"/>
        <v>1</v>
      </c>
      <c r="AX11" s="6">
        <f t="shared" si="20"/>
        <v>1</v>
      </c>
      <c r="AY11" s="6">
        <f t="shared" si="20"/>
        <v>1</v>
      </c>
      <c r="AZ11" s="6">
        <f t="shared" si="20"/>
        <v>1</v>
      </c>
      <c r="BA11" s="6">
        <f t="shared" si="20"/>
        <v>1</v>
      </c>
      <c r="BB11" s="6">
        <f t="shared" si="20"/>
        <v>1</v>
      </c>
      <c r="BC11" s="6">
        <f t="shared" si="20"/>
        <v>1</v>
      </c>
      <c r="BD11" s="6">
        <f t="shared" si="20"/>
        <v>1</v>
      </c>
      <c r="BE11" s="6">
        <f t="shared" si="20"/>
        <v>1</v>
      </c>
      <c r="BF11" s="6">
        <f t="shared" si="20"/>
        <v>1</v>
      </c>
      <c r="BG11" s="6">
        <f t="shared" si="20"/>
        <v>1</v>
      </c>
      <c r="BH11" s="6">
        <f t="shared" si="20"/>
        <v>1</v>
      </c>
      <c r="BI11" s="6">
        <f t="shared" si="20"/>
        <v>1</v>
      </c>
      <c r="BJ11" s="6">
        <f t="shared" si="20"/>
        <v>1</v>
      </c>
      <c r="BK11" s="6">
        <f t="shared" si="20"/>
        <v>1</v>
      </c>
      <c r="BL11" s="6">
        <f t="shared" si="20"/>
        <v>1</v>
      </c>
      <c r="BM11" s="6">
        <f t="shared" si="20"/>
        <v>1</v>
      </c>
      <c r="BN11" s="6">
        <f t="shared" si="20"/>
        <v>1</v>
      </c>
      <c r="BO11" s="6">
        <f t="shared" si="20"/>
        <v>1</v>
      </c>
      <c r="BP11" s="6">
        <f t="shared" si="20"/>
        <v>1</v>
      </c>
      <c r="BQ11" s="6">
        <f t="shared" si="20"/>
        <v>1</v>
      </c>
      <c r="BR11" s="6">
        <f t="shared" si="20"/>
        <v>1</v>
      </c>
      <c r="BS11" s="6">
        <f t="shared" ref="BS11:CX11" si="21">IF(BS$8&gt;=purchase_date,1,0)</f>
        <v>1</v>
      </c>
      <c r="BT11" s="6">
        <f t="shared" si="21"/>
        <v>1</v>
      </c>
      <c r="BU11" s="6">
        <f t="shared" si="21"/>
        <v>1</v>
      </c>
      <c r="BV11" s="6">
        <f t="shared" si="21"/>
        <v>1</v>
      </c>
      <c r="BW11" s="6">
        <f t="shared" si="21"/>
        <v>1</v>
      </c>
      <c r="BX11" s="6">
        <f t="shared" si="21"/>
        <v>1</v>
      </c>
      <c r="BY11" s="6">
        <f t="shared" si="21"/>
        <v>1</v>
      </c>
      <c r="BZ11" s="6">
        <f t="shared" si="21"/>
        <v>1</v>
      </c>
      <c r="CA11" s="6">
        <f t="shared" si="21"/>
        <v>1</v>
      </c>
      <c r="CB11" s="6">
        <f t="shared" si="21"/>
        <v>1</v>
      </c>
      <c r="CC11" s="6">
        <f t="shared" si="21"/>
        <v>1</v>
      </c>
      <c r="CD11" s="6">
        <f t="shared" si="21"/>
        <v>1</v>
      </c>
      <c r="CE11" s="6">
        <f t="shared" si="21"/>
        <v>1</v>
      </c>
      <c r="CF11" s="6">
        <f t="shared" si="21"/>
        <v>1</v>
      </c>
      <c r="CG11" s="6">
        <f t="shared" si="21"/>
        <v>1</v>
      </c>
      <c r="CH11" s="6">
        <f t="shared" si="21"/>
        <v>1</v>
      </c>
      <c r="CI11" s="6">
        <f t="shared" si="21"/>
        <v>1</v>
      </c>
      <c r="CJ11" s="6">
        <f t="shared" si="21"/>
        <v>1</v>
      </c>
      <c r="CK11" s="6">
        <f t="shared" si="21"/>
        <v>1</v>
      </c>
      <c r="CL11" s="6">
        <f t="shared" si="21"/>
        <v>1</v>
      </c>
      <c r="CM11" s="6">
        <f t="shared" si="21"/>
        <v>1</v>
      </c>
      <c r="CN11" s="6">
        <f t="shared" si="21"/>
        <v>1</v>
      </c>
      <c r="CO11" s="6">
        <f t="shared" si="21"/>
        <v>1</v>
      </c>
      <c r="CP11" s="6">
        <f t="shared" si="21"/>
        <v>1</v>
      </c>
      <c r="CQ11" s="6">
        <f t="shared" si="21"/>
        <v>1</v>
      </c>
      <c r="CR11" s="6">
        <f t="shared" si="21"/>
        <v>1</v>
      </c>
      <c r="CS11" s="6">
        <f t="shared" si="21"/>
        <v>1</v>
      </c>
      <c r="CT11" s="6">
        <f t="shared" si="21"/>
        <v>1</v>
      </c>
      <c r="CU11" s="6">
        <f t="shared" si="21"/>
        <v>1</v>
      </c>
      <c r="CV11" s="6">
        <f t="shared" si="21"/>
        <v>1</v>
      </c>
      <c r="CW11" s="6">
        <f t="shared" si="21"/>
        <v>1</v>
      </c>
      <c r="CX11" s="6">
        <f t="shared" si="21"/>
        <v>1</v>
      </c>
      <c r="CY11" s="6">
        <f t="shared" ref="CY11:ED11" si="22">IF(CY$8&gt;=purchase_date,1,0)</f>
        <v>1</v>
      </c>
      <c r="CZ11" s="6">
        <f t="shared" si="22"/>
        <v>1</v>
      </c>
      <c r="DA11" s="6">
        <f t="shared" si="22"/>
        <v>1</v>
      </c>
      <c r="DB11" s="6">
        <f t="shared" si="22"/>
        <v>1</v>
      </c>
      <c r="DC11" s="6">
        <f t="shared" si="22"/>
        <v>1</v>
      </c>
      <c r="DD11" s="6">
        <f t="shared" si="22"/>
        <v>1</v>
      </c>
      <c r="DE11" s="6">
        <f t="shared" si="22"/>
        <v>1</v>
      </c>
      <c r="DF11" s="6">
        <f t="shared" si="22"/>
        <v>1</v>
      </c>
      <c r="DG11" s="6">
        <f t="shared" si="22"/>
        <v>1</v>
      </c>
      <c r="DH11" s="6">
        <f t="shared" si="22"/>
        <v>1</v>
      </c>
      <c r="DI11" s="6">
        <f t="shared" si="22"/>
        <v>1</v>
      </c>
      <c r="DJ11" s="6">
        <f t="shared" si="22"/>
        <v>1</v>
      </c>
      <c r="DK11" s="6">
        <f t="shared" si="22"/>
        <v>1</v>
      </c>
      <c r="DL11" s="6">
        <f t="shared" si="22"/>
        <v>1</v>
      </c>
      <c r="DM11" s="6">
        <f t="shared" si="22"/>
        <v>1</v>
      </c>
      <c r="DN11" s="6">
        <f t="shared" si="22"/>
        <v>1</v>
      </c>
      <c r="DO11" s="6">
        <f t="shared" si="22"/>
        <v>1</v>
      </c>
      <c r="DP11" s="6">
        <f t="shared" si="22"/>
        <v>1</v>
      </c>
      <c r="DQ11" s="6">
        <f t="shared" si="22"/>
        <v>1</v>
      </c>
      <c r="DR11" s="6">
        <f t="shared" si="22"/>
        <v>1</v>
      </c>
      <c r="DS11" s="6">
        <f t="shared" si="22"/>
        <v>1</v>
      </c>
      <c r="DT11" s="6">
        <f t="shared" si="22"/>
        <v>1</v>
      </c>
      <c r="DU11" s="6">
        <f t="shared" si="22"/>
        <v>1</v>
      </c>
      <c r="DV11" s="6">
        <f t="shared" si="22"/>
        <v>1</v>
      </c>
      <c r="DW11" s="6">
        <f t="shared" si="22"/>
        <v>1</v>
      </c>
      <c r="DX11" s="6">
        <f t="shared" si="22"/>
        <v>1</v>
      </c>
      <c r="DY11" s="6">
        <f t="shared" si="22"/>
        <v>1</v>
      </c>
      <c r="DZ11" s="6">
        <f t="shared" si="22"/>
        <v>1</v>
      </c>
      <c r="EA11" s="6">
        <f t="shared" si="22"/>
        <v>1</v>
      </c>
      <c r="EB11" s="6">
        <f t="shared" si="22"/>
        <v>1</v>
      </c>
      <c r="EC11" s="6">
        <f t="shared" si="22"/>
        <v>1</v>
      </c>
      <c r="ED11" s="6">
        <f t="shared" si="22"/>
        <v>1</v>
      </c>
      <c r="EE11" s="6">
        <f t="shared" ref="EE11:FJ11" si="23">IF(EE$8&gt;=purchase_date,1,0)</f>
        <v>1</v>
      </c>
      <c r="EF11" s="6">
        <f t="shared" si="23"/>
        <v>1</v>
      </c>
      <c r="EG11" s="6">
        <f t="shared" si="23"/>
        <v>1</v>
      </c>
      <c r="EH11" s="6">
        <f t="shared" si="23"/>
        <v>1</v>
      </c>
      <c r="EI11" s="6">
        <f t="shared" si="23"/>
        <v>1</v>
      </c>
      <c r="EJ11" s="6">
        <f t="shared" si="23"/>
        <v>1</v>
      </c>
      <c r="EK11" s="6">
        <f t="shared" si="23"/>
        <v>1</v>
      </c>
      <c r="EL11" s="6">
        <f t="shared" si="23"/>
        <v>1</v>
      </c>
      <c r="EM11" s="6">
        <f t="shared" si="23"/>
        <v>1</v>
      </c>
      <c r="EN11" s="6">
        <f t="shared" si="23"/>
        <v>1</v>
      </c>
      <c r="EO11" s="6">
        <f t="shared" si="23"/>
        <v>1</v>
      </c>
      <c r="EP11" s="6">
        <f t="shared" si="23"/>
        <v>1</v>
      </c>
      <c r="EQ11" s="6">
        <f t="shared" si="23"/>
        <v>1</v>
      </c>
      <c r="ER11" s="6">
        <f t="shared" si="23"/>
        <v>1</v>
      </c>
      <c r="ES11" s="6">
        <f t="shared" si="23"/>
        <v>1</v>
      </c>
      <c r="ET11" s="6">
        <f t="shared" si="23"/>
        <v>1</v>
      </c>
      <c r="EU11" s="6">
        <f t="shared" si="23"/>
        <v>1</v>
      </c>
      <c r="EV11" s="6">
        <f t="shared" si="23"/>
        <v>1</v>
      </c>
      <c r="EW11" s="6">
        <f t="shared" si="23"/>
        <v>1</v>
      </c>
      <c r="EX11" s="6">
        <f t="shared" si="23"/>
        <v>1</v>
      </c>
      <c r="EY11" s="6">
        <f t="shared" si="23"/>
        <v>1</v>
      </c>
      <c r="EZ11" s="6">
        <f t="shared" si="23"/>
        <v>1</v>
      </c>
      <c r="FA11" s="6">
        <f t="shared" si="23"/>
        <v>1</v>
      </c>
      <c r="FB11" s="6">
        <f t="shared" si="23"/>
        <v>1</v>
      </c>
      <c r="FC11" s="6">
        <f t="shared" si="23"/>
        <v>1</v>
      </c>
      <c r="FD11" s="6">
        <f t="shared" si="23"/>
        <v>1</v>
      </c>
      <c r="FE11" s="6">
        <f t="shared" si="23"/>
        <v>1</v>
      </c>
      <c r="FF11" s="6">
        <f t="shared" si="23"/>
        <v>1</v>
      </c>
      <c r="FG11" s="6">
        <f t="shared" si="23"/>
        <v>1</v>
      </c>
      <c r="FH11" s="6">
        <f t="shared" si="23"/>
        <v>1</v>
      </c>
      <c r="FI11" s="6">
        <f t="shared" si="23"/>
        <v>1</v>
      </c>
      <c r="FJ11" s="6">
        <f t="shared" si="23"/>
        <v>1</v>
      </c>
      <c r="FK11" s="6">
        <f t="shared" ref="FK11:GM11" si="24">IF(FK$8&gt;=purchase_date,1,0)</f>
        <v>1</v>
      </c>
      <c r="FL11" s="6">
        <f t="shared" si="24"/>
        <v>1</v>
      </c>
      <c r="FM11" s="6">
        <f t="shared" si="24"/>
        <v>1</v>
      </c>
      <c r="FN11" s="6">
        <f t="shared" si="24"/>
        <v>1</v>
      </c>
      <c r="FO11" s="6">
        <f t="shared" si="24"/>
        <v>1</v>
      </c>
      <c r="FP11" s="6">
        <f t="shared" si="24"/>
        <v>1</v>
      </c>
      <c r="FQ11" s="6">
        <f t="shared" si="24"/>
        <v>1</v>
      </c>
      <c r="FR11" s="6">
        <f t="shared" si="24"/>
        <v>1</v>
      </c>
      <c r="FS11" s="6">
        <f t="shared" si="24"/>
        <v>1</v>
      </c>
      <c r="FT11" s="6">
        <f t="shared" si="24"/>
        <v>1</v>
      </c>
      <c r="FU11" s="6">
        <f t="shared" si="24"/>
        <v>1</v>
      </c>
      <c r="FV11" s="6">
        <f t="shared" si="24"/>
        <v>1</v>
      </c>
      <c r="FW11" s="6">
        <f t="shared" si="24"/>
        <v>1</v>
      </c>
      <c r="FX11" s="6">
        <f t="shared" si="24"/>
        <v>1</v>
      </c>
      <c r="FY11" s="6">
        <f t="shared" si="24"/>
        <v>1</v>
      </c>
      <c r="FZ11" s="6">
        <f t="shared" si="24"/>
        <v>1</v>
      </c>
      <c r="GA11" s="6">
        <f t="shared" si="24"/>
        <v>1</v>
      </c>
      <c r="GB11" s="6">
        <f t="shared" si="24"/>
        <v>1</v>
      </c>
      <c r="GC11" s="6">
        <f t="shared" si="24"/>
        <v>1</v>
      </c>
      <c r="GD11" s="6">
        <f t="shared" si="24"/>
        <v>1</v>
      </c>
      <c r="GE11" s="6">
        <f t="shared" si="24"/>
        <v>1</v>
      </c>
      <c r="GF11" s="6">
        <f t="shared" si="24"/>
        <v>1</v>
      </c>
      <c r="GG11" s="6">
        <f t="shared" si="24"/>
        <v>1</v>
      </c>
      <c r="GH11" s="6">
        <f t="shared" si="24"/>
        <v>1</v>
      </c>
      <c r="GI11" s="6">
        <f t="shared" si="24"/>
        <v>1</v>
      </c>
      <c r="GJ11" s="6">
        <f t="shared" si="24"/>
        <v>1</v>
      </c>
      <c r="GK11" s="6">
        <f t="shared" si="24"/>
        <v>1</v>
      </c>
      <c r="GL11" s="6">
        <f t="shared" si="24"/>
        <v>1</v>
      </c>
      <c r="GM11" s="6">
        <f t="shared" si="24"/>
        <v>1</v>
      </c>
    </row>
    <row r="12" spans="1:366" s="6" customFormat="1" ht="16" customHeight="1" x14ac:dyDescent="0.15">
      <c r="A12"/>
      <c r="B12" t="s">
        <v>165</v>
      </c>
      <c r="C12"/>
      <c r="D12"/>
      <c r="E12" s="134"/>
      <c r="F12" s="6">
        <v>0</v>
      </c>
      <c r="G12" s="6">
        <f>IF(AND(G$7&gt;='Assumptions_&amp;_Inputs'!$I$41,G$7&lt;'Assumptions_&amp;_Inputs'!$I$47),1,0)</f>
        <v>1</v>
      </c>
      <c r="H12" s="6">
        <f>IF(AND(H$7&gt;='Assumptions_&amp;_Inputs'!$I$41,H$7&lt;'Assumptions_&amp;_Inputs'!$I$47),1,0)</f>
        <v>1</v>
      </c>
      <c r="I12" s="6">
        <f>IF(AND(I$7&gt;='Assumptions_&amp;_Inputs'!$I$41,I$7&lt;'Assumptions_&amp;_Inputs'!$I$47),1,0)</f>
        <v>1</v>
      </c>
      <c r="J12" s="6">
        <f>IF(AND(J$7&gt;='Assumptions_&amp;_Inputs'!$I$41,J$7&lt;'Assumptions_&amp;_Inputs'!$I$47),1,0)</f>
        <v>1</v>
      </c>
      <c r="K12" s="6">
        <f>IF(AND(K$7&gt;='Assumptions_&amp;_Inputs'!$I$41,K$7&lt;'Assumptions_&amp;_Inputs'!$I$47),1,0)</f>
        <v>1</v>
      </c>
      <c r="L12" s="6">
        <f>IF(AND(L$7&gt;='Assumptions_&amp;_Inputs'!$I$41,L$7&lt;'Assumptions_&amp;_Inputs'!$I$47),1,0)</f>
        <v>1</v>
      </c>
      <c r="M12" s="6">
        <f>IF(AND(M$7&gt;='Assumptions_&amp;_Inputs'!$I$41,M$7&lt;'Assumptions_&amp;_Inputs'!$I$47),1,0)</f>
        <v>1</v>
      </c>
      <c r="N12" s="6">
        <f>IF(AND(N$7&gt;='Assumptions_&amp;_Inputs'!$I$41,N$7&lt;'Assumptions_&amp;_Inputs'!$I$47),1,0)</f>
        <v>1</v>
      </c>
      <c r="O12" s="6">
        <f>IF(AND(O$7&gt;='Assumptions_&amp;_Inputs'!$I$41,O$7&lt;'Assumptions_&amp;_Inputs'!$I$47),1,0)</f>
        <v>0</v>
      </c>
      <c r="P12" s="6">
        <f>IF(AND(P$7&gt;='Assumptions_&amp;_Inputs'!$I$41,P$7&lt;'Assumptions_&amp;_Inputs'!$I$47),1,0)</f>
        <v>0</v>
      </c>
      <c r="Q12" s="6">
        <f>IF(AND(Q$7&gt;='Assumptions_&amp;_Inputs'!$I$41,Q$7&lt;'Assumptions_&amp;_Inputs'!$I$47),1,0)</f>
        <v>0</v>
      </c>
      <c r="R12" s="6">
        <f>IF(AND(R$7&gt;='Assumptions_&amp;_Inputs'!$I$41,R$7&lt;'Assumptions_&amp;_Inputs'!$I$47),1,0)</f>
        <v>0</v>
      </c>
      <c r="S12" s="6">
        <f>IF(AND(S$7&gt;='Assumptions_&amp;_Inputs'!$I$41,S$7&lt;'Assumptions_&amp;_Inputs'!$I$47),1,0)</f>
        <v>0</v>
      </c>
      <c r="T12" s="6">
        <f>IF(AND(T$7&gt;='Assumptions_&amp;_Inputs'!$I$41,T$7&lt;'Assumptions_&amp;_Inputs'!$I$47),1,0)</f>
        <v>0</v>
      </c>
      <c r="U12" s="6">
        <f>IF(AND(U$7&gt;='Assumptions_&amp;_Inputs'!$I$41,U$7&lt;'Assumptions_&amp;_Inputs'!$I$47),1,0)</f>
        <v>0</v>
      </c>
      <c r="V12" s="6">
        <f>IF(AND(V$7&gt;='Assumptions_&amp;_Inputs'!$I$41,V$7&lt;'Assumptions_&amp;_Inputs'!$I$47),1,0)</f>
        <v>0</v>
      </c>
      <c r="W12" s="6">
        <f>IF(AND(W$7&gt;='Assumptions_&amp;_Inputs'!$I$41,W$7&lt;'Assumptions_&amp;_Inputs'!$I$47),1,0)</f>
        <v>0</v>
      </c>
      <c r="X12" s="6">
        <f>IF(AND(X$7&gt;='Assumptions_&amp;_Inputs'!$I$41,X$7&lt;'Assumptions_&amp;_Inputs'!$I$47),1,0)</f>
        <v>0</v>
      </c>
      <c r="Y12" s="6">
        <f>IF(AND(Y$7&gt;='Assumptions_&amp;_Inputs'!$I$41,Y$7&lt;'Assumptions_&amp;_Inputs'!$I$47),1,0)</f>
        <v>0</v>
      </c>
      <c r="Z12" s="6">
        <f>IF(AND(Z$7&gt;='Assumptions_&amp;_Inputs'!$I$41,Z$7&lt;'Assumptions_&amp;_Inputs'!$I$47),1,0)</f>
        <v>0</v>
      </c>
      <c r="AA12" s="6">
        <f>IF(AND(AA$7&gt;='Assumptions_&amp;_Inputs'!$I$41,AA$7&lt;'Assumptions_&amp;_Inputs'!$I$47),1,0)</f>
        <v>0</v>
      </c>
      <c r="AB12" s="6">
        <f>IF(AND(AB$7&gt;='Assumptions_&amp;_Inputs'!$I$41,AB$7&lt;'Assumptions_&amp;_Inputs'!$I$47),1,0)</f>
        <v>0</v>
      </c>
      <c r="AC12" s="6">
        <f>IF(AND(AC$7&gt;='Assumptions_&amp;_Inputs'!$I$41,AC$7&lt;'Assumptions_&amp;_Inputs'!$I$47),1,0)</f>
        <v>0</v>
      </c>
      <c r="AD12" s="6">
        <f>IF(AND(AD$7&gt;='Assumptions_&amp;_Inputs'!$I$41,AD$7&lt;'Assumptions_&amp;_Inputs'!$I$47),1,0)</f>
        <v>0</v>
      </c>
      <c r="AE12" s="6">
        <f>IF(AND(AE$7&gt;='Assumptions_&amp;_Inputs'!$I$41,AE$7&lt;'Assumptions_&amp;_Inputs'!$I$47),1,0)</f>
        <v>0</v>
      </c>
      <c r="AF12" s="6">
        <f>IF(AND(AF$7&gt;='Assumptions_&amp;_Inputs'!$I$41,AF$7&lt;'Assumptions_&amp;_Inputs'!$I$47),1,0)</f>
        <v>0</v>
      </c>
      <c r="AG12" s="6">
        <f>IF(AND(AG$7&gt;='Assumptions_&amp;_Inputs'!$I$41,AG$7&lt;'Assumptions_&amp;_Inputs'!$I$47),1,0)</f>
        <v>0</v>
      </c>
      <c r="AH12" s="6">
        <f>IF(AND(AH$7&gt;='Assumptions_&amp;_Inputs'!$I$41,AH$7&lt;'Assumptions_&amp;_Inputs'!$I$47),1,0)</f>
        <v>0</v>
      </c>
      <c r="AI12" s="6">
        <f>IF(AND(AI$7&gt;='Assumptions_&amp;_Inputs'!$I$41,AI$7&lt;'Assumptions_&amp;_Inputs'!$I$47),1,0)</f>
        <v>0</v>
      </c>
      <c r="AJ12" s="6">
        <f>IF(AND(AJ$7&gt;='Assumptions_&amp;_Inputs'!$I$41,AJ$7&lt;'Assumptions_&amp;_Inputs'!$I$47),1,0)</f>
        <v>0</v>
      </c>
      <c r="AK12" s="6">
        <f>IF(AND(AK$7&gt;='Assumptions_&amp;_Inputs'!$I$41,AK$7&lt;'Assumptions_&amp;_Inputs'!$I$47),1,0)</f>
        <v>0</v>
      </c>
      <c r="AL12" s="6">
        <f>IF(AND(AL$7&gt;='Assumptions_&amp;_Inputs'!$I$41,AL$7&lt;'Assumptions_&amp;_Inputs'!$I$47),1,0)</f>
        <v>0</v>
      </c>
      <c r="AM12" s="6">
        <f>IF(AND(AM$7&gt;='Assumptions_&amp;_Inputs'!$I$41,AM$7&lt;'Assumptions_&amp;_Inputs'!$I$47),1,0)</f>
        <v>0</v>
      </c>
      <c r="AN12" s="6">
        <f>IF(AND(AN$7&gt;='Assumptions_&amp;_Inputs'!$I$41,AN$7&lt;'Assumptions_&amp;_Inputs'!$I$47),1,0)</f>
        <v>0</v>
      </c>
      <c r="AO12" s="6">
        <f>IF(AND(AO$7&gt;='Assumptions_&amp;_Inputs'!$I$41,AO$7&lt;'Assumptions_&amp;_Inputs'!$I$47),1,0)</f>
        <v>0</v>
      </c>
      <c r="AP12" s="6">
        <f>IF(AND(AP$7&gt;='Assumptions_&amp;_Inputs'!$I$41,AP$7&lt;'Assumptions_&amp;_Inputs'!$I$47),1,0)</f>
        <v>0</v>
      </c>
      <c r="AQ12" s="6">
        <f>IF(AND(AQ$7&gt;='Assumptions_&amp;_Inputs'!$I$41,AQ$7&lt;'Assumptions_&amp;_Inputs'!$I$47),1,0)</f>
        <v>0</v>
      </c>
      <c r="AR12" s="6">
        <f>IF(AND(AR$7&gt;='Assumptions_&amp;_Inputs'!$I$41,AR$7&lt;'Assumptions_&amp;_Inputs'!$I$47),1,0)</f>
        <v>0</v>
      </c>
      <c r="AS12" s="6">
        <f>IF(AND(AS$7&gt;='Assumptions_&amp;_Inputs'!$I$41,AS$7&lt;'Assumptions_&amp;_Inputs'!$I$47),1,0)</f>
        <v>0</v>
      </c>
      <c r="AT12" s="6">
        <f>IF(AND(AT$7&gt;='Assumptions_&amp;_Inputs'!$I$41,AT$7&lt;'Assumptions_&amp;_Inputs'!$I$47),1,0)</f>
        <v>0</v>
      </c>
      <c r="AU12" s="6">
        <f>IF(AND(AU$7&gt;='Assumptions_&amp;_Inputs'!$I$41,AU$7&lt;'Assumptions_&amp;_Inputs'!$I$47),1,0)</f>
        <v>0</v>
      </c>
      <c r="AV12" s="6">
        <f>IF(AND(AV$7&gt;='Assumptions_&amp;_Inputs'!$I$41,AV$7&lt;'Assumptions_&amp;_Inputs'!$I$47),1,0)</f>
        <v>0</v>
      </c>
      <c r="AW12" s="6">
        <f>IF(AND(AW$7&gt;='Assumptions_&amp;_Inputs'!$I$41,AW$7&lt;'Assumptions_&amp;_Inputs'!$I$47),1,0)</f>
        <v>0</v>
      </c>
      <c r="AX12" s="6">
        <f>IF(AND(AX$7&gt;='Assumptions_&amp;_Inputs'!$I$41,AX$7&lt;'Assumptions_&amp;_Inputs'!$I$47),1,0)</f>
        <v>0</v>
      </c>
      <c r="AY12" s="6">
        <f>IF(AND(AY$7&gt;='Assumptions_&amp;_Inputs'!$I$41,AY$7&lt;'Assumptions_&amp;_Inputs'!$I$47),1,0)</f>
        <v>0</v>
      </c>
      <c r="AZ12" s="6">
        <f>IF(AND(AZ$7&gt;='Assumptions_&amp;_Inputs'!$I$41,AZ$7&lt;'Assumptions_&amp;_Inputs'!$I$47),1,0)</f>
        <v>0</v>
      </c>
      <c r="BA12" s="6">
        <f>IF(AND(BA$7&gt;='Assumptions_&amp;_Inputs'!$I$41,BA$7&lt;'Assumptions_&amp;_Inputs'!$I$47),1,0)</f>
        <v>0</v>
      </c>
      <c r="BB12" s="6">
        <f>IF(AND(BB$7&gt;='Assumptions_&amp;_Inputs'!$I$41,BB$7&lt;'Assumptions_&amp;_Inputs'!$I$47),1,0)</f>
        <v>0</v>
      </c>
      <c r="BC12" s="6">
        <f>IF(AND(BC$7&gt;='Assumptions_&amp;_Inputs'!$I$41,BC$7&lt;'Assumptions_&amp;_Inputs'!$I$47),1,0)</f>
        <v>0</v>
      </c>
      <c r="BD12" s="6">
        <f>IF(AND(BD$7&gt;='Assumptions_&amp;_Inputs'!$I$41,BD$7&lt;'Assumptions_&amp;_Inputs'!$I$47),1,0)</f>
        <v>0</v>
      </c>
      <c r="BE12" s="6">
        <f>IF(AND(BE$7&gt;='Assumptions_&amp;_Inputs'!$I$41,BE$7&lt;'Assumptions_&amp;_Inputs'!$I$47),1,0)</f>
        <v>0</v>
      </c>
      <c r="BF12" s="6">
        <f>IF(AND(BF$7&gt;='Assumptions_&amp;_Inputs'!$I$41,BF$7&lt;'Assumptions_&amp;_Inputs'!$I$47),1,0)</f>
        <v>0</v>
      </c>
      <c r="BG12" s="6">
        <f>IF(AND(BG$7&gt;='Assumptions_&amp;_Inputs'!$I$41,BG$7&lt;'Assumptions_&amp;_Inputs'!$I$47),1,0)</f>
        <v>0</v>
      </c>
      <c r="BH12" s="6">
        <f>IF(AND(BH$7&gt;='Assumptions_&amp;_Inputs'!$I$41,BH$7&lt;'Assumptions_&amp;_Inputs'!$I$47),1,0)</f>
        <v>0</v>
      </c>
      <c r="BI12" s="6">
        <f>IF(AND(BI$7&gt;='Assumptions_&amp;_Inputs'!$I$41,BI$7&lt;'Assumptions_&amp;_Inputs'!$I$47),1,0)</f>
        <v>0</v>
      </c>
      <c r="BJ12" s="6">
        <f>IF(AND(BJ$7&gt;='Assumptions_&amp;_Inputs'!$I$41,BJ$7&lt;'Assumptions_&amp;_Inputs'!$I$47),1,0)</f>
        <v>0</v>
      </c>
      <c r="BK12" s="6">
        <f>IF(AND(BK$7&gt;='Assumptions_&amp;_Inputs'!$I$41,BK$7&lt;'Assumptions_&amp;_Inputs'!$I$47),1,0)</f>
        <v>0</v>
      </c>
      <c r="BL12" s="6">
        <f>IF(AND(BL$7&gt;='Assumptions_&amp;_Inputs'!$I$41,BL$7&lt;'Assumptions_&amp;_Inputs'!$I$47),1,0)</f>
        <v>0</v>
      </c>
      <c r="BM12" s="6">
        <f>IF(AND(BM$7&gt;='Assumptions_&amp;_Inputs'!$I$41,BM$7&lt;'Assumptions_&amp;_Inputs'!$I$47),1,0)</f>
        <v>0</v>
      </c>
      <c r="BN12" s="6">
        <f>IF(AND(BN$7&gt;='Assumptions_&amp;_Inputs'!$I$41,BN$7&lt;'Assumptions_&amp;_Inputs'!$I$47),1,0)</f>
        <v>0</v>
      </c>
      <c r="BO12" s="6">
        <f>IF(AND(BO$7&gt;='Assumptions_&amp;_Inputs'!$I$41,BO$7&lt;'Assumptions_&amp;_Inputs'!$I$47),1,0)</f>
        <v>0</v>
      </c>
      <c r="BP12" s="6">
        <f>IF(AND(BP$7&gt;='Assumptions_&amp;_Inputs'!$I$41,BP$7&lt;'Assumptions_&amp;_Inputs'!$I$47),1,0)</f>
        <v>0</v>
      </c>
      <c r="BQ12" s="6">
        <f>IF(AND(BQ$7&gt;='Assumptions_&amp;_Inputs'!$I$41,BQ$7&lt;'Assumptions_&amp;_Inputs'!$I$47),1,0)</f>
        <v>0</v>
      </c>
      <c r="BR12" s="6">
        <f>IF(AND(BR$7&gt;='Assumptions_&amp;_Inputs'!$I$41,BR$7&lt;'Assumptions_&amp;_Inputs'!$I$47),1,0)</f>
        <v>0</v>
      </c>
      <c r="BS12" s="6">
        <f>IF(AND(BS$7&gt;='Assumptions_&amp;_Inputs'!$I$41,BS$7&lt;'Assumptions_&amp;_Inputs'!$I$47),1,0)</f>
        <v>0</v>
      </c>
      <c r="BT12" s="6">
        <f>IF(AND(BT$7&gt;='Assumptions_&amp;_Inputs'!$I$41,BT$7&lt;'Assumptions_&amp;_Inputs'!$I$47),1,0)</f>
        <v>0</v>
      </c>
      <c r="BU12" s="6">
        <f>IF(AND(BU$7&gt;='Assumptions_&amp;_Inputs'!$I$41,BU$7&lt;'Assumptions_&amp;_Inputs'!$I$47),1,0)</f>
        <v>0</v>
      </c>
      <c r="BV12" s="6">
        <f>IF(AND(BV$7&gt;='Assumptions_&amp;_Inputs'!$I$41,BV$7&lt;'Assumptions_&amp;_Inputs'!$I$47),1,0)</f>
        <v>0</v>
      </c>
      <c r="BW12" s="6">
        <f>IF(AND(BW$7&gt;='Assumptions_&amp;_Inputs'!$I$41,BW$7&lt;'Assumptions_&amp;_Inputs'!$I$47),1,0)</f>
        <v>0</v>
      </c>
      <c r="BX12" s="6">
        <f>IF(AND(BX$7&gt;='Assumptions_&amp;_Inputs'!$I$41,BX$7&lt;'Assumptions_&amp;_Inputs'!$I$47),1,0)</f>
        <v>0</v>
      </c>
      <c r="BY12" s="6">
        <f>IF(AND(BY$7&gt;='Assumptions_&amp;_Inputs'!$I$41,BY$7&lt;'Assumptions_&amp;_Inputs'!$I$47),1,0)</f>
        <v>0</v>
      </c>
      <c r="BZ12" s="6">
        <f>IF(AND(BZ$7&gt;='Assumptions_&amp;_Inputs'!$I$41,BZ$7&lt;'Assumptions_&amp;_Inputs'!$I$47),1,0)</f>
        <v>0</v>
      </c>
      <c r="CA12" s="6">
        <f>IF(AND(CA$7&gt;='Assumptions_&amp;_Inputs'!$I$41,CA$7&lt;'Assumptions_&amp;_Inputs'!$I$47),1,0)</f>
        <v>0</v>
      </c>
      <c r="CB12" s="6">
        <f>IF(AND(CB$7&gt;='Assumptions_&amp;_Inputs'!$I$41,CB$7&lt;'Assumptions_&amp;_Inputs'!$I$47),1,0)</f>
        <v>0</v>
      </c>
      <c r="CC12" s="6">
        <f>IF(AND(CC$7&gt;='Assumptions_&amp;_Inputs'!$I$41,CC$7&lt;'Assumptions_&amp;_Inputs'!$I$47),1,0)</f>
        <v>0</v>
      </c>
      <c r="CD12" s="6">
        <f>IF(AND(CD$7&gt;='Assumptions_&amp;_Inputs'!$I$41,CD$7&lt;'Assumptions_&amp;_Inputs'!$I$47),1,0)</f>
        <v>0</v>
      </c>
      <c r="CE12" s="6">
        <f>IF(AND(CE$7&gt;='Assumptions_&amp;_Inputs'!$I$41,CE$7&lt;'Assumptions_&amp;_Inputs'!$I$47),1,0)</f>
        <v>0</v>
      </c>
      <c r="CF12" s="6">
        <f>IF(AND(CF$7&gt;='Assumptions_&amp;_Inputs'!$I$41,CF$7&lt;'Assumptions_&amp;_Inputs'!$I$47),1,0)</f>
        <v>0</v>
      </c>
      <c r="CG12" s="6">
        <f>IF(AND(CG$7&gt;='Assumptions_&amp;_Inputs'!$I$41,CG$7&lt;'Assumptions_&amp;_Inputs'!$I$47),1,0)</f>
        <v>0</v>
      </c>
      <c r="CH12" s="6">
        <f>IF(AND(CH$7&gt;='Assumptions_&amp;_Inputs'!$I$41,CH$7&lt;'Assumptions_&amp;_Inputs'!$I$47),1,0)</f>
        <v>0</v>
      </c>
      <c r="CI12" s="6">
        <f>IF(AND(CI$7&gt;='Assumptions_&amp;_Inputs'!$I$41,CI$7&lt;'Assumptions_&amp;_Inputs'!$I$47),1,0)</f>
        <v>0</v>
      </c>
      <c r="CJ12" s="6">
        <f>IF(AND(CJ$7&gt;='Assumptions_&amp;_Inputs'!$I$41,CJ$7&lt;'Assumptions_&amp;_Inputs'!$I$47),1,0)</f>
        <v>0</v>
      </c>
      <c r="CK12" s="6">
        <f>IF(AND(CK$7&gt;='Assumptions_&amp;_Inputs'!$I$41,CK$7&lt;'Assumptions_&amp;_Inputs'!$I$47),1,0)</f>
        <v>0</v>
      </c>
      <c r="CL12" s="6">
        <f>IF(AND(CL$7&gt;='Assumptions_&amp;_Inputs'!$I$41,CL$7&lt;'Assumptions_&amp;_Inputs'!$I$47),1,0)</f>
        <v>0</v>
      </c>
      <c r="CM12" s="6">
        <f>IF(AND(CM$7&gt;='Assumptions_&amp;_Inputs'!$I$41,CM$7&lt;'Assumptions_&amp;_Inputs'!$I$47),1,0)</f>
        <v>0</v>
      </c>
      <c r="CN12" s="6">
        <f>IF(AND(CN$7&gt;='Assumptions_&amp;_Inputs'!$I$41,CN$7&lt;'Assumptions_&amp;_Inputs'!$I$47),1,0)</f>
        <v>0</v>
      </c>
      <c r="CO12" s="6">
        <f>IF(AND(CO$7&gt;='Assumptions_&amp;_Inputs'!$I$41,CO$7&lt;'Assumptions_&amp;_Inputs'!$I$47),1,0)</f>
        <v>0</v>
      </c>
      <c r="CP12" s="6">
        <f>IF(AND(CP$7&gt;='Assumptions_&amp;_Inputs'!$I$41,CP$7&lt;'Assumptions_&amp;_Inputs'!$I$47),1,0)</f>
        <v>0</v>
      </c>
      <c r="CQ12" s="6">
        <f>IF(AND(CQ$7&gt;='Assumptions_&amp;_Inputs'!$I$41,CQ$7&lt;'Assumptions_&amp;_Inputs'!$I$47),1,0)</f>
        <v>0</v>
      </c>
      <c r="CR12" s="6">
        <f>IF(AND(CR$7&gt;='Assumptions_&amp;_Inputs'!$I$41,CR$7&lt;'Assumptions_&amp;_Inputs'!$I$47),1,0)</f>
        <v>0</v>
      </c>
      <c r="CS12" s="6">
        <f>IF(AND(CS$7&gt;='Assumptions_&amp;_Inputs'!$I$41,CS$7&lt;'Assumptions_&amp;_Inputs'!$I$47),1,0)</f>
        <v>0</v>
      </c>
      <c r="CT12" s="6">
        <f>IF(AND(CT$7&gt;='Assumptions_&amp;_Inputs'!$I$41,CT$7&lt;'Assumptions_&amp;_Inputs'!$I$47),1,0)</f>
        <v>0</v>
      </c>
      <c r="CU12" s="6">
        <f>IF(AND(CU$7&gt;='Assumptions_&amp;_Inputs'!$I$41,CU$7&lt;'Assumptions_&amp;_Inputs'!$I$47),1,0)</f>
        <v>0</v>
      </c>
      <c r="CV12" s="6">
        <f>IF(AND(CV$7&gt;='Assumptions_&amp;_Inputs'!$I$41,CV$7&lt;'Assumptions_&amp;_Inputs'!$I$47),1,0)</f>
        <v>0</v>
      </c>
      <c r="CW12" s="6">
        <f>IF(AND(CW$7&gt;='Assumptions_&amp;_Inputs'!$I$41,CW$7&lt;'Assumptions_&amp;_Inputs'!$I$47),1,0)</f>
        <v>0</v>
      </c>
      <c r="CX12" s="6">
        <f>IF(AND(CX$7&gt;='Assumptions_&amp;_Inputs'!$I$41,CX$7&lt;'Assumptions_&amp;_Inputs'!$I$47),1,0)</f>
        <v>0</v>
      </c>
      <c r="CY12" s="6">
        <f>IF(AND(CY$7&gt;='Assumptions_&amp;_Inputs'!$I$41,CY$7&lt;'Assumptions_&amp;_Inputs'!$I$47),1,0)</f>
        <v>0</v>
      </c>
      <c r="CZ12" s="6">
        <f>IF(AND(CZ$7&gt;='Assumptions_&amp;_Inputs'!$I$41,CZ$7&lt;'Assumptions_&amp;_Inputs'!$I$47),1,0)</f>
        <v>0</v>
      </c>
      <c r="DA12" s="6">
        <f>IF(AND(DA$7&gt;='Assumptions_&amp;_Inputs'!$I$41,DA$7&lt;'Assumptions_&amp;_Inputs'!$I$47),1,0)</f>
        <v>0</v>
      </c>
      <c r="DB12" s="6">
        <f>IF(AND(DB$7&gt;='Assumptions_&amp;_Inputs'!$I$41,DB$7&lt;'Assumptions_&amp;_Inputs'!$I$47),1,0)</f>
        <v>0</v>
      </c>
      <c r="DC12" s="6">
        <f>IF(AND(DC$7&gt;='Assumptions_&amp;_Inputs'!$I$41,DC$7&lt;'Assumptions_&amp;_Inputs'!$I$47),1,0)</f>
        <v>0</v>
      </c>
      <c r="DD12" s="6">
        <f>IF(AND(DD$7&gt;='Assumptions_&amp;_Inputs'!$I$41,DD$7&lt;'Assumptions_&amp;_Inputs'!$I$47),1,0)</f>
        <v>0</v>
      </c>
      <c r="DE12" s="6">
        <f>IF(AND(DE$7&gt;='Assumptions_&amp;_Inputs'!$I$41,DE$7&lt;'Assumptions_&amp;_Inputs'!$I$47),1,0)</f>
        <v>0</v>
      </c>
      <c r="DF12" s="6">
        <f>IF(AND(DF$7&gt;='Assumptions_&amp;_Inputs'!$I$41,DF$7&lt;'Assumptions_&amp;_Inputs'!$I$47),1,0)</f>
        <v>0</v>
      </c>
      <c r="DG12" s="6">
        <f>IF(AND(DG$7&gt;='Assumptions_&amp;_Inputs'!$I$41,DG$7&lt;'Assumptions_&amp;_Inputs'!$I$47),1,0)</f>
        <v>0</v>
      </c>
      <c r="DH12" s="6">
        <f>IF(AND(DH$7&gt;='Assumptions_&amp;_Inputs'!$I$41,DH$7&lt;'Assumptions_&amp;_Inputs'!$I$47),1,0)</f>
        <v>0</v>
      </c>
      <c r="DI12" s="6">
        <f>IF(AND(DI$7&gt;='Assumptions_&amp;_Inputs'!$I$41,DI$7&lt;'Assumptions_&amp;_Inputs'!$I$47),1,0)</f>
        <v>0</v>
      </c>
      <c r="DJ12" s="6">
        <f>IF(AND(DJ$7&gt;='Assumptions_&amp;_Inputs'!$I$41,DJ$7&lt;'Assumptions_&amp;_Inputs'!$I$47),1,0)</f>
        <v>0</v>
      </c>
      <c r="DK12" s="6">
        <f>IF(AND(DK$7&gt;='Assumptions_&amp;_Inputs'!$I$41,DK$7&lt;'Assumptions_&amp;_Inputs'!$I$47),1,0)</f>
        <v>0</v>
      </c>
      <c r="DL12" s="6">
        <f>IF(AND(DL$7&gt;='Assumptions_&amp;_Inputs'!$I$41,DL$7&lt;'Assumptions_&amp;_Inputs'!$I$47),1,0)</f>
        <v>0</v>
      </c>
      <c r="DM12" s="6">
        <f>IF(AND(DM$7&gt;='Assumptions_&amp;_Inputs'!$I$41,DM$7&lt;'Assumptions_&amp;_Inputs'!$I$47),1,0)</f>
        <v>0</v>
      </c>
      <c r="DN12" s="6">
        <f>IF(AND(DN$7&gt;='Assumptions_&amp;_Inputs'!$I$41,DN$7&lt;'Assumptions_&amp;_Inputs'!$I$47),1,0)</f>
        <v>0</v>
      </c>
      <c r="DO12" s="6">
        <f>IF(AND(DO$7&gt;='Assumptions_&amp;_Inputs'!$I$41,DO$7&lt;'Assumptions_&amp;_Inputs'!$I$47),1,0)</f>
        <v>0</v>
      </c>
      <c r="DP12" s="6">
        <f>IF(AND(DP$7&gt;='Assumptions_&amp;_Inputs'!$I$41,DP$7&lt;'Assumptions_&amp;_Inputs'!$I$47),1,0)</f>
        <v>0</v>
      </c>
      <c r="DQ12" s="6">
        <f>IF(AND(DQ$7&gt;='Assumptions_&amp;_Inputs'!$I$41,DQ$7&lt;'Assumptions_&amp;_Inputs'!$I$47),1,0)</f>
        <v>0</v>
      </c>
      <c r="DR12" s="6">
        <f>IF(AND(DR$7&gt;='Assumptions_&amp;_Inputs'!$I$41,DR$7&lt;'Assumptions_&amp;_Inputs'!$I$47),1,0)</f>
        <v>0</v>
      </c>
      <c r="DS12" s="6">
        <f>IF(AND(DS$7&gt;='Assumptions_&amp;_Inputs'!$I$41,DS$7&lt;'Assumptions_&amp;_Inputs'!$I$47),1,0)</f>
        <v>0</v>
      </c>
      <c r="DT12" s="6">
        <f>IF(AND(DT$7&gt;='Assumptions_&amp;_Inputs'!$I$41,DT$7&lt;'Assumptions_&amp;_Inputs'!$I$47),1,0)</f>
        <v>0</v>
      </c>
      <c r="DU12" s="6">
        <f>IF(AND(DU$7&gt;='Assumptions_&amp;_Inputs'!$I$41,DU$7&lt;'Assumptions_&amp;_Inputs'!$I$47),1,0)</f>
        <v>0</v>
      </c>
      <c r="DV12" s="6">
        <f>IF(AND(DV$7&gt;='Assumptions_&amp;_Inputs'!$I$41,DV$7&lt;'Assumptions_&amp;_Inputs'!$I$47),1,0)</f>
        <v>0</v>
      </c>
      <c r="DW12" s="6">
        <f>IF(AND(DW$7&gt;='Assumptions_&amp;_Inputs'!$I$41,DW$7&lt;'Assumptions_&amp;_Inputs'!$I$47),1,0)</f>
        <v>0</v>
      </c>
      <c r="DX12" s="6">
        <f>IF(AND(DX$7&gt;='Assumptions_&amp;_Inputs'!$I$41,DX$7&lt;'Assumptions_&amp;_Inputs'!$I$47),1,0)</f>
        <v>0</v>
      </c>
      <c r="DY12" s="6">
        <f>IF(AND(DY$7&gt;='Assumptions_&amp;_Inputs'!$I$41,DY$7&lt;'Assumptions_&amp;_Inputs'!$I$47),1,0)</f>
        <v>0</v>
      </c>
      <c r="DZ12" s="6">
        <f>IF(AND(DZ$7&gt;='Assumptions_&amp;_Inputs'!$I$41,DZ$7&lt;'Assumptions_&amp;_Inputs'!$I$47),1,0)</f>
        <v>0</v>
      </c>
      <c r="EA12" s="6">
        <f>IF(AND(EA$7&gt;='Assumptions_&amp;_Inputs'!$I$41,EA$7&lt;'Assumptions_&amp;_Inputs'!$I$47),1,0)</f>
        <v>0</v>
      </c>
      <c r="EB12" s="6">
        <f>IF(AND(EB$7&gt;='Assumptions_&amp;_Inputs'!$I$41,EB$7&lt;'Assumptions_&amp;_Inputs'!$I$47),1,0)</f>
        <v>0</v>
      </c>
      <c r="EC12" s="6">
        <f>IF(AND(EC$7&gt;='Assumptions_&amp;_Inputs'!$I$41,EC$7&lt;'Assumptions_&amp;_Inputs'!$I$47),1,0)</f>
        <v>0</v>
      </c>
      <c r="ED12" s="6">
        <f>IF(AND(ED$7&gt;='Assumptions_&amp;_Inputs'!$I$41,ED$7&lt;'Assumptions_&amp;_Inputs'!$I$47),1,0)</f>
        <v>0</v>
      </c>
      <c r="EE12" s="6">
        <f>IF(AND(EE$7&gt;='Assumptions_&amp;_Inputs'!$I$41,EE$7&lt;'Assumptions_&amp;_Inputs'!$I$47),1,0)</f>
        <v>0</v>
      </c>
      <c r="EF12" s="6">
        <f>IF(AND(EF$7&gt;='Assumptions_&amp;_Inputs'!$I$41,EF$7&lt;'Assumptions_&amp;_Inputs'!$I$47),1,0)</f>
        <v>0</v>
      </c>
      <c r="EG12" s="6">
        <f>IF(AND(EG$7&gt;='Assumptions_&amp;_Inputs'!$I$41,EG$7&lt;'Assumptions_&amp;_Inputs'!$I$47),1,0)</f>
        <v>0</v>
      </c>
      <c r="EH12" s="6">
        <f>IF(AND(EH$7&gt;='Assumptions_&amp;_Inputs'!$I$41,EH$7&lt;'Assumptions_&amp;_Inputs'!$I$47),1,0)</f>
        <v>0</v>
      </c>
      <c r="EI12" s="6">
        <f>IF(AND(EI$7&gt;='Assumptions_&amp;_Inputs'!$I$41,EI$7&lt;'Assumptions_&amp;_Inputs'!$I$47),1,0)</f>
        <v>0</v>
      </c>
      <c r="EJ12" s="6">
        <f>IF(AND(EJ$7&gt;='Assumptions_&amp;_Inputs'!$I$41,EJ$7&lt;'Assumptions_&amp;_Inputs'!$I$47),1,0)</f>
        <v>0</v>
      </c>
      <c r="EK12" s="6">
        <f>IF(AND(EK$7&gt;='Assumptions_&amp;_Inputs'!$I$41,EK$7&lt;'Assumptions_&amp;_Inputs'!$I$47),1,0)</f>
        <v>0</v>
      </c>
      <c r="EL12" s="6">
        <f>IF(AND(EL$7&gt;='Assumptions_&amp;_Inputs'!$I$41,EL$7&lt;'Assumptions_&amp;_Inputs'!$I$47),1,0)</f>
        <v>0</v>
      </c>
      <c r="EM12" s="6">
        <f>IF(AND(EM$7&gt;='Assumptions_&amp;_Inputs'!$I$41,EM$7&lt;'Assumptions_&amp;_Inputs'!$I$47),1,0)</f>
        <v>0</v>
      </c>
      <c r="EN12" s="6">
        <f>IF(AND(EN$7&gt;='Assumptions_&amp;_Inputs'!$I$41,EN$7&lt;'Assumptions_&amp;_Inputs'!$I$47),1,0)</f>
        <v>0</v>
      </c>
      <c r="EO12" s="6">
        <f>IF(AND(EO$7&gt;='Assumptions_&amp;_Inputs'!$I$41,EO$7&lt;'Assumptions_&amp;_Inputs'!$I$47),1,0)</f>
        <v>0</v>
      </c>
      <c r="EP12" s="6">
        <f>IF(AND(EP$7&gt;='Assumptions_&amp;_Inputs'!$I$41,EP$7&lt;'Assumptions_&amp;_Inputs'!$I$47),1,0)</f>
        <v>0</v>
      </c>
      <c r="EQ12" s="6">
        <f>IF(AND(EQ$7&gt;='Assumptions_&amp;_Inputs'!$I$41,EQ$7&lt;'Assumptions_&amp;_Inputs'!$I$47),1,0)</f>
        <v>0</v>
      </c>
      <c r="ER12" s="6">
        <f>IF(AND(ER$7&gt;='Assumptions_&amp;_Inputs'!$I$41,ER$7&lt;'Assumptions_&amp;_Inputs'!$I$47),1,0)</f>
        <v>0</v>
      </c>
      <c r="ES12" s="6">
        <f>IF(AND(ES$7&gt;='Assumptions_&amp;_Inputs'!$I$41,ES$7&lt;'Assumptions_&amp;_Inputs'!$I$47),1,0)</f>
        <v>0</v>
      </c>
      <c r="ET12" s="6">
        <f>IF(AND(ET$7&gt;='Assumptions_&amp;_Inputs'!$I$41,ET$7&lt;'Assumptions_&amp;_Inputs'!$I$47),1,0)</f>
        <v>0</v>
      </c>
      <c r="EU12" s="6">
        <f>IF(AND(EU$7&gt;='Assumptions_&amp;_Inputs'!$I$41,EU$7&lt;'Assumptions_&amp;_Inputs'!$I$47),1,0)</f>
        <v>0</v>
      </c>
      <c r="EV12" s="6">
        <f>IF(AND(EV$7&gt;='Assumptions_&amp;_Inputs'!$I$41,EV$7&lt;'Assumptions_&amp;_Inputs'!$I$47),1,0)</f>
        <v>0</v>
      </c>
      <c r="EW12" s="6">
        <f>IF(AND(EW$7&gt;='Assumptions_&amp;_Inputs'!$I$41,EW$7&lt;'Assumptions_&amp;_Inputs'!$I$47),1,0)</f>
        <v>0</v>
      </c>
      <c r="EX12" s="6">
        <f>IF(AND(EX$7&gt;='Assumptions_&amp;_Inputs'!$I$41,EX$7&lt;'Assumptions_&amp;_Inputs'!$I$47),1,0)</f>
        <v>0</v>
      </c>
      <c r="EY12" s="6">
        <f>IF(AND(EY$7&gt;='Assumptions_&amp;_Inputs'!$I$41,EY$7&lt;'Assumptions_&amp;_Inputs'!$I$47),1,0)</f>
        <v>0</v>
      </c>
      <c r="EZ12" s="6">
        <f>IF(AND(EZ$7&gt;='Assumptions_&amp;_Inputs'!$I$41,EZ$7&lt;'Assumptions_&amp;_Inputs'!$I$47),1,0)</f>
        <v>0</v>
      </c>
      <c r="FA12" s="6">
        <f>IF(AND(FA$7&gt;='Assumptions_&amp;_Inputs'!$I$41,FA$7&lt;'Assumptions_&amp;_Inputs'!$I$47),1,0)</f>
        <v>0</v>
      </c>
      <c r="FB12" s="6">
        <f>IF(AND(FB$7&gt;='Assumptions_&amp;_Inputs'!$I$41,FB$7&lt;'Assumptions_&amp;_Inputs'!$I$47),1,0)</f>
        <v>0</v>
      </c>
      <c r="FC12" s="6">
        <f>IF(AND(FC$7&gt;='Assumptions_&amp;_Inputs'!$I$41,FC$7&lt;'Assumptions_&amp;_Inputs'!$I$47),1,0)</f>
        <v>0</v>
      </c>
      <c r="FD12" s="6">
        <f>IF(AND(FD$7&gt;='Assumptions_&amp;_Inputs'!$I$41,FD$7&lt;'Assumptions_&amp;_Inputs'!$I$47),1,0)</f>
        <v>0</v>
      </c>
      <c r="FE12" s="6">
        <f>IF(AND(FE$7&gt;='Assumptions_&amp;_Inputs'!$I$41,FE$7&lt;'Assumptions_&amp;_Inputs'!$I$47),1,0)</f>
        <v>0</v>
      </c>
      <c r="FF12" s="6">
        <f>IF(AND(FF$7&gt;='Assumptions_&amp;_Inputs'!$I$41,FF$7&lt;'Assumptions_&amp;_Inputs'!$I$47),1,0)</f>
        <v>0</v>
      </c>
      <c r="FG12" s="6">
        <f>IF(AND(FG$7&gt;='Assumptions_&amp;_Inputs'!$I$41,FG$7&lt;'Assumptions_&amp;_Inputs'!$I$47),1,0)</f>
        <v>0</v>
      </c>
      <c r="FH12" s="6">
        <f>IF(AND(FH$7&gt;='Assumptions_&amp;_Inputs'!$I$41,FH$7&lt;'Assumptions_&amp;_Inputs'!$I$47),1,0)</f>
        <v>0</v>
      </c>
      <c r="FI12" s="6">
        <f>IF(AND(FI$7&gt;='Assumptions_&amp;_Inputs'!$I$41,FI$7&lt;'Assumptions_&amp;_Inputs'!$I$47),1,0)</f>
        <v>0</v>
      </c>
      <c r="FJ12" s="6">
        <f>IF(AND(FJ$7&gt;='Assumptions_&amp;_Inputs'!$I$41,FJ$7&lt;'Assumptions_&amp;_Inputs'!$I$47),1,0)</f>
        <v>0</v>
      </c>
      <c r="FK12" s="6">
        <f>IF(AND(FK$7&gt;='Assumptions_&amp;_Inputs'!$I$41,FK$7&lt;'Assumptions_&amp;_Inputs'!$I$47),1,0)</f>
        <v>0</v>
      </c>
      <c r="FL12" s="6">
        <f>IF(AND(FL$7&gt;='Assumptions_&amp;_Inputs'!$I$41,FL$7&lt;'Assumptions_&amp;_Inputs'!$I$47),1,0)</f>
        <v>0</v>
      </c>
      <c r="FM12" s="6">
        <f>IF(AND(FM$7&gt;='Assumptions_&amp;_Inputs'!$I$41,FM$7&lt;'Assumptions_&amp;_Inputs'!$I$47),1,0)</f>
        <v>0</v>
      </c>
      <c r="FN12" s="6">
        <f>IF(AND(FN$7&gt;='Assumptions_&amp;_Inputs'!$I$41,FN$7&lt;'Assumptions_&amp;_Inputs'!$I$47),1,0)</f>
        <v>0</v>
      </c>
      <c r="FO12" s="6">
        <f>IF(AND(FO$7&gt;='Assumptions_&amp;_Inputs'!$I$41,FO$7&lt;'Assumptions_&amp;_Inputs'!$I$47),1,0)</f>
        <v>0</v>
      </c>
      <c r="FP12" s="6">
        <f>IF(AND(FP$7&gt;='Assumptions_&amp;_Inputs'!$I$41,FP$7&lt;'Assumptions_&amp;_Inputs'!$I$47),1,0)</f>
        <v>0</v>
      </c>
      <c r="FQ12" s="6">
        <f>IF(AND(FQ$7&gt;='Assumptions_&amp;_Inputs'!$I$41,FQ$7&lt;'Assumptions_&amp;_Inputs'!$I$47),1,0)</f>
        <v>0</v>
      </c>
      <c r="FR12" s="6">
        <f>IF(AND(FR$7&gt;='Assumptions_&amp;_Inputs'!$I$41,FR$7&lt;'Assumptions_&amp;_Inputs'!$I$47),1,0)</f>
        <v>0</v>
      </c>
      <c r="FS12" s="6">
        <f>IF(AND(FS$7&gt;='Assumptions_&amp;_Inputs'!$I$41,FS$7&lt;'Assumptions_&amp;_Inputs'!$I$47),1,0)</f>
        <v>0</v>
      </c>
      <c r="FT12" s="6">
        <f>IF(AND(FT$7&gt;='Assumptions_&amp;_Inputs'!$I$41,FT$7&lt;'Assumptions_&amp;_Inputs'!$I$47),1,0)</f>
        <v>0</v>
      </c>
      <c r="FU12" s="6">
        <f>IF(AND(FU$7&gt;='Assumptions_&amp;_Inputs'!$I$41,FU$7&lt;'Assumptions_&amp;_Inputs'!$I$47),1,0)</f>
        <v>0</v>
      </c>
      <c r="FV12" s="6">
        <f>IF(AND(FV$7&gt;='Assumptions_&amp;_Inputs'!$I$41,FV$7&lt;'Assumptions_&amp;_Inputs'!$I$47),1,0)</f>
        <v>0</v>
      </c>
      <c r="FW12" s="6">
        <f>IF(AND(FW$7&gt;='Assumptions_&amp;_Inputs'!$I$41,FW$7&lt;'Assumptions_&amp;_Inputs'!$I$47),1,0)</f>
        <v>0</v>
      </c>
      <c r="FX12" s="6">
        <f>IF(AND(FX$7&gt;='Assumptions_&amp;_Inputs'!$I$41,FX$7&lt;'Assumptions_&amp;_Inputs'!$I$47),1,0)</f>
        <v>0</v>
      </c>
      <c r="FY12" s="6">
        <f>IF(AND(FY$7&gt;='Assumptions_&amp;_Inputs'!$I$41,FY$7&lt;'Assumptions_&amp;_Inputs'!$I$47),1,0)</f>
        <v>0</v>
      </c>
      <c r="FZ12" s="6">
        <f>IF(AND(FZ$7&gt;='Assumptions_&amp;_Inputs'!$I$41,FZ$7&lt;'Assumptions_&amp;_Inputs'!$I$47),1,0)</f>
        <v>0</v>
      </c>
      <c r="GA12" s="6">
        <f>IF(AND(GA$7&gt;='Assumptions_&amp;_Inputs'!$I$41,GA$7&lt;'Assumptions_&amp;_Inputs'!$I$47),1,0)</f>
        <v>0</v>
      </c>
      <c r="GB12" s="6">
        <f>IF(AND(GB$7&gt;='Assumptions_&amp;_Inputs'!$I$41,GB$7&lt;'Assumptions_&amp;_Inputs'!$I$47),1,0)</f>
        <v>0</v>
      </c>
      <c r="GC12" s="6">
        <f>IF(AND(GC$7&gt;='Assumptions_&amp;_Inputs'!$I$41,GC$7&lt;'Assumptions_&amp;_Inputs'!$I$47),1,0)</f>
        <v>0</v>
      </c>
      <c r="GD12" s="6">
        <f>IF(AND(GD$7&gt;='Assumptions_&amp;_Inputs'!$I$41,GD$7&lt;'Assumptions_&amp;_Inputs'!$I$47),1,0)</f>
        <v>0</v>
      </c>
      <c r="GE12" s="6">
        <f>IF(AND(GE$7&gt;='Assumptions_&amp;_Inputs'!$I$41,GE$7&lt;'Assumptions_&amp;_Inputs'!$I$47),1,0)</f>
        <v>0</v>
      </c>
      <c r="GF12" s="6">
        <f>IF(AND(GF$7&gt;='Assumptions_&amp;_Inputs'!$I$41,GF$7&lt;'Assumptions_&amp;_Inputs'!$I$47),1,0)</f>
        <v>0</v>
      </c>
      <c r="GG12" s="6">
        <f>IF(AND(GG$7&gt;='Assumptions_&amp;_Inputs'!$I$41,GG$7&lt;'Assumptions_&amp;_Inputs'!$I$47),1,0)</f>
        <v>0</v>
      </c>
      <c r="GH12" s="6">
        <f>IF(AND(GH$7&gt;='Assumptions_&amp;_Inputs'!$I$41,GH$7&lt;'Assumptions_&amp;_Inputs'!$I$47),1,0)</f>
        <v>0</v>
      </c>
      <c r="GI12" s="6">
        <f>IF(AND(GI$7&gt;='Assumptions_&amp;_Inputs'!$I$41,GI$7&lt;'Assumptions_&amp;_Inputs'!$I$47),1,0)</f>
        <v>0</v>
      </c>
      <c r="GJ12" s="6">
        <f>IF(AND(GJ$7&gt;='Assumptions_&amp;_Inputs'!$I$41,GJ$7&lt;'Assumptions_&amp;_Inputs'!$I$47),1,0)</f>
        <v>0</v>
      </c>
      <c r="GK12" s="6">
        <f>IF(AND(GK$7&gt;='Assumptions_&amp;_Inputs'!$I$41,GK$7&lt;'Assumptions_&amp;_Inputs'!$I$47),1,0)</f>
        <v>0</v>
      </c>
      <c r="GL12" s="6">
        <f>IF(AND(GL$7&gt;='Assumptions_&amp;_Inputs'!$I$41,GL$7&lt;'Assumptions_&amp;_Inputs'!$I$47),1,0)</f>
        <v>0</v>
      </c>
      <c r="GM12" s="6">
        <f>IF(AND(GM$7&gt;='Assumptions_&amp;_Inputs'!$I$41,GM$7&lt;'Assumptions_&amp;_Inputs'!$I$47),1,0)</f>
        <v>0</v>
      </c>
    </row>
    <row r="13" spans="1:366" ht="16" customHeight="1" x14ac:dyDescent="0.15">
      <c r="B13" t="s">
        <v>44</v>
      </c>
      <c r="F13" s="6">
        <f>IF(F$7=$F$5,1,0)</f>
        <v>0</v>
      </c>
      <c r="G13" s="6">
        <f t="shared" ref="G13:BR13" si="25">IF(G$7=$F$5,1,0)</f>
        <v>0</v>
      </c>
      <c r="H13" s="6">
        <f t="shared" si="25"/>
        <v>0</v>
      </c>
      <c r="I13" s="6">
        <f t="shared" si="25"/>
        <v>0</v>
      </c>
      <c r="J13" s="6">
        <f t="shared" si="25"/>
        <v>0</v>
      </c>
      <c r="K13" s="6">
        <f t="shared" si="25"/>
        <v>0</v>
      </c>
      <c r="L13" s="6">
        <f t="shared" si="25"/>
        <v>0</v>
      </c>
      <c r="M13" s="6">
        <f t="shared" si="25"/>
        <v>0</v>
      </c>
      <c r="N13" s="6">
        <f t="shared" si="25"/>
        <v>0</v>
      </c>
      <c r="O13" s="6">
        <f t="shared" si="25"/>
        <v>0</v>
      </c>
      <c r="P13" s="6">
        <f t="shared" si="25"/>
        <v>0</v>
      </c>
      <c r="Q13" s="6">
        <f t="shared" si="25"/>
        <v>0</v>
      </c>
      <c r="R13" s="6">
        <f t="shared" si="25"/>
        <v>0</v>
      </c>
      <c r="S13" s="6">
        <f t="shared" si="25"/>
        <v>0</v>
      </c>
      <c r="T13" s="6">
        <f t="shared" si="25"/>
        <v>0</v>
      </c>
      <c r="U13" s="6">
        <f t="shared" si="25"/>
        <v>0</v>
      </c>
      <c r="V13" s="6">
        <f t="shared" si="25"/>
        <v>0</v>
      </c>
      <c r="W13" s="6">
        <f t="shared" si="25"/>
        <v>0</v>
      </c>
      <c r="X13" s="6">
        <f t="shared" si="25"/>
        <v>0</v>
      </c>
      <c r="Y13" s="6">
        <f t="shared" si="25"/>
        <v>0</v>
      </c>
      <c r="Z13" s="6">
        <f t="shared" si="25"/>
        <v>0</v>
      </c>
      <c r="AA13" s="6">
        <f t="shared" si="25"/>
        <v>0</v>
      </c>
      <c r="AB13" s="6">
        <f t="shared" si="25"/>
        <v>0</v>
      </c>
      <c r="AC13" s="6">
        <f t="shared" si="25"/>
        <v>0</v>
      </c>
      <c r="AD13" s="6">
        <f t="shared" si="25"/>
        <v>0</v>
      </c>
      <c r="AE13" s="6">
        <f t="shared" si="25"/>
        <v>0</v>
      </c>
      <c r="AF13" s="6">
        <f t="shared" si="25"/>
        <v>0</v>
      </c>
      <c r="AG13" s="6">
        <f t="shared" si="25"/>
        <v>0</v>
      </c>
      <c r="AH13" s="6">
        <f t="shared" si="25"/>
        <v>0</v>
      </c>
      <c r="AI13" s="6">
        <f t="shared" si="25"/>
        <v>0</v>
      </c>
      <c r="AJ13" s="6">
        <f t="shared" si="25"/>
        <v>0</v>
      </c>
      <c r="AK13" s="6">
        <f t="shared" si="25"/>
        <v>0</v>
      </c>
      <c r="AL13" s="6">
        <f t="shared" si="25"/>
        <v>0</v>
      </c>
      <c r="AM13" s="6">
        <f t="shared" si="25"/>
        <v>0</v>
      </c>
      <c r="AN13" s="6">
        <f t="shared" si="25"/>
        <v>0</v>
      </c>
      <c r="AO13" s="6">
        <f t="shared" si="25"/>
        <v>0</v>
      </c>
      <c r="AP13" s="6">
        <f t="shared" si="25"/>
        <v>0</v>
      </c>
      <c r="AQ13" s="6">
        <f t="shared" si="25"/>
        <v>0</v>
      </c>
      <c r="AR13" s="6">
        <f t="shared" si="25"/>
        <v>0</v>
      </c>
      <c r="AS13" s="6">
        <f t="shared" si="25"/>
        <v>0</v>
      </c>
      <c r="AT13" s="6">
        <f t="shared" si="25"/>
        <v>0</v>
      </c>
      <c r="AU13" s="6">
        <f t="shared" si="25"/>
        <v>0</v>
      </c>
      <c r="AV13" s="6">
        <f t="shared" si="25"/>
        <v>0</v>
      </c>
      <c r="AW13" s="6">
        <f t="shared" si="25"/>
        <v>0</v>
      </c>
      <c r="AX13" s="6">
        <f t="shared" si="25"/>
        <v>0</v>
      </c>
      <c r="AY13" s="6">
        <f t="shared" si="25"/>
        <v>0</v>
      </c>
      <c r="AZ13" s="6">
        <f t="shared" si="25"/>
        <v>0</v>
      </c>
      <c r="BA13" s="6">
        <f t="shared" si="25"/>
        <v>0</v>
      </c>
      <c r="BB13" s="6">
        <f t="shared" si="25"/>
        <v>0</v>
      </c>
      <c r="BC13" s="6">
        <f t="shared" si="25"/>
        <v>0</v>
      </c>
      <c r="BD13" s="6">
        <f t="shared" si="25"/>
        <v>0</v>
      </c>
      <c r="BE13" s="6">
        <f t="shared" si="25"/>
        <v>0</v>
      </c>
      <c r="BF13" s="6">
        <f t="shared" si="25"/>
        <v>0</v>
      </c>
      <c r="BG13" s="6">
        <f t="shared" si="25"/>
        <v>0</v>
      </c>
      <c r="BH13" s="6">
        <f t="shared" si="25"/>
        <v>0</v>
      </c>
      <c r="BI13" s="6">
        <f t="shared" si="25"/>
        <v>0</v>
      </c>
      <c r="BJ13" s="6">
        <f t="shared" si="25"/>
        <v>0</v>
      </c>
      <c r="BK13" s="6">
        <f t="shared" si="25"/>
        <v>0</v>
      </c>
      <c r="BL13" s="6">
        <f t="shared" si="25"/>
        <v>0</v>
      </c>
      <c r="BM13" s="6">
        <f t="shared" si="25"/>
        <v>0</v>
      </c>
      <c r="BN13" s="6">
        <f t="shared" si="25"/>
        <v>0</v>
      </c>
      <c r="BO13" s="6">
        <f t="shared" si="25"/>
        <v>0</v>
      </c>
      <c r="BP13" s="6">
        <f t="shared" si="25"/>
        <v>0</v>
      </c>
      <c r="BQ13" s="6">
        <f t="shared" si="25"/>
        <v>0</v>
      </c>
      <c r="BR13" s="6">
        <f t="shared" si="25"/>
        <v>0</v>
      </c>
      <c r="BS13" s="6">
        <f t="shared" ref="BS13:ED13" si="26">IF(BS$7=$F$5,1,0)</f>
        <v>0</v>
      </c>
      <c r="BT13" s="6">
        <f t="shared" si="26"/>
        <v>0</v>
      </c>
      <c r="BU13" s="6">
        <f t="shared" si="26"/>
        <v>0</v>
      </c>
      <c r="BV13" s="6">
        <f t="shared" si="26"/>
        <v>0</v>
      </c>
      <c r="BW13" s="6">
        <f t="shared" si="26"/>
        <v>0</v>
      </c>
      <c r="BX13" s="6">
        <f t="shared" si="26"/>
        <v>0</v>
      </c>
      <c r="BY13" s="6">
        <f t="shared" si="26"/>
        <v>0</v>
      </c>
      <c r="BZ13" s="6">
        <f t="shared" si="26"/>
        <v>0</v>
      </c>
      <c r="CA13" s="6">
        <f t="shared" si="26"/>
        <v>0</v>
      </c>
      <c r="CB13" s="6">
        <f t="shared" si="26"/>
        <v>0</v>
      </c>
      <c r="CC13" s="6">
        <f t="shared" si="26"/>
        <v>0</v>
      </c>
      <c r="CD13" s="6">
        <f t="shared" si="26"/>
        <v>0</v>
      </c>
      <c r="CE13" s="6">
        <f t="shared" si="26"/>
        <v>0</v>
      </c>
      <c r="CF13" s="6">
        <f t="shared" si="26"/>
        <v>0</v>
      </c>
      <c r="CG13" s="6">
        <f t="shared" si="26"/>
        <v>0</v>
      </c>
      <c r="CH13" s="6">
        <f t="shared" si="26"/>
        <v>0</v>
      </c>
      <c r="CI13" s="6">
        <f t="shared" si="26"/>
        <v>0</v>
      </c>
      <c r="CJ13" s="6">
        <f t="shared" si="26"/>
        <v>0</v>
      </c>
      <c r="CK13" s="6">
        <f t="shared" si="26"/>
        <v>0</v>
      </c>
      <c r="CL13" s="6">
        <f t="shared" si="26"/>
        <v>0</v>
      </c>
      <c r="CM13" s="6">
        <f t="shared" si="26"/>
        <v>0</v>
      </c>
      <c r="CN13" s="6">
        <f t="shared" si="26"/>
        <v>0</v>
      </c>
      <c r="CO13" s="6">
        <f t="shared" si="26"/>
        <v>0</v>
      </c>
      <c r="CP13" s="6">
        <f t="shared" si="26"/>
        <v>0</v>
      </c>
      <c r="CQ13" s="6">
        <f t="shared" si="26"/>
        <v>0</v>
      </c>
      <c r="CR13" s="6">
        <f t="shared" si="26"/>
        <v>0</v>
      </c>
      <c r="CS13" s="6">
        <f t="shared" si="26"/>
        <v>0</v>
      </c>
      <c r="CT13" s="6">
        <f t="shared" si="26"/>
        <v>0</v>
      </c>
      <c r="CU13" s="6">
        <f t="shared" si="26"/>
        <v>0</v>
      </c>
      <c r="CV13" s="6">
        <f t="shared" si="26"/>
        <v>0</v>
      </c>
      <c r="CW13" s="6">
        <f t="shared" si="26"/>
        <v>0</v>
      </c>
      <c r="CX13" s="6">
        <f t="shared" si="26"/>
        <v>0</v>
      </c>
      <c r="CY13" s="6">
        <f t="shared" si="26"/>
        <v>0</v>
      </c>
      <c r="CZ13" s="6">
        <f t="shared" si="26"/>
        <v>0</v>
      </c>
      <c r="DA13" s="6">
        <f t="shared" si="26"/>
        <v>0</v>
      </c>
      <c r="DB13" s="6">
        <f t="shared" si="26"/>
        <v>0</v>
      </c>
      <c r="DC13" s="6">
        <f t="shared" si="26"/>
        <v>0</v>
      </c>
      <c r="DD13" s="6">
        <f t="shared" si="26"/>
        <v>0</v>
      </c>
      <c r="DE13" s="6">
        <f t="shared" si="26"/>
        <v>0</v>
      </c>
      <c r="DF13" s="6">
        <f t="shared" si="26"/>
        <v>0</v>
      </c>
      <c r="DG13" s="6">
        <f t="shared" si="26"/>
        <v>0</v>
      </c>
      <c r="DH13" s="6">
        <f t="shared" si="26"/>
        <v>0</v>
      </c>
      <c r="DI13" s="6">
        <f t="shared" si="26"/>
        <v>0</v>
      </c>
      <c r="DJ13" s="6">
        <f t="shared" si="26"/>
        <v>0</v>
      </c>
      <c r="DK13" s="6">
        <f t="shared" si="26"/>
        <v>0</v>
      </c>
      <c r="DL13" s="6">
        <f t="shared" si="26"/>
        <v>0</v>
      </c>
      <c r="DM13" s="6">
        <f t="shared" si="26"/>
        <v>0</v>
      </c>
      <c r="DN13" s="6">
        <f t="shared" si="26"/>
        <v>0</v>
      </c>
      <c r="DO13" s="6">
        <f t="shared" si="26"/>
        <v>0</v>
      </c>
      <c r="DP13" s="6">
        <f t="shared" si="26"/>
        <v>0</v>
      </c>
      <c r="DQ13" s="6">
        <f t="shared" si="26"/>
        <v>0</v>
      </c>
      <c r="DR13" s="6">
        <f t="shared" si="26"/>
        <v>0</v>
      </c>
      <c r="DS13" s="6">
        <f t="shared" si="26"/>
        <v>0</v>
      </c>
      <c r="DT13" s="6">
        <f t="shared" si="26"/>
        <v>0</v>
      </c>
      <c r="DU13" s="6">
        <f t="shared" si="26"/>
        <v>0</v>
      </c>
      <c r="DV13" s="6">
        <f t="shared" si="26"/>
        <v>1</v>
      </c>
      <c r="DW13" s="6">
        <f t="shared" si="26"/>
        <v>0</v>
      </c>
      <c r="DX13" s="6">
        <f t="shared" si="26"/>
        <v>0</v>
      </c>
      <c r="DY13" s="6">
        <f t="shared" si="26"/>
        <v>0</v>
      </c>
      <c r="DZ13" s="6">
        <f t="shared" si="26"/>
        <v>0</v>
      </c>
      <c r="EA13" s="6">
        <f t="shared" si="26"/>
        <v>0</v>
      </c>
      <c r="EB13" s="6">
        <f t="shared" si="26"/>
        <v>0</v>
      </c>
      <c r="EC13" s="6">
        <f t="shared" si="26"/>
        <v>0</v>
      </c>
      <c r="ED13" s="6">
        <f t="shared" si="26"/>
        <v>0</v>
      </c>
      <c r="EE13" s="6">
        <f t="shared" ref="EE13:GM13" si="27">IF(EE$7=$F$5,1,0)</f>
        <v>0</v>
      </c>
      <c r="EF13" s="6">
        <f t="shared" si="27"/>
        <v>0</v>
      </c>
      <c r="EG13" s="6">
        <f t="shared" si="27"/>
        <v>0</v>
      </c>
      <c r="EH13" s="6">
        <f t="shared" si="27"/>
        <v>0</v>
      </c>
      <c r="EI13" s="6">
        <f t="shared" si="27"/>
        <v>0</v>
      </c>
      <c r="EJ13" s="6">
        <f t="shared" si="27"/>
        <v>0</v>
      </c>
      <c r="EK13" s="6">
        <f t="shared" si="27"/>
        <v>0</v>
      </c>
      <c r="EL13" s="6">
        <f t="shared" si="27"/>
        <v>0</v>
      </c>
      <c r="EM13" s="6">
        <f t="shared" si="27"/>
        <v>0</v>
      </c>
      <c r="EN13" s="6">
        <f t="shared" si="27"/>
        <v>0</v>
      </c>
      <c r="EO13" s="6">
        <f t="shared" si="27"/>
        <v>0</v>
      </c>
      <c r="EP13" s="6">
        <f t="shared" si="27"/>
        <v>0</v>
      </c>
      <c r="EQ13" s="6">
        <f t="shared" si="27"/>
        <v>0</v>
      </c>
      <c r="ER13" s="6">
        <f t="shared" si="27"/>
        <v>0</v>
      </c>
      <c r="ES13" s="6">
        <f t="shared" si="27"/>
        <v>0</v>
      </c>
      <c r="ET13" s="6">
        <f t="shared" si="27"/>
        <v>0</v>
      </c>
      <c r="EU13" s="6">
        <f t="shared" si="27"/>
        <v>0</v>
      </c>
      <c r="EV13" s="6">
        <f t="shared" si="27"/>
        <v>0</v>
      </c>
      <c r="EW13" s="6">
        <f t="shared" si="27"/>
        <v>0</v>
      </c>
      <c r="EX13" s="6">
        <f t="shared" si="27"/>
        <v>0</v>
      </c>
      <c r="EY13" s="6">
        <f t="shared" si="27"/>
        <v>0</v>
      </c>
      <c r="EZ13" s="6">
        <f t="shared" si="27"/>
        <v>0</v>
      </c>
      <c r="FA13" s="6">
        <f t="shared" si="27"/>
        <v>0</v>
      </c>
      <c r="FB13" s="6">
        <f t="shared" si="27"/>
        <v>0</v>
      </c>
      <c r="FC13" s="6">
        <f t="shared" si="27"/>
        <v>0</v>
      </c>
      <c r="FD13" s="6">
        <f t="shared" si="27"/>
        <v>0</v>
      </c>
      <c r="FE13" s="6">
        <f t="shared" si="27"/>
        <v>0</v>
      </c>
      <c r="FF13" s="6">
        <f t="shared" si="27"/>
        <v>0</v>
      </c>
      <c r="FG13" s="6">
        <f t="shared" si="27"/>
        <v>0</v>
      </c>
      <c r="FH13" s="6">
        <f t="shared" si="27"/>
        <v>0</v>
      </c>
      <c r="FI13" s="6">
        <f t="shared" si="27"/>
        <v>0</v>
      </c>
      <c r="FJ13" s="6">
        <f t="shared" si="27"/>
        <v>0</v>
      </c>
      <c r="FK13" s="6">
        <f t="shared" si="27"/>
        <v>0</v>
      </c>
      <c r="FL13" s="6">
        <f t="shared" si="27"/>
        <v>0</v>
      </c>
      <c r="FM13" s="6">
        <f t="shared" si="27"/>
        <v>0</v>
      </c>
      <c r="FN13" s="6">
        <f t="shared" si="27"/>
        <v>0</v>
      </c>
      <c r="FO13" s="6">
        <f t="shared" si="27"/>
        <v>0</v>
      </c>
      <c r="FP13" s="6">
        <f t="shared" si="27"/>
        <v>0</v>
      </c>
      <c r="FQ13" s="6">
        <f t="shared" si="27"/>
        <v>0</v>
      </c>
      <c r="FR13" s="6">
        <f t="shared" si="27"/>
        <v>0</v>
      </c>
      <c r="FS13" s="6">
        <f t="shared" si="27"/>
        <v>0</v>
      </c>
      <c r="FT13" s="6">
        <f t="shared" si="27"/>
        <v>0</v>
      </c>
      <c r="FU13" s="6">
        <f t="shared" si="27"/>
        <v>0</v>
      </c>
      <c r="FV13" s="6">
        <f t="shared" si="27"/>
        <v>0</v>
      </c>
      <c r="FW13" s="6">
        <f t="shared" si="27"/>
        <v>0</v>
      </c>
      <c r="FX13" s="6">
        <f t="shared" si="27"/>
        <v>0</v>
      </c>
      <c r="FY13" s="6">
        <f t="shared" si="27"/>
        <v>0</v>
      </c>
      <c r="FZ13" s="6">
        <f t="shared" si="27"/>
        <v>0</v>
      </c>
      <c r="GA13" s="6">
        <f t="shared" si="27"/>
        <v>0</v>
      </c>
      <c r="GB13" s="6">
        <f t="shared" si="27"/>
        <v>0</v>
      </c>
      <c r="GC13" s="6">
        <f t="shared" si="27"/>
        <v>0</v>
      </c>
      <c r="GD13" s="6">
        <f t="shared" si="27"/>
        <v>0</v>
      </c>
      <c r="GE13" s="6">
        <f t="shared" si="27"/>
        <v>0</v>
      </c>
      <c r="GF13" s="6">
        <f t="shared" si="27"/>
        <v>0</v>
      </c>
      <c r="GG13" s="6">
        <f t="shared" si="27"/>
        <v>0</v>
      </c>
      <c r="GH13" s="6">
        <f t="shared" si="27"/>
        <v>0</v>
      </c>
      <c r="GI13" s="6">
        <f t="shared" si="27"/>
        <v>0</v>
      </c>
      <c r="GJ13" s="6">
        <f t="shared" si="27"/>
        <v>0</v>
      </c>
      <c r="GK13" s="6">
        <f t="shared" si="27"/>
        <v>0</v>
      </c>
      <c r="GL13" s="6">
        <f t="shared" si="27"/>
        <v>0</v>
      </c>
      <c r="GM13" s="6">
        <f t="shared" si="27"/>
        <v>0</v>
      </c>
      <c r="GN13" s="6"/>
      <c r="GO13" s="6"/>
      <c r="GP13" s="6"/>
      <c r="GQ13" s="6"/>
      <c r="GR13" s="6"/>
      <c r="GS13" s="6"/>
      <c r="GT13" s="6"/>
      <c r="GU13" s="6"/>
      <c r="GV13" s="6"/>
      <c r="GW13" s="6"/>
      <c r="GX13" s="6"/>
      <c r="GY13" s="6"/>
      <c r="GZ13" s="6"/>
      <c r="HA13" s="6"/>
      <c r="HB13" s="6"/>
      <c r="HC13" s="6"/>
      <c r="HD13" s="6"/>
      <c r="HE13" s="6"/>
      <c r="HF13" s="6"/>
      <c r="HG13" s="6"/>
      <c r="HH13" s="6"/>
      <c r="HI13" s="6"/>
      <c r="HJ13" s="6"/>
      <c r="HK13" s="6"/>
      <c r="HL13" s="6"/>
      <c r="HM13" s="6"/>
      <c r="HN13" s="6"/>
      <c r="HO13" s="6"/>
      <c r="HP13" s="6"/>
      <c r="HQ13" s="6"/>
      <c r="HR13" s="6"/>
      <c r="HS13" s="6"/>
      <c r="HT13" s="6"/>
      <c r="HU13" s="6"/>
      <c r="HV13" s="6"/>
      <c r="HW13" s="6"/>
      <c r="HX13" s="6"/>
      <c r="HY13" s="6"/>
      <c r="HZ13" s="6"/>
      <c r="IA13" s="6"/>
      <c r="IB13" s="6"/>
      <c r="IC13" s="6"/>
      <c r="ID13" s="6"/>
      <c r="IE13" s="6"/>
      <c r="IF13" s="6"/>
      <c r="IG13" s="6"/>
      <c r="IH13" s="6"/>
      <c r="II13" s="6"/>
      <c r="IJ13" s="6"/>
      <c r="IK13" s="6"/>
      <c r="IL13" s="6"/>
      <c r="IM13" s="6"/>
      <c r="IN13" s="6"/>
      <c r="IO13" s="6"/>
      <c r="IP13" s="6"/>
      <c r="IQ13" s="6"/>
      <c r="IR13" s="6"/>
      <c r="IS13" s="6"/>
      <c r="IT13" s="6"/>
      <c r="IU13" s="6"/>
      <c r="IV13" s="6"/>
      <c r="IW13" s="6"/>
      <c r="IX13" s="6"/>
      <c r="IY13" s="6"/>
      <c r="IZ13" s="6"/>
      <c r="JA13" s="6"/>
      <c r="JB13" s="6"/>
      <c r="JC13" s="6"/>
      <c r="JD13" s="6"/>
      <c r="JE13" s="6"/>
      <c r="JF13" s="6"/>
      <c r="JG13" s="6"/>
      <c r="JH13" s="6"/>
      <c r="JI13" s="6"/>
      <c r="JJ13" s="6"/>
      <c r="JK13" s="6"/>
      <c r="JL13" s="6"/>
      <c r="JM13" s="6"/>
      <c r="JN13" s="6"/>
      <c r="JO13" s="6"/>
      <c r="JP13" s="6"/>
      <c r="JQ13" s="6"/>
      <c r="JR13" s="6"/>
      <c r="JS13" s="6"/>
      <c r="JT13" s="6"/>
      <c r="JU13" s="6"/>
      <c r="JV13" s="6"/>
      <c r="JW13" s="6"/>
      <c r="JX13" s="6"/>
      <c r="JY13" s="6"/>
      <c r="JZ13" s="6"/>
      <c r="KA13" s="6"/>
      <c r="KB13" s="6"/>
      <c r="KC13" s="6"/>
      <c r="KD13" s="6"/>
      <c r="KE13" s="6"/>
      <c r="KF13" s="6"/>
      <c r="KG13" s="6"/>
      <c r="KH13" s="6"/>
      <c r="KI13" s="6"/>
      <c r="KJ13" s="6"/>
      <c r="KK13" s="6"/>
      <c r="KL13" s="6"/>
      <c r="KM13" s="6"/>
      <c r="KN13" s="6"/>
      <c r="KO13" s="6"/>
      <c r="KP13" s="6"/>
      <c r="KQ13" s="6"/>
      <c r="KR13" s="6"/>
      <c r="KS13" s="6"/>
      <c r="KT13" s="6"/>
      <c r="KU13" s="6"/>
      <c r="KV13" s="6"/>
      <c r="KW13" s="6"/>
      <c r="KX13" s="6"/>
      <c r="KY13" s="6"/>
      <c r="KZ13" s="6"/>
      <c r="LA13" s="6"/>
      <c r="LB13" s="6"/>
      <c r="LC13" s="6"/>
      <c r="LD13" s="6"/>
      <c r="LE13" s="6"/>
      <c r="LF13" s="6"/>
      <c r="LG13" s="6"/>
      <c r="LH13" s="6"/>
      <c r="LI13" s="6"/>
      <c r="LJ13" s="6"/>
      <c r="LK13" s="6"/>
      <c r="LL13" s="6"/>
      <c r="LM13" s="6"/>
      <c r="LN13" s="6"/>
      <c r="LO13" s="6"/>
      <c r="LP13" s="6"/>
      <c r="LQ13" s="6"/>
      <c r="LR13" s="6"/>
      <c r="LS13" s="6"/>
      <c r="LT13" s="6"/>
      <c r="LU13" s="6"/>
      <c r="LV13" s="6"/>
      <c r="LW13" s="6"/>
      <c r="LX13" s="6"/>
      <c r="LY13" s="6"/>
      <c r="LZ13" s="6"/>
      <c r="MA13" s="6"/>
      <c r="MB13" s="6"/>
      <c r="MC13" s="6"/>
      <c r="MD13" s="6"/>
      <c r="ME13" s="6"/>
      <c r="MF13" s="6"/>
      <c r="MG13" s="6"/>
      <c r="MH13" s="6"/>
      <c r="MI13" s="6"/>
      <c r="MJ13" s="6"/>
      <c r="MK13" s="6"/>
      <c r="ML13" s="6"/>
      <c r="MM13" s="6"/>
      <c r="MN13" s="6"/>
      <c r="MO13" s="6"/>
      <c r="MP13" s="6"/>
      <c r="MQ13" s="6"/>
      <c r="MR13" s="6"/>
      <c r="MS13" s="6"/>
      <c r="MT13" s="6"/>
      <c r="MU13" s="6"/>
      <c r="MV13" s="6"/>
      <c r="MW13" s="6"/>
      <c r="MX13" s="6"/>
      <c r="MY13" s="6"/>
      <c r="MZ13" s="6"/>
      <c r="NA13" s="6"/>
      <c r="NB13" s="6"/>
    </row>
    <row r="14" spans="1:366" ht="16" customHeight="1" x14ac:dyDescent="0.15">
      <c r="B14" t="s">
        <v>60</v>
      </c>
      <c r="E14" s="134"/>
      <c r="F14" s="6">
        <v>1</v>
      </c>
      <c r="G14" s="6">
        <f>ROUNDUP(G$7/12,0)</f>
        <v>1</v>
      </c>
      <c r="H14" s="6">
        <f t="shared" ref="H14:BS14" si="28">ROUNDUP(H$7/12,0)</f>
        <v>1</v>
      </c>
      <c r="I14" s="6">
        <f t="shared" si="28"/>
        <v>1</v>
      </c>
      <c r="J14" s="6">
        <f t="shared" si="28"/>
        <v>1</v>
      </c>
      <c r="K14" s="6">
        <f t="shared" si="28"/>
        <v>1</v>
      </c>
      <c r="L14" s="6">
        <f t="shared" si="28"/>
        <v>1</v>
      </c>
      <c r="M14" s="6">
        <f t="shared" si="28"/>
        <v>1</v>
      </c>
      <c r="N14" s="6">
        <f t="shared" si="28"/>
        <v>1</v>
      </c>
      <c r="O14" s="6">
        <f t="shared" si="28"/>
        <v>1</v>
      </c>
      <c r="P14" s="6">
        <f t="shared" si="28"/>
        <v>1</v>
      </c>
      <c r="Q14" s="6">
        <f t="shared" si="28"/>
        <v>1</v>
      </c>
      <c r="R14" s="6">
        <f t="shared" si="28"/>
        <v>1</v>
      </c>
      <c r="S14" s="6">
        <f t="shared" si="28"/>
        <v>2</v>
      </c>
      <c r="T14" s="6">
        <f t="shared" si="28"/>
        <v>2</v>
      </c>
      <c r="U14" s="6">
        <f t="shared" si="28"/>
        <v>2</v>
      </c>
      <c r="V14" s="6">
        <f t="shared" si="28"/>
        <v>2</v>
      </c>
      <c r="W14" s="6">
        <f t="shared" si="28"/>
        <v>2</v>
      </c>
      <c r="X14" s="6">
        <f t="shared" si="28"/>
        <v>2</v>
      </c>
      <c r="Y14" s="6">
        <f t="shared" si="28"/>
        <v>2</v>
      </c>
      <c r="Z14" s="6">
        <f t="shared" si="28"/>
        <v>2</v>
      </c>
      <c r="AA14" s="6">
        <f t="shared" si="28"/>
        <v>2</v>
      </c>
      <c r="AB14" s="6">
        <f t="shared" si="28"/>
        <v>2</v>
      </c>
      <c r="AC14" s="6">
        <f t="shared" si="28"/>
        <v>2</v>
      </c>
      <c r="AD14" s="6">
        <f t="shared" si="28"/>
        <v>2</v>
      </c>
      <c r="AE14" s="6">
        <f t="shared" si="28"/>
        <v>3</v>
      </c>
      <c r="AF14" s="6">
        <f t="shared" si="28"/>
        <v>3</v>
      </c>
      <c r="AG14" s="6">
        <f t="shared" si="28"/>
        <v>3</v>
      </c>
      <c r="AH14" s="6">
        <f t="shared" si="28"/>
        <v>3</v>
      </c>
      <c r="AI14" s="6">
        <f t="shared" si="28"/>
        <v>3</v>
      </c>
      <c r="AJ14" s="6">
        <f t="shared" si="28"/>
        <v>3</v>
      </c>
      <c r="AK14" s="6">
        <f t="shared" si="28"/>
        <v>3</v>
      </c>
      <c r="AL14" s="6">
        <f t="shared" si="28"/>
        <v>3</v>
      </c>
      <c r="AM14" s="6">
        <f t="shared" si="28"/>
        <v>3</v>
      </c>
      <c r="AN14" s="6">
        <f t="shared" si="28"/>
        <v>3</v>
      </c>
      <c r="AO14" s="6">
        <f t="shared" si="28"/>
        <v>3</v>
      </c>
      <c r="AP14" s="6">
        <f t="shared" si="28"/>
        <v>3</v>
      </c>
      <c r="AQ14" s="6">
        <f t="shared" si="28"/>
        <v>4</v>
      </c>
      <c r="AR14" s="6">
        <f t="shared" si="28"/>
        <v>4</v>
      </c>
      <c r="AS14" s="6">
        <f t="shared" si="28"/>
        <v>4</v>
      </c>
      <c r="AT14" s="6">
        <f t="shared" si="28"/>
        <v>4</v>
      </c>
      <c r="AU14" s="6">
        <f t="shared" si="28"/>
        <v>4</v>
      </c>
      <c r="AV14" s="6">
        <f t="shared" si="28"/>
        <v>4</v>
      </c>
      <c r="AW14" s="6">
        <f t="shared" si="28"/>
        <v>4</v>
      </c>
      <c r="AX14" s="6">
        <f t="shared" si="28"/>
        <v>4</v>
      </c>
      <c r="AY14" s="6">
        <f t="shared" si="28"/>
        <v>4</v>
      </c>
      <c r="AZ14" s="6">
        <f t="shared" si="28"/>
        <v>4</v>
      </c>
      <c r="BA14" s="6">
        <f t="shared" si="28"/>
        <v>4</v>
      </c>
      <c r="BB14" s="6">
        <f t="shared" si="28"/>
        <v>4</v>
      </c>
      <c r="BC14" s="6">
        <f t="shared" si="28"/>
        <v>5</v>
      </c>
      <c r="BD14" s="6">
        <f t="shared" si="28"/>
        <v>5</v>
      </c>
      <c r="BE14" s="6">
        <f t="shared" si="28"/>
        <v>5</v>
      </c>
      <c r="BF14" s="6">
        <f t="shared" si="28"/>
        <v>5</v>
      </c>
      <c r="BG14" s="6">
        <f t="shared" si="28"/>
        <v>5</v>
      </c>
      <c r="BH14" s="6">
        <f t="shared" si="28"/>
        <v>5</v>
      </c>
      <c r="BI14" s="6">
        <f t="shared" si="28"/>
        <v>5</v>
      </c>
      <c r="BJ14" s="6">
        <f t="shared" si="28"/>
        <v>5</v>
      </c>
      <c r="BK14" s="6">
        <f t="shared" si="28"/>
        <v>5</v>
      </c>
      <c r="BL14" s="6">
        <f t="shared" si="28"/>
        <v>5</v>
      </c>
      <c r="BM14" s="6">
        <f t="shared" si="28"/>
        <v>5</v>
      </c>
      <c r="BN14" s="6">
        <f t="shared" si="28"/>
        <v>5</v>
      </c>
      <c r="BO14" s="6">
        <f t="shared" si="28"/>
        <v>6</v>
      </c>
      <c r="BP14" s="6">
        <f t="shared" si="28"/>
        <v>6</v>
      </c>
      <c r="BQ14" s="6">
        <f t="shared" si="28"/>
        <v>6</v>
      </c>
      <c r="BR14" s="6">
        <f t="shared" si="28"/>
        <v>6</v>
      </c>
      <c r="BS14" s="6">
        <f t="shared" si="28"/>
        <v>6</v>
      </c>
      <c r="BT14" s="6">
        <f t="shared" ref="BT14:EE14" si="29">ROUNDUP(BT$7/12,0)</f>
        <v>6</v>
      </c>
      <c r="BU14" s="6">
        <f t="shared" si="29"/>
        <v>6</v>
      </c>
      <c r="BV14" s="6">
        <f t="shared" si="29"/>
        <v>6</v>
      </c>
      <c r="BW14" s="6">
        <f t="shared" si="29"/>
        <v>6</v>
      </c>
      <c r="BX14" s="6">
        <f t="shared" si="29"/>
        <v>6</v>
      </c>
      <c r="BY14" s="6">
        <f t="shared" si="29"/>
        <v>6</v>
      </c>
      <c r="BZ14" s="6">
        <f t="shared" si="29"/>
        <v>6</v>
      </c>
      <c r="CA14" s="6">
        <f t="shared" si="29"/>
        <v>7</v>
      </c>
      <c r="CB14" s="6">
        <f t="shared" si="29"/>
        <v>7</v>
      </c>
      <c r="CC14" s="6">
        <f t="shared" si="29"/>
        <v>7</v>
      </c>
      <c r="CD14" s="6">
        <f t="shared" si="29"/>
        <v>7</v>
      </c>
      <c r="CE14" s="6">
        <f t="shared" si="29"/>
        <v>7</v>
      </c>
      <c r="CF14" s="6">
        <f t="shared" si="29"/>
        <v>7</v>
      </c>
      <c r="CG14" s="6">
        <f t="shared" si="29"/>
        <v>7</v>
      </c>
      <c r="CH14" s="6">
        <f t="shared" si="29"/>
        <v>7</v>
      </c>
      <c r="CI14" s="6">
        <f t="shared" si="29"/>
        <v>7</v>
      </c>
      <c r="CJ14" s="6">
        <f t="shared" si="29"/>
        <v>7</v>
      </c>
      <c r="CK14" s="6">
        <f t="shared" si="29"/>
        <v>7</v>
      </c>
      <c r="CL14" s="6">
        <f t="shared" si="29"/>
        <v>7</v>
      </c>
      <c r="CM14" s="6">
        <f t="shared" si="29"/>
        <v>8</v>
      </c>
      <c r="CN14" s="6">
        <f t="shared" si="29"/>
        <v>8</v>
      </c>
      <c r="CO14" s="6">
        <f t="shared" si="29"/>
        <v>8</v>
      </c>
      <c r="CP14" s="6">
        <f t="shared" si="29"/>
        <v>8</v>
      </c>
      <c r="CQ14" s="6">
        <f t="shared" si="29"/>
        <v>8</v>
      </c>
      <c r="CR14" s="6">
        <f t="shared" si="29"/>
        <v>8</v>
      </c>
      <c r="CS14" s="6">
        <f t="shared" si="29"/>
        <v>8</v>
      </c>
      <c r="CT14" s="6">
        <f t="shared" si="29"/>
        <v>8</v>
      </c>
      <c r="CU14" s="6">
        <f t="shared" si="29"/>
        <v>8</v>
      </c>
      <c r="CV14" s="6">
        <f t="shared" si="29"/>
        <v>8</v>
      </c>
      <c r="CW14" s="6">
        <f t="shared" si="29"/>
        <v>8</v>
      </c>
      <c r="CX14" s="6">
        <f t="shared" si="29"/>
        <v>8</v>
      </c>
      <c r="CY14" s="6">
        <f t="shared" si="29"/>
        <v>9</v>
      </c>
      <c r="CZ14" s="6">
        <f t="shared" si="29"/>
        <v>9</v>
      </c>
      <c r="DA14" s="6">
        <f t="shared" si="29"/>
        <v>9</v>
      </c>
      <c r="DB14" s="6">
        <f t="shared" si="29"/>
        <v>9</v>
      </c>
      <c r="DC14" s="6">
        <f t="shared" si="29"/>
        <v>9</v>
      </c>
      <c r="DD14" s="6">
        <f t="shared" si="29"/>
        <v>9</v>
      </c>
      <c r="DE14" s="6">
        <f t="shared" si="29"/>
        <v>9</v>
      </c>
      <c r="DF14" s="6">
        <f t="shared" si="29"/>
        <v>9</v>
      </c>
      <c r="DG14" s="6">
        <f t="shared" si="29"/>
        <v>9</v>
      </c>
      <c r="DH14" s="6">
        <f t="shared" si="29"/>
        <v>9</v>
      </c>
      <c r="DI14" s="6">
        <f t="shared" si="29"/>
        <v>9</v>
      </c>
      <c r="DJ14" s="6">
        <f t="shared" si="29"/>
        <v>9</v>
      </c>
      <c r="DK14" s="6">
        <f t="shared" si="29"/>
        <v>10</v>
      </c>
      <c r="DL14" s="6">
        <f t="shared" si="29"/>
        <v>10</v>
      </c>
      <c r="DM14" s="6">
        <f t="shared" si="29"/>
        <v>10</v>
      </c>
      <c r="DN14" s="6">
        <f t="shared" si="29"/>
        <v>10</v>
      </c>
      <c r="DO14" s="6">
        <f t="shared" si="29"/>
        <v>10</v>
      </c>
      <c r="DP14" s="6">
        <f t="shared" si="29"/>
        <v>10</v>
      </c>
      <c r="DQ14" s="6">
        <f t="shared" si="29"/>
        <v>10</v>
      </c>
      <c r="DR14" s="6">
        <f t="shared" si="29"/>
        <v>10</v>
      </c>
      <c r="DS14" s="6">
        <f t="shared" si="29"/>
        <v>10</v>
      </c>
      <c r="DT14" s="6">
        <f t="shared" si="29"/>
        <v>10</v>
      </c>
      <c r="DU14" s="6">
        <f t="shared" si="29"/>
        <v>10</v>
      </c>
      <c r="DV14" s="6">
        <f t="shared" si="29"/>
        <v>10</v>
      </c>
      <c r="DW14" s="6">
        <f t="shared" si="29"/>
        <v>11</v>
      </c>
      <c r="DX14" s="6">
        <f t="shared" si="29"/>
        <v>11</v>
      </c>
      <c r="DY14" s="6">
        <f t="shared" si="29"/>
        <v>11</v>
      </c>
      <c r="DZ14" s="6">
        <f t="shared" si="29"/>
        <v>11</v>
      </c>
      <c r="EA14" s="6">
        <f t="shared" si="29"/>
        <v>11</v>
      </c>
      <c r="EB14" s="6">
        <f t="shared" si="29"/>
        <v>11</v>
      </c>
      <c r="EC14" s="6">
        <f t="shared" si="29"/>
        <v>11</v>
      </c>
      <c r="ED14" s="6">
        <f t="shared" si="29"/>
        <v>11</v>
      </c>
      <c r="EE14" s="6">
        <f t="shared" si="29"/>
        <v>11</v>
      </c>
      <c r="EF14" s="6">
        <f t="shared" ref="EF14:GM14" si="30">ROUNDUP(EF$7/12,0)</f>
        <v>11</v>
      </c>
      <c r="EG14" s="6">
        <f t="shared" si="30"/>
        <v>11</v>
      </c>
      <c r="EH14" s="6">
        <f t="shared" si="30"/>
        <v>11</v>
      </c>
      <c r="EI14" s="6">
        <f t="shared" si="30"/>
        <v>12</v>
      </c>
      <c r="EJ14" s="6">
        <f t="shared" si="30"/>
        <v>12</v>
      </c>
      <c r="EK14" s="6">
        <f t="shared" si="30"/>
        <v>12</v>
      </c>
      <c r="EL14" s="6">
        <f t="shared" si="30"/>
        <v>12</v>
      </c>
      <c r="EM14" s="6">
        <f t="shared" si="30"/>
        <v>12</v>
      </c>
      <c r="EN14" s="6">
        <f t="shared" si="30"/>
        <v>12</v>
      </c>
      <c r="EO14" s="6">
        <f t="shared" si="30"/>
        <v>12</v>
      </c>
      <c r="EP14" s="6">
        <f t="shared" si="30"/>
        <v>12</v>
      </c>
      <c r="EQ14" s="6">
        <f t="shared" si="30"/>
        <v>12</v>
      </c>
      <c r="ER14" s="6">
        <f t="shared" si="30"/>
        <v>12</v>
      </c>
      <c r="ES14" s="6">
        <f t="shared" si="30"/>
        <v>12</v>
      </c>
      <c r="ET14" s="6">
        <f t="shared" si="30"/>
        <v>12</v>
      </c>
      <c r="EU14" s="6">
        <f t="shared" si="30"/>
        <v>13</v>
      </c>
      <c r="EV14" s="6">
        <f t="shared" si="30"/>
        <v>13</v>
      </c>
      <c r="EW14" s="6">
        <f t="shared" si="30"/>
        <v>13</v>
      </c>
      <c r="EX14" s="6">
        <f t="shared" si="30"/>
        <v>13</v>
      </c>
      <c r="EY14" s="6">
        <f t="shared" si="30"/>
        <v>13</v>
      </c>
      <c r="EZ14" s="6">
        <f t="shared" si="30"/>
        <v>13</v>
      </c>
      <c r="FA14" s="6">
        <f t="shared" si="30"/>
        <v>13</v>
      </c>
      <c r="FB14" s="6">
        <f t="shared" si="30"/>
        <v>13</v>
      </c>
      <c r="FC14" s="6">
        <f t="shared" si="30"/>
        <v>13</v>
      </c>
      <c r="FD14" s="6">
        <f t="shared" si="30"/>
        <v>13</v>
      </c>
      <c r="FE14" s="6">
        <f t="shared" si="30"/>
        <v>13</v>
      </c>
      <c r="FF14" s="6">
        <f t="shared" si="30"/>
        <v>13</v>
      </c>
      <c r="FG14" s="6">
        <f t="shared" si="30"/>
        <v>14</v>
      </c>
      <c r="FH14" s="6">
        <f t="shared" si="30"/>
        <v>14</v>
      </c>
      <c r="FI14" s="6">
        <f t="shared" si="30"/>
        <v>14</v>
      </c>
      <c r="FJ14" s="6">
        <f t="shared" si="30"/>
        <v>14</v>
      </c>
      <c r="FK14" s="6">
        <f t="shared" si="30"/>
        <v>14</v>
      </c>
      <c r="FL14" s="6">
        <f t="shared" si="30"/>
        <v>14</v>
      </c>
      <c r="FM14" s="6">
        <f t="shared" si="30"/>
        <v>14</v>
      </c>
      <c r="FN14" s="6">
        <f t="shared" si="30"/>
        <v>14</v>
      </c>
      <c r="FO14" s="6">
        <f t="shared" si="30"/>
        <v>14</v>
      </c>
      <c r="FP14" s="6">
        <f t="shared" si="30"/>
        <v>14</v>
      </c>
      <c r="FQ14" s="6">
        <f t="shared" si="30"/>
        <v>14</v>
      </c>
      <c r="FR14" s="6">
        <f t="shared" si="30"/>
        <v>14</v>
      </c>
      <c r="FS14" s="6">
        <f t="shared" si="30"/>
        <v>15</v>
      </c>
      <c r="FT14" s="6">
        <f t="shared" si="30"/>
        <v>15</v>
      </c>
      <c r="FU14" s="6">
        <f t="shared" si="30"/>
        <v>15</v>
      </c>
      <c r="FV14" s="6">
        <f t="shared" si="30"/>
        <v>15</v>
      </c>
      <c r="FW14" s="6">
        <f t="shared" si="30"/>
        <v>15</v>
      </c>
      <c r="FX14" s="6">
        <f t="shared" si="30"/>
        <v>15</v>
      </c>
      <c r="FY14" s="6">
        <f t="shared" si="30"/>
        <v>15</v>
      </c>
      <c r="FZ14" s="6">
        <f t="shared" si="30"/>
        <v>15</v>
      </c>
      <c r="GA14" s="6">
        <f t="shared" si="30"/>
        <v>15</v>
      </c>
      <c r="GB14" s="6">
        <f t="shared" si="30"/>
        <v>15</v>
      </c>
      <c r="GC14" s="6">
        <f t="shared" si="30"/>
        <v>15</v>
      </c>
      <c r="GD14" s="6">
        <f t="shared" si="30"/>
        <v>15</v>
      </c>
      <c r="GE14" s="6">
        <f t="shared" si="30"/>
        <v>16</v>
      </c>
      <c r="GF14" s="6">
        <f t="shared" si="30"/>
        <v>16</v>
      </c>
      <c r="GG14" s="6">
        <f t="shared" si="30"/>
        <v>16</v>
      </c>
      <c r="GH14" s="6">
        <f t="shared" si="30"/>
        <v>16</v>
      </c>
      <c r="GI14" s="6">
        <f t="shared" si="30"/>
        <v>16</v>
      </c>
      <c r="GJ14" s="6">
        <f t="shared" si="30"/>
        <v>16</v>
      </c>
      <c r="GK14" s="6">
        <f t="shared" si="30"/>
        <v>16</v>
      </c>
      <c r="GL14" s="6">
        <f t="shared" si="30"/>
        <v>16</v>
      </c>
      <c r="GM14" s="6">
        <f t="shared" si="30"/>
        <v>16</v>
      </c>
      <c r="GN14" s="6"/>
      <c r="GO14" s="6"/>
      <c r="GP14" s="6"/>
      <c r="GQ14" s="6"/>
      <c r="GR14" s="6"/>
      <c r="GS14" s="6"/>
      <c r="GT14" s="6"/>
      <c r="GU14" s="6"/>
      <c r="GV14" s="6"/>
      <c r="GW14" s="6"/>
      <c r="GX14" s="6"/>
      <c r="GY14" s="6"/>
      <c r="GZ14" s="6"/>
      <c r="HA14" s="6"/>
      <c r="HB14" s="6"/>
      <c r="HC14" s="6"/>
      <c r="HD14" s="6"/>
      <c r="HE14" s="6"/>
      <c r="HF14" s="6"/>
      <c r="HG14" s="6"/>
      <c r="HH14" s="6"/>
      <c r="HI14" s="6"/>
      <c r="HJ14" s="6"/>
      <c r="HK14" s="6"/>
      <c r="HL14" s="6"/>
      <c r="HM14" s="6"/>
      <c r="HN14" s="6"/>
      <c r="HO14" s="6"/>
      <c r="HP14" s="6"/>
      <c r="HQ14" s="6"/>
      <c r="HR14" s="6"/>
      <c r="HS14" s="6"/>
      <c r="HT14" s="6"/>
      <c r="HU14" s="6"/>
      <c r="HV14" s="6"/>
      <c r="HW14" s="6"/>
      <c r="HX14" s="6"/>
      <c r="HY14" s="6"/>
      <c r="HZ14" s="6"/>
      <c r="IA14" s="6"/>
      <c r="IB14" s="6"/>
      <c r="IC14" s="6"/>
      <c r="ID14" s="6"/>
      <c r="IE14" s="6"/>
      <c r="IF14" s="6"/>
      <c r="IG14" s="6"/>
      <c r="IH14" s="6"/>
      <c r="II14" s="6"/>
      <c r="IJ14" s="6"/>
      <c r="IK14" s="6"/>
      <c r="IL14" s="6"/>
      <c r="IM14" s="6"/>
      <c r="IN14" s="6"/>
      <c r="IO14" s="6"/>
      <c r="IP14" s="6"/>
      <c r="IQ14" s="6"/>
      <c r="IR14" s="6"/>
      <c r="IS14" s="6"/>
      <c r="IT14" s="6"/>
      <c r="IU14" s="6"/>
      <c r="IV14" s="6"/>
      <c r="IW14" s="6"/>
      <c r="IX14" s="6"/>
      <c r="IY14" s="6"/>
      <c r="IZ14" s="6"/>
      <c r="JA14" s="6"/>
      <c r="JB14" s="6"/>
      <c r="JC14" s="6"/>
      <c r="JD14" s="6"/>
      <c r="JE14" s="6"/>
      <c r="JF14" s="6"/>
      <c r="JG14" s="6"/>
      <c r="JH14" s="6"/>
      <c r="JI14" s="6"/>
      <c r="JJ14" s="6"/>
      <c r="JK14" s="6"/>
      <c r="JL14" s="6"/>
      <c r="JM14" s="6"/>
      <c r="JN14" s="6"/>
      <c r="JO14" s="6"/>
      <c r="JP14" s="6"/>
      <c r="JQ14" s="6"/>
      <c r="JR14" s="6"/>
      <c r="JS14" s="6"/>
      <c r="JT14" s="6"/>
      <c r="JU14" s="6"/>
      <c r="JV14" s="6"/>
      <c r="JW14" s="6"/>
      <c r="JX14" s="6"/>
      <c r="JY14" s="6"/>
      <c r="JZ14" s="6"/>
      <c r="KA14" s="6"/>
      <c r="KB14" s="6"/>
      <c r="KC14" s="6"/>
      <c r="KD14" s="6"/>
      <c r="KE14" s="6"/>
      <c r="KF14" s="6"/>
      <c r="KG14" s="6"/>
      <c r="KH14" s="6"/>
      <c r="KI14" s="6"/>
      <c r="KJ14" s="6"/>
      <c r="KK14" s="6"/>
      <c r="KL14" s="6"/>
      <c r="KM14" s="6"/>
      <c r="KN14" s="6"/>
      <c r="KO14" s="6"/>
      <c r="KP14" s="6"/>
      <c r="KQ14" s="6"/>
      <c r="KR14" s="6"/>
      <c r="KS14" s="6"/>
      <c r="KT14" s="6"/>
      <c r="KU14" s="6"/>
      <c r="KV14" s="6"/>
      <c r="KW14" s="6"/>
      <c r="KX14" s="6"/>
      <c r="KY14" s="6"/>
      <c r="KZ14" s="6"/>
      <c r="LA14" s="6"/>
      <c r="LB14" s="6"/>
      <c r="LC14" s="6"/>
      <c r="LD14" s="6"/>
      <c r="LE14" s="6"/>
      <c r="LF14" s="6"/>
      <c r="LG14" s="6"/>
      <c r="LH14" s="6"/>
      <c r="LI14" s="6"/>
      <c r="LJ14" s="6"/>
      <c r="LK14" s="6"/>
      <c r="LL14" s="6"/>
      <c r="LM14" s="6"/>
      <c r="LN14" s="6"/>
      <c r="LO14" s="6"/>
      <c r="LP14" s="6"/>
      <c r="LQ14" s="6"/>
      <c r="LR14" s="6"/>
      <c r="LS14" s="6"/>
      <c r="LT14" s="6"/>
      <c r="LU14" s="6"/>
      <c r="LV14" s="6"/>
      <c r="LW14" s="6"/>
      <c r="LX14" s="6"/>
      <c r="LY14" s="6"/>
      <c r="LZ14" s="6"/>
      <c r="MA14" s="6"/>
      <c r="MB14" s="6"/>
      <c r="MC14" s="6"/>
      <c r="MD14" s="6"/>
      <c r="ME14" s="6"/>
      <c r="MF14" s="6"/>
      <c r="MG14" s="6"/>
      <c r="MH14" s="6"/>
      <c r="MI14" s="6"/>
      <c r="MJ14" s="6"/>
      <c r="MK14" s="6"/>
      <c r="ML14" s="6"/>
      <c r="MM14" s="6"/>
      <c r="MN14" s="6"/>
      <c r="MO14" s="6"/>
      <c r="MP14" s="6"/>
      <c r="MQ14" s="6"/>
      <c r="MR14" s="6"/>
      <c r="MS14" s="6"/>
      <c r="MT14" s="6"/>
      <c r="MU14" s="6"/>
      <c r="MV14" s="6"/>
      <c r="MW14" s="6"/>
      <c r="MX14" s="6"/>
      <c r="MY14" s="6"/>
      <c r="MZ14" s="6"/>
      <c r="NA14" s="6"/>
      <c r="NB14" s="6"/>
    </row>
    <row r="15" spans="1:366" ht="16" customHeight="1" x14ac:dyDescent="0.15">
      <c r="E15" s="134"/>
      <c r="F15" s="6"/>
      <c r="G15" s="6"/>
      <c r="H15" s="6"/>
      <c r="I15" s="6"/>
      <c r="J15" s="6"/>
      <c r="K15" s="6"/>
      <c r="L15" s="6"/>
      <c r="M15" s="6"/>
      <c r="N15" s="6"/>
      <c r="O15" s="6"/>
      <c r="P15" s="6"/>
      <c r="Q15" s="6"/>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c r="AW15" s="6"/>
      <c r="AX15" s="6"/>
      <c r="AY15" s="6"/>
      <c r="AZ15" s="6"/>
      <c r="BA15" s="6"/>
      <c r="BB15" s="6"/>
      <c r="BC15" s="6"/>
      <c r="BD15" s="6"/>
      <c r="BE15" s="6"/>
      <c r="BF15" s="6"/>
      <c r="BG15" s="6"/>
      <c r="BH15" s="6"/>
      <c r="BI15" s="6"/>
      <c r="BJ15" s="6"/>
      <c r="BK15" s="6"/>
      <c r="BL15" s="6"/>
      <c r="BM15" s="6"/>
      <c r="BN15" s="6"/>
      <c r="BO15" s="6"/>
      <c r="BP15" s="6"/>
      <c r="BQ15" s="6"/>
      <c r="BR15" s="6"/>
      <c r="BS15" s="6"/>
      <c r="BT15" s="6"/>
      <c r="BU15" s="6"/>
      <c r="BV15" s="6"/>
      <c r="BW15" s="6"/>
      <c r="BX15" s="6"/>
      <c r="BY15" s="6"/>
      <c r="BZ15" s="6"/>
      <c r="CA15" s="6"/>
      <c r="CB15" s="6"/>
      <c r="CC15" s="6"/>
      <c r="CD15" s="6"/>
      <c r="CE15" s="6"/>
      <c r="CF15" s="6"/>
      <c r="CG15" s="6"/>
      <c r="CH15" s="6"/>
      <c r="CI15" s="6"/>
      <c r="CJ15" s="6"/>
      <c r="CK15" s="6"/>
      <c r="CL15" s="6"/>
      <c r="CM15" s="6"/>
      <c r="CN15" s="6"/>
      <c r="CO15" s="6"/>
      <c r="CP15" s="6"/>
      <c r="CQ15" s="6"/>
      <c r="CR15" s="6"/>
      <c r="CS15" s="6"/>
      <c r="CT15" s="6"/>
      <c r="CU15" s="6"/>
      <c r="CV15" s="6"/>
      <c r="CW15" s="6"/>
      <c r="CX15" s="6"/>
      <c r="CY15" s="6"/>
      <c r="CZ15" s="6"/>
      <c r="DA15" s="6"/>
      <c r="DB15" s="6"/>
      <c r="DC15" s="6"/>
      <c r="DD15" s="6"/>
      <c r="DE15" s="6"/>
      <c r="DF15" s="6"/>
      <c r="DG15" s="6"/>
      <c r="DH15" s="6"/>
      <c r="DI15" s="6"/>
      <c r="DJ15" s="6"/>
      <c r="DK15" s="6"/>
      <c r="DL15" s="6"/>
      <c r="DM15" s="6"/>
      <c r="DN15" s="6"/>
      <c r="DO15" s="6"/>
      <c r="DP15" s="6"/>
      <c r="DQ15" s="6"/>
      <c r="DR15" s="6"/>
      <c r="DS15" s="6"/>
      <c r="DT15" s="6"/>
      <c r="DU15" s="6"/>
      <c r="DV15" s="6"/>
      <c r="DW15" s="6"/>
      <c r="DX15" s="6"/>
      <c r="DY15" s="6"/>
      <c r="DZ15" s="6"/>
      <c r="EA15" s="6"/>
      <c r="EB15" s="6"/>
      <c r="EC15" s="6"/>
      <c r="ED15" s="6"/>
      <c r="EE15" s="6"/>
      <c r="EF15" s="6"/>
      <c r="EG15" s="6"/>
      <c r="EH15" s="6"/>
      <c r="EI15" s="6"/>
      <c r="EJ15" s="6"/>
      <c r="EK15" s="6"/>
      <c r="EL15" s="6"/>
      <c r="EM15" s="6"/>
      <c r="EN15" s="6"/>
      <c r="EO15" s="6"/>
      <c r="EP15" s="6"/>
      <c r="EQ15" s="6"/>
      <c r="ER15" s="6"/>
      <c r="ES15" s="6"/>
      <c r="ET15" s="6"/>
      <c r="EU15" s="6"/>
      <c r="EV15" s="6"/>
      <c r="EW15" s="6"/>
      <c r="EX15" s="6"/>
      <c r="EY15" s="6"/>
      <c r="EZ15" s="6"/>
      <c r="FA15" s="6"/>
      <c r="FB15" s="6"/>
      <c r="FC15" s="6"/>
      <c r="FD15" s="6"/>
      <c r="FE15" s="6"/>
      <c r="FF15" s="6"/>
      <c r="FG15" s="6"/>
      <c r="FH15" s="6"/>
      <c r="FI15" s="6"/>
      <c r="FJ15" s="6"/>
      <c r="FK15" s="6"/>
      <c r="FL15" s="6"/>
      <c r="FM15" s="6"/>
      <c r="FN15" s="6"/>
      <c r="FO15" s="6"/>
      <c r="FP15" s="6"/>
      <c r="FQ15" s="6"/>
      <c r="FR15" s="6"/>
      <c r="FS15" s="6"/>
      <c r="FT15" s="6"/>
      <c r="FU15" s="6"/>
      <c r="FV15" s="6"/>
      <c r="FW15" s="6"/>
      <c r="FX15" s="6"/>
      <c r="FY15" s="6"/>
      <c r="FZ15" s="6"/>
      <c r="GA15" s="6"/>
      <c r="GB15" s="6"/>
      <c r="GC15" s="6"/>
      <c r="GD15" s="6"/>
      <c r="GE15" s="6"/>
      <c r="GF15" s="6"/>
      <c r="GG15" s="6"/>
      <c r="GH15" s="6"/>
      <c r="GI15" s="6"/>
      <c r="GJ15" s="6"/>
      <c r="GK15" s="6"/>
      <c r="GL15" s="6"/>
      <c r="GM15" s="6"/>
      <c r="GN15" s="6"/>
      <c r="GO15" s="6"/>
      <c r="GP15" s="6"/>
      <c r="GQ15" s="6"/>
      <c r="GR15" s="6"/>
      <c r="GS15" s="6"/>
      <c r="GT15" s="6"/>
      <c r="GU15" s="6"/>
      <c r="GV15" s="6"/>
      <c r="GW15" s="6"/>
      <c r="GX15" s="6"/>
      <c r="GY15" s="6"/>
      <c r="GZ15" s="6"/>
      <c r="HA15" s="6"/>
      <c r="HB15" s="6"/>
      <c r="HC15" s="6"/>
      <c r="HD15" s="6"/>
      <c r="HE15" s="6"/>
      <c r="HF15" s="6"/>
      <c r="HG15" s="6"/>
      <c r="HH15" s="6"/>
      <c r="HI15" s="6"/>
      <c r="HJ15" s="6"/>
      <c r="HK15" s="6"/>
      <c r="HL15" s="6"/>
      <c r="HM15" s="6"/>
      <c r="HN15" s="6"/>
      <c r="HO15" s="6"/>
      <c r="HP15" s="6"/>
      <c r="HQ15" s="6"/>
      <c r="HR15" s="6"/>
      <c r="HS15" s="6"/>
      <c r="HT15" s="6"/>
      <c r="HU15" s="6"/>
      <c r="HV15" s="6"/>
      <c r="HW15" s="6"/>
      <c r="HX15" s="6"/>
      <c r="HY15" s="6"/>
      <c r="HZ15" s="6"/>
      <c r="IA15" s="6"/>
      <c r="IB15" s="6"/>
      <c r="IC15" s="6"/>
      <c r="ID15" s="6"/>
      <c r="IE15" s="6"/>
      <c r="IF15" s="6"/>
      <c r="IG15" s="6"/>
      <c r="IH15" s="6"/>
      <c r="II15" s="6"/>
      <c r="IJ15" s="6"/>
      <c r="IK15" s="6"/>
      <c r="IL15" s="6"/>
      <c r="IM15" s="6"/>
      <c r="IN15" s="6"/>
      <c r="IO15" s="6"/>
      <c r="IP15" s="6"/>
      <c r="IQ15" s="6"/>
      <c r="IR15" s="6"/>
      <c r="IS15" s="6"/>
      <c r="IT15" s="6"/>
      <c r="IU15" s="6"/>
      <c r="IV15" s="6"/>
      <c r="IW15" s="6"/>
      <c r="IX15" s="6"/>
      <c r="IY15" s="6"/>
      <c r="IZ15" s="6"/>
      <c r="JA15" s="6"/>
      <c r="JB15" s="6"/>
      <c r="JC15" s="6"/>
      <c r="JD15" s="6"/>
      <c r="JE15" s="6"/>
      <c r="JF15" s="6"/>
      <c r="JG15" s="6"/>
      <c r="JH15" s="6"/>
      <c r="JI15" s="6"/>
      <c r="JJ15" s="6"/>
      <c r="JK15" s="6"/>
      <c r="JL15" s="6"/>
      <c r="JM15" s="6"/>
      <c r="JN15" s="6"/>
      <c r="JO15" s="6"/>
      <c r="JP15" s="6"/>
      <c r="JQ15" s="6"/>
      <c r="JR15" s="6"/>
      <c r="JS15" s="6"/>
      <c r="JT15" s="6"/>
      <c r="JU15" s="6"/>
      <c r="JV15" s="6"/>
      <c r="JW15" s="6"/>
      <c r="JX15" s="6"/>
      <c r="JY15" s="6"/>
      <c r="JZ15" s="6"/>
      <c r="KA15" s="6"/>
      <c r="KB15" s="6"/>
      <c r="KC15" s="6"/>
      <c r="KD15" s="6"/>
      <c r="KE15" s="6"/>
      <c r="KF15" s="6"/>
      <c r="KG15" s="6"/>
      <c r="KH15" s="6"/>
      <c r="KI15" s="6"/>
      <c r="KJ15" s="6"/>
      <c r="KK15" s="6"/>
      <c r="KL15" s="6"/>
      <c r="KM15" s="6"/>
      <c r="KN15" s="6"/>
      <c r="KO15" s="6"/>
      <c r="KP15" s="6"/>
      <c r="KQ15" s="6"/>
      <c r="KR15" s="6"/>
      <c r="KS15" s="6"/>
      <c r="KT15" s="6"/>
      <c r="KU15" s="6"/>
      <c r="KV15" s="6"/>
      <c r="KW15" s="6"/>
      <c r="KX15" s="6"/>
      <c r="KY15" s="6"/>
      <c r="KZ15" s="6"/>
      <c r="LA15" s="6"/>
      <c r="LB15" s="6"/>
      <c r="LC15" s="6"/>
      <c r="LD15" s="6"/>
      <c r="LE15" s="6"/>
      <c r="LF15" s="6"/>
      <c r="LG15" s="6"/>
      <c r="LH15" s="6"/>
      <c r="LI15" s="6"/>
      <c r="LJ15" s="6"/>
      <c r="LK15" s="6"/>
      <c r="LL15" s="6"/>
      <c r="LM15" s="6"/>
      <c r="LN15" s="6"/>
      <c r="LO15" s="6"/>
      <c r="LP15" s="6"/>
      <c r="LQ15" s="6"/>
      <c r="LR15" s="6"/>
      <c r="LS15" s="6"/>
      <c r="LT15" s="6"/>
      <c r="LU15" s="6"/>
      <c r="LV15" s="6"/>
      <c r="LW15" s="6"/>
      <c r="LX15" s="6"/>
      <c r="LY15" s="6"/>
      <c r="LZ15" s="6"/>
      <c r="MA15" s="6"/>
      <c r="MB15" s="6"/>
      <c r="MC15" s="6"/>
      <c r="MD15" s="6"/>
      <c r="ME15" s="6"/>
      <c r="MF15" s="6"/>
      <c r="MG15" s="6"/>
      <c r="MH15" s="6"/>
      <c r="MI15" s="6"/>
      <c r="MJ15" s="6"/>
      <c r="MK15" s="6"/>
      <c r="ML15" s="6"/>
      <c r="MM15" s="6"/>
      <c r="MN15" s="6"/>
      <c r="MO15" s="6"/>
      <c r="MP15" s="6"/>
      <c r="MQ15" s="6"/>
      <c r="MR15" s="6"/>
      <c r="MS15" s="6"/>
      <c r="MT15" s="6"/>
      <c r="MU15" s="6"/>
      <c r="MV15" s="6"/>
      <c r="MW15" s="6"/>
      <c r="MX15" s="6"/>
      <c r="MY15" s="6"/>
      <c r="MZ15" s="6"/>
      <c r="NA15" s="6"/>
      <c r="NB15" s="6"/>
    </row>
    <row r="16" spans="1:366" ht="16" customHeight="1" x14ac:dyDescent="0.15">
      <c r="B16" t="s">
        <v>110</v>
      </c>
      <c r="E16" s="134"/>
      <c r="F16" s="118"/>
      <c r="G16" s="118">
        <f t="shared" ref="G16:AL16" si="31">IF(AND(G$7&gt;1,MOD(G$7,12)=1),rental_growth_rate,0)</f>
        <v>0</v>
      </c>
      <c r="H16" s="118">
        <f t="shared" si="31"/>
        <v>0</v>
      </c>
      <c r="I16" s="118">
        <f t="shared" si="31"/>
        <v>0</v>
      </c>
      <c r="J16" s="118">
        <f t="shared" si="31"/>
        <v>0</v>
      </c>
      <c r="K16" s="118">
        <f t="shared" si="31"/>
        <v>0</v>
      </c>
      <c r="L16" s="120">
        <f t="shared" si="31"/>
        <v>0</v>
      </c>
      <c r="M16" s="118">
        <f t="shared" si="31"/>
        <v>0</v>
      </c>
      <c r="N16" s="118">
        <f t="shared" si="31"/>
        <v>0</v>
      </c>
      <c r="O16" s="118">
        <f t="shared" si="31"/>
        <v>0</v>
      </c>
      <c r="P16" s="118">
        <f t="shared" si="31"/>
        <v>0</v>
      </c>
      <c r="Q16" s="118">
        <f t="shared" si="31"/>
        <v>0</v>
      </c>
      <c r="R16" s="118">
        <f t="shared" si="31"/>
        <v>0</v>
      </c>
      <c r="S16" s="118">
        <f t="shared" si="31"/>
        <v>2.5000000000000001E-2</v>
      </c>
      <c r="T16" s="118">
        <f t="shared" si="31"/>
        <v>0</v>
      </c>
      <c r="U16" s="118">
        <f t="shared" si="31"/>
        <v>0</v>
      </c>
      <c r="V16" s="118">
        <f t="shared" si="31"/>
        <v>0</v>
      </c>
      <c r="W16" s="118">
        <f t="shared" si="31"/>
        <v>0</v>
      </c>
      <c r="X16" s="118">
        <f t="shared" si="31"/>
        <v>0</v>
      </c>
      <c r="Y16" s="118">
        <f t="shared" si="31"/>
        <v>0</v>
      </c>
      <c r="Z16" s="118">
        <f t="shared" si="31"/>
        <v>0</v>
      </c>
      <c r="AA16" s="118">
        <f t="shared" si="31"/>
        <v>0</v>
      </c>
      <c r="AB16" s="118">
        <f t="shared" si="31"/>
        <v>0</v>
      </c>
      <c r="AC16" s="118">
        <f t="shared" si="31"/>
        <v>0</v>
      </c>
      <c r="AD16" s="118">
        <f t="shared" si="31"/>
        <v>0</v>
      </c>
      <c r="AE16" s="118">
        <f t="shared" si="31"/>
        <v>2.5000000000000001E-2</v>
      </c>
      <c r="AF16" s="118">
        <f t="shared" si="31"/>
        <v>0</v>
      </c>
      <c r="AG16" s="118">
        <f t="shared" si="31"/>
        <v>0</v>
      </c>
      <c r="AH16" s="118">
        <f t="shared" si="31"/>
        <v>0</v>
      </c>
      <c r="AI16" s="118">
        <f t="shared" si="31"/>
        <v>0</v>
      </c>
      <c r="AJ16" s="118">
        <f t="shared" si="31"/>
        <v>0</v>
      </c>
      <c r="AK16" s="118">
        <f t="shared" si="31"/>
        <v>0</v>
      </c>
      <c r="AL16" s="118">
        <f t="shared" si="31"/>
        <v>0</v>
      </c>
      <c r="AM16" s="118">
        <f t="shared" ref="AM16:BR16" si="32">IF(AND(AM$7&gt;1,MOD(AM$7,12)=1),rental_growth_rate,0)</f>
        <v>0</v>
      </c>
      <c r="AN16" s="118">
        <f t="shared" si="32"/>
        <v>0</v>
      </c>
      <c r="AO16" s="118">
        <f t="shared" si="32"/>
        <v>0</v>
      </c>
      <c r="AP16" s="118">
        <f t="shared" si="32"/>
        <v>0</v>
      </c>
      <c r="AQ16" s="118">
        <f t="shared" si="32"/>
        <v>2.5000000000000001E-2</v>
      </c>
      <c r="AR16" s="118">
        <f t="shared" si="32"/>
        <v>0</v>
      </c>
      <c r="AS16" s="118">
        <f t="shared" si="32"/>
        <v>0</v>
      </c>
      <c r="AT16" s="118">
        <f t="shared" si="32"/>
        <v>0</v>
      </c>
      <c r="AU16" s="118">
        <f t="shared" si="32"/>
        <v>0</v>
      </c>
      <c r="AV16" s="118">
        <f t="shared" si="32"/>
        <v>0</v>
      </c>
      <c r="AW16" s="118">
        <f t="shared" si="32"/>
        <v>0</v>
      </c>
      <c r="AX16" s="118">
        <f t="shared" si="32"/>
        <v>0</v>
      </c>
      <c r="AY16" s="118">
        <f t="shared" si="32"/>
        <v>0</v>
      </c>
      <c r="AZ16" s="118">
        <f t="shared" si="32"/>
        <v>0</v>
      </c>
      <c r="BA16" s="118">
        <f t="shared" si="32"/>
        <v>0</v>
      </c>
      <c r="BB16" s="118">
        <f t="shared" si="32"/>
        <v>0</v>
      </c>
      <c r="BC16" s="118">
        <f t="shared" si="32"/>
        <v>2.5000000000000001E-2</v>
      </c>
      <c r="BD16" s="118">
        <f t="shared" si="32"/>
        <v>0</v>
      </c>
      <c r="BE16" s="118">
        <f t="shared" si="32"/>
        <v>0</v>
      </c>
      <c r="BF16" s="118">
        <f t="shared" si="32"/>
        <v>0</v>
      </c>
      <c r="BG16" s="118">
        <f t="shared" si="32"/>
        <v>0</v>
      </c>
      <c r="BH16" s="118">
        <f t="shared" si="32"/>
        <v>0</v>
      </c>
      <c r="BI16" s="118">
        <f t="shared" si="32"/>
        <v>0</v>
      </c>
      <c r="BJ16" s="118">
        <f t="shared" si="32"/>
        <v>0</v>
      </c>
      <c r="BK16" s="118">
        <f t="shared" si="32"/>
        <v>0</v>
      </c>
      <c r="BL16" s="118">
        <f t="shared" si="32"/>
        <v>0</v>
      </c>
      <c r="BM16" s="118">
        <f t="shared" si="32"/>
        <v>0</v>
      </c>
      <c r="BN16" s="118">
        <f t="shared" si="32"/>
        <v>0</v>
      </c>
      <c r="BO16" s="118">
        <f t="shared" si="32"/>
        <v>2.5000000000000001E-2</v>
      </c>
      <c r="BP16" s="118">
        <f t="shared" si="32"/>
        <v>0</v>
      </c>
      <c r="BQ16" s="118">
        <f t="shared" si="32"/>
        <v>0</v>
      </c>
      <c r="BR16" s="118">
        <f t="shared" si="32"/>
        <v>0</v>
      </c>
      <c r="BS16" s="118">
        <f t="shared" ref="BS16:CX16" si="33">IF(AND(BS$7&gt;1,MOD(BS$7,12)=1),rental_growth_rate,0)</f>
        <v>0</v>
      </c>
      <c r="BT16" s="118">
        <f t="shared" si="33"/>
        <v>0</v>
      </c>
      <c r="BU16" s="118">
        <f t="shared" si="33"/>
        <v>0</v>
      </c>
      <c r="BV16" s="118">
        <f t="shared" si="33"/>
        <v>0</v>
      </c>
      <c r="BW16" s="118">
        <f t="shared" si="33"/>
        <v>0</v>
      </c>
      <c r="BX16" s="118">
        <f t="shared" si="33"/>
        <v>0</v>
      </c>
      <c r="BY16" s="118">
        <f t="shared" si="33"/>
        <v>0</v>
      </c>
      <c r="BZ16" s="118">
        <f t="shared" si="33"/>
        <v>0</v>
      </c>
      <c r="CA16" s="118">
        <f t="shared" si="33"/>
        <v>2.5000000000000001E-2</v>
      </c>
      <c r="CB16" s="118">
        <f t="shared" si="33"/>
        <v>0</v>
      </c>
      <c r="CC16" s="118">
        <f t="shared" si="33"/>
        <v>0</v>
      </c>
      <c r="CD16" s="118">
        <f t="shared" si="33"/>
        <v>0</v>
      </c>
      <c r="CE16" s="118">
        <f t="shared" si="33"/>
        <v>0</v>
      </c>
      <c r="CF16" s="118">
        <f t="shared" si="33"/>
        <v>0</v>
      </c>
      <c r="CG16" s="118">
        <f t="shared" si="33"/>
        <v>0</v>
      </c>
      <c r="CH16" s="118">
        <f t="shared" si="33"/>
        <v>0</v>
      </c>
      <c r="CI16" s="118">
        <f t="shared" si="33"/>
        <v>0</v>
      </c>
      <c r="CJ16" s="118">
        <f t="shared" si="33"/>
        <v>0</v>
      </c>
      <c r="CK16" s="118">
        <f t="shared" si="33"/>
        <v>0</v>
      </c>
      <c r="CL16" s="118">
        <f t="shared" si="33"/>
        <v>0</v>
      </c>
      <c r="CM16" s="118">
        <f t="shared" si="33"/>
        <v>2.5000000000000001E-2</v>
      </c>
      <c r="CN16" s="118">
        <f t="shared" si="33"/>
        <v>0</v>
      </c>
      <c r="CO16" s="118">
        <f t="shared" si="33"/>
        <v>0</v>
      </c>
      <c r="CP16" s="118">
        <f t="shared" si="33"/>
        <v>0</v>
      </c>
      <c r="CQ16" s="118">
        <f t="shared" si="33"/>
        <v>0</v>
      </c>
      <c r="CR16" s="118">
        <f t="shared" si="33"/>
        <v>0</v>
      </c>
      <c r="CS16" s="118">
        <f t="shared" si="33"/>
        <v>0</v>
      </c>
      <c r="CT16" s="118">
        <f t="shared" si="33"/>
        <v>0</v>
      </c>
      <c r="CU16" s="118">
        <f t="shared" si="33"/>
        <v>0</v>
      </c>
      <c r="CV16" s="118">
        <f t="shared" si="33"/>
        <v>0</v>
      </c>
      <c r="CW16" s="118">
        <f t="shared" si="33"/>
        <v>0</v>
      </c>
      <c r="CX16" s="118">
        <f t="shared" si="33"/>
        <v>0</v>
      </c>
      <c r="CY16" s="118">
        <f t="shared" ref="CY16:ED16" si="34">IF(AND(CY$7&gt;1,MOD(CY$7,12)=1),rental_growth_rate,0)</f>
        <v>2.5000000000000001E-2</v>
      </c>
      <c r="CZ16" s="118">
        <f t="shared" si="34"/>
        <v>0</v>
      </c>
      <c r="DA16" s="118">
        <f t="shared" si="34"/>
        <v>0</v>
      </c>
      <c r="DB16" s="118">
        <f t="shared" si="34"/>
        <v>0</v>
      </c>
      <c r="DC16" s="118">
        <f t="shared" si="34"/>
        <v>0</v>
      </c>
      <c r="DD16" s="118">
        <f t="shared" si="34"/>
        <v>0</v>
      </c>
      <c r="DE16" s="118">
        <f t="shared" si="34"/>
        <v>0</v>
      </c>
      <c r="DF16" s="118">
        <f t="shared" si="34"/>
        <v>0</v>
      </c>
      <c r="DG16" s="118">
        <f t="shared" si="34"/>
        <v>0</v>
      </c>
      <c r="DH16" s="118">
        <f t="shared" si="34"/>
        <v>0</v>
      </c>
      <c r="DI16" s="118">
        <f t="shared" si="34"/>
        <v>0</v>
      </c>
      <c r="DJ16" s="118">
        <f t="shared" si="34"/>
        <v>0</v>
      </c>
      <c r="DK16" s="118">
        <f t="shared" si="34"/>
        <v>2.5000000000000001E-2</v>
      </c>
      <c r="DL16" s="118">
        <f t="shared" si="34"/>
        <v>0</v>
      </c>
      <c r="DM16" s="118">
        <f t="shared" si="34"/>
        <v>0</v>
      </c>
      <c r="DN16" s="118">
        <f t="shared" si="34"/>
        <v>0</v>
      </c>
      <c r="DO16" s="118">
        <f t="shared" si="34"/>
        <v>0</v>
      </c>
      <c r="DP16" s="118">
        <f t="shared" si="34"/>
        <v>0</v>
      </c>
      <c r="DQ16" s="118">
        <f t="shared" si="34"/>
        <v>0</v>
      </c>
      <c r="DR16" s="118">
        <f t="shared" si="34"/>
        <v>0</v>
      </c>
      <c r="DS16" s="118">
        <f t="shared" si="34"/>
        <v>0</v>
      </c>
      <c r="DT16" s="118">
        <f t="shared" si="34"/>
        <v>0</v>
      </c>
      <c r="DU16" s="118">
        <f t="shared" si="34"/>
        <v>0</v>
      </c>
      <c r="DV16" s="118">
        <f t="shared" si="34"/>
        <v>0</v>
      </c>
      <c r="DW16" s="118">
        <f t="shared" si="34"/>
        <v>2.5000000000000001E-2</v>
      </c>
      <c r="DX16" s="118">
        <f t="shared" si="34"/>
        <v>0</v>
      </c>
      <c r="DY16" s="118">
        <f t="shared" si="34"/>
        <v>0</v>
      </c>
      <c r="DZ16" s="118">
        <f t="shared" si="34"/>
        <v>0</v>
      </c>
      <c r="EA16" s="118">
        <f t="shared" si="34"/>
        <v>0</v>
      </c>
      <c r="EB16" s="118">
        <f t="shared" si="34"/>
        <v>0</v>
      </c>
      <c r="EC16" s="118">
        <f t="shared" si="34"/>
        <v>0</v>
      </c>
      <c r="ED16" s="118">
        <f t="shared" si="34"/>
        <v>0</v>
      </c>
      <c r="EE16" s="118">
        <f t="shared" ref="EE16:FJ16" si="35">IF(AND(EE$7&gt;1,MOD(EE$7,12)=1),rental_growth_rate,0)</f>
        <v>0</v>
      </c>
      <c r="EF16" s="118">
        <f t="shared" si="35"/>
        <v>0</v>
      </c>
      <c r="EG16" s="118">
        <f t="shared" si="35"/>
        <v>0</v>
      </c>
      <c r="EH16" s="118">
        <f t="shared" si="35"/>
        <v>0</v>
      </c>
      <c r="EI16" s="118">
        <f t="shared" si="35"/>
        <v>2.5000000000000001E-2</v>
      </c>
      <c r="EJ16" s="118">
        <f t="shared" si="35"/>
        <v>0</v>
      </c>
      <c r="EK16" s="118">
        <f t="shared" si="35"/>
        <v>0</v>
      </c>
      <c r="EL16" s="118">
        <f t="shared" si="35"/>
        <v>0</v>
      </c>
      <c r="EM16" s="118">
        <f t="shared" si="35"/>
        <v>0</v>
      </c>
      <c r="EN16" s="118">
        <f t="shared" si="35"/>
        <v>0</v>
      </c>
      <c r="EO16" s="118">
        <f t="shared" si="35"/>
        <v>0</v>
      </c>
      <c r="EP16" s="118">
        <f t="shared" si="35"/>
        <v>0</v>
      </c>
      <c r="EQ16" s="118">
        <f t="shared" si="35"/>
        <v>0</v>
      </c>
      <c r="ER16" s="118">
        <f t="shared" si="35"/>
        <v>0</v>
      </c>
      <c r="ES16" s="118">
        <f t="shared" si="35"/>
        <v>0</v>
      </c>
      <c r="ET16" s="118">
        <f t="shared" si="35"/>
        <v>0</v>
      </c>
      <c r="EU16" s="118">
        <f t="shared" si="35"/>
        <v>2.5000000000000001E-2</v>
      </c>
      <c r="EV16" s="118">
        <f t="shared" si="35"/>
        <v>0</v>
      </c>
      <c r="EW16" s="118">
        <f t="shared" si="35"/>
        <v>0</v>
      </c>
      <c r="EX16" s="118">
        <f t="shared" si="35"/>
        <v>0</v>
      </c>
      <c r="EY16" s="118">
        <f t="shared" si="35"/>
        <v>0</v>
      </c>
      <c r="EZ16" s="118">
        <f t="shared" si="35"/>
        <v>0</v>
      </c>
      <c r="FA16" s="118">
        <f t="shared" si="35"/>
        <v>0</v>
      </c>
      <c r="FB16" s="118">
        <f t="shared" si="35"/>
        <v>0</v>
      </c>
      <c r="FC16" s="118">
        <f t="shared" si="35"/>
        <v>0</v>
      </c>
      <c r="FD16" s="118">
        <f t="shared" si="35"/>
        <v>0</v>
      </c>
      <c r="FE16" s="118">
        <f t="shared" si="35"/>
        <v>0</v>
      </c>
      <c r="FF16" s="118">
        <f t="shared" si="35"/>
        <v>0</v>
      </c>
      <c r="FG16" s="118">
        <f t="shared" si="35"/>
        <v>2.5000000000000001E-2</v>
      </c>
      <c r="FH16" s="118">
        <f t="shared" si="35"/>
        <v>0</v>
      </c>
      <c r="FI16" s="118">
        <f t="shared" si="35"/>
        <v>0</v>
      </c>
      <c r="FJ16" s="118">
        <f t="shared" si="35"/>
        <v>0</v>
      </c>
      <c r="FK16" s="118">
        <f t="shared" ref="FK16:GM16" si="36">IF(AND(FK$7&gt;1,MOD(FK$7,12)=1),rental_growth_rate,0)</f>
        <v>0</v>
      </c>
      <c r="FL16" s="118">
        <f t="shared" si="36"/>
        <v>0</v>
      </c>
      <c r="FM16" s="118">
        <f t="shared" si="36"/>
        <v>0</v>
      </c>
      <c r="FN16" s="118">
        <f t="shared" si="36"/>
        <v>0</v>
      </c>
      <c r="FO16" s="118">
        <f t="shared" si="36"/>
        <v>0</v>
      </c>
      <c r="FP16" s="118">
        <f t="shared" si="36"/>
        <v>0</v>
      </c>
      <c r="FQ16" s="118">
        <f t="shared" si="36"/>
        <v>0</v>
      </c>
      <c r="FR16" s="118">
        <f t="shared" si="36"/>
        <v>0</v>
      </c>
      <c r="FS16" s="118">
        <f t="shared" si="36"/>
        <v>2.5000000000000001E-2</v>
      </c>
      <c r="FT16" s="118">
        <f t="shared" si="36"/>
        <v>0</v>
      </c>
      <c r="FU16" s="118">
        <f t="shared" si="36"/>
        <v>0</v>
      </c>
      <c r="FV16" s="118">
        <f t="shared" si="36"/>
        <v>0</v>
      </c>
      <c r="FW16" s="118">
        <f t="shared" si="36"/>
        <v>0</v>
      </c>
      <c r="FX16" s="118">
        <f t="shared" si="36"/>
        <v>0</v>
      </c>
      <c r="FY16" s="118">
        <f t="shared" si="36"/>
        <v>0</v>
      </c>
      <c r="FZ16" s="118">
        <f t="shared" si="36"/>
        <v>0</v>
      </c>
      <c r="GA16" s="118">
        <f t="shared" si="36"/>
        <v>0</v>
      </c>
      <c r="GB16" s="118">
        <f t="shared" si="36"/>
        <v>0</v>
      </c>
      <c r="GC16" s="118">
        <f t="shared" si="36"/>
        <v>0</v>
      </c>
      <c r="GD16" s="118">
        <f t="shared" si="36"/>
        <v>0</v>
      </c>
      <c r="GE16" s="118">
        <f t="shared" si="36"/>
        <v>2.5000000000000001E-2</v>
      </c>
      <c r="GF16" s="118">
        <f t="shared" si="36"/>
        <v>0</v>
      </c>
      <c r="GG16" s="118">
        <f t="shared" si="36"/>
        <v>0</v>
      </c>
      <c r="GH16" s="118">
        <f t="shared" si="36"/>
        <v>0</v>
      </c>
      <c r="GI16" s="118">
        <f t="shared" si="36"/>
        <v>0</v>
      </c>
      <c r="GJ16" s="118">
        <f t="shared" si="36"/>
        <v>0</v>
      </c>
      <c r="GK16" s="118">
        <f t="shared" si="36"/>
        <v>0</v>
      </c>
      <c r="GL16" s="118">
        <f t="shared" si="36"/>
        <v>0</v>
      </c>
      <c r="GM16" s="118">
        <f t="shared" si="36"/>
        <v>0</v>
      </c>
      <c r="GN16" s="605"/>
      <c r="GO16" s="605"/>
      <c r="GP16" s="605"/>
      <c r="GQ16" s="6"/>
      <c r="GR16" s="6"/>
      <c r="GS16" s="6"/>
      <c r="GT16" s="6"/>
      <c r="GU16" s="6"/>
      <c r="GV16" s="6"/>
      <c r="GW16" s="6"/>
      <c r="GX16" s="6"/>
      <c r="GY16" s="6"/>
      <c r="GZ16" s="6"/>
      <c r="HA16" s="6"/>
      <c r="HB16" s="6"/>
      <c r="HC16" s="6"/>
      <c r="HD16" s="6"/>
      <c r="HE16" s="6"/>
      <c r="HF16" s="6"/>
      <c r="HG16" s="6"/>
      <c r="HH16" s="6"/>
      <c r="HI16" s="6"/>
      <c r="HJ16" s="6"/>
      <c r="HK16" s="6"/>
      <c r="HL16" s="6"/>
      <c r="HM16" s="6"/>
      <c r="HN16" s="6"/>
      <c r="HO16" s="6"/>
      <c r="HP16" s="6"/>
      <c r="HQ16" s="6"/>
      <c r="HR16" s="6"/>
      <c r="HS16" s="6"/>
      <c r="HT16" s="6"/>
      <c r="HU16" s="6"/>
      <c r="HV16" s="6"/>
      <c r="HW16" s="6"/>
      <c r="HX16" s="6"/>
      <c r="HY16" s="6"/>
      <c r="HZ16" s="6"/>
      <c r="IA16" s="6"/>
      <c r="IB16" s="6"/>
      <c r="IC16" s="6"/>
      <c r="ID16" s="6"/>
      <c r="IE16" s="6"/>
      <c r="IF16" s="6"/>
      <c r="IG16" s="6"/>
      <c r="IH16" s="6"/>
      <c r="II16" s="6"/>
      <c r="IJ16" s="6"/>
      <c r="IK16" s="6"/>
      <c r="IL16" s="6"/>
      <c r="IM16" s="6"/>
      <c r="IN16" s="6"/>
      <c r="IO16" s="6"/>
      <c r="IP16" s="6"/>
      <c r="IQ16" s="6"/>
      <c r="IR16" s="6"/>
      <c r="IS16" s="6"/>
      <c r="IT16" s="6"/>
      <c r="IU16" s="6"/>
      <c r="IV16" s="6"/>
      <c r="IW16" s="6"/>
      <c r="IX16" s="6"/>
      <c r="IY16" s="6"/>
      <c r="IZ16" s="6"/>
      <c r="JA16" s="6"/>
      <c r="JB16" s="6"/>
      <c r="JC16" s="6"/>
      <c r="JD16" s="6"/>
      <c r="JE16" s="6"/>
      <c r="JF16" s="6"/>
      <c r="JG16" s="6"/>
      <c r="JH16" s="6"/>
      <c r="JI16" s="6"/>
      <c r="JJ16" s="6"/>
      <c r="JK16" s="6"/>
      <c r="JL16" s="6"/>
      <c r="JM16" s="6"/>
      <c r="JN16" s="6"/>
      <c r="JO16" s="6"/>
      <c r="JP16" s="6"/>
      <c r="JQ16" s="6"/>
      <c r="JR16" s="6"/>
      <c r="JS16" s="6"/>
      <c r="JT16" s="6"/>
      <c r="JU16" s="6"/>
      <c r="JV16" s="6"/>
      <c r="JW16" s="6"/>
      <c r="JX16" s="6"/>
      <c r="JY16" s="6"/>
      <c r="JZ16" s="6"/>
      <c r="KA16" s="6"/>
      <c r="KB16" s="6"/>
      <c r="KC16" s="6"/>
      <c r="KD16" s="6"/>
      <c r="KE16" s="6"/>
      <c r="KF16" s="6"/>
      <c r="KG16" s="6"/>
      <c r="KH16" s="6"/>
      <c r="KI16" s="6"/>
      <c r="KJ16" s="6"/>
      <c r="KK16" s="6"/>
      <c r="KL16" s="6"/>
      <c r="KM16" s="6"/>
      <c r="KN16" s="6"/>
      <c r="KO16" s="6"/>
      <c r="KP16" s="6"/>
      <c r="KQ16" s="6"/>
      <c r="KR16" s="6"/>
      <c r="KS16" s="6"/>
      <c r="KT16" s="6"/>
      <c r="KU16" s="6"/>
      <c r="KV16" s="6"/>
      <c r="KW16" s="6"/>
      <c r="KX16" s="6"/>
      <c r="KY16" s="6"/>
      <c r="KZ16" s="6"/>
      <c r="LA16" s="6"/>
      <c r="LB16" s="6"/>
      <c r="LC16" s="6"/>
      <c r="LD16" s="6"/>
      <c r="LE16" s="6"/>
      <c r="LF16" s="6"/>
      <c r="LG16" s="6"/>
      <c r="LH16" s="6"/>
      <c r="LI16" s="6"/>
      <c r="LJ16" s="6"/>
      <c r="LK16" s="6"/>
      <c r="LL16" s="6"/>
      <c r="LM16" s="6"/>
      <c r="LN16" s="6"/>
      <c r="LO16" s="6"/>
      <c r="LP16" s="6"/>
      <c r="LQ16" s="6"/>
      <c r="LR16" s="6"/>
      <c r="LS16" s="6"/>
      <c r="LT16" s="6"/>
      <c r="LU16" s="6"/>
      <c r="LV16" s="6"/>
      <c r="LW16" s="6"/>
      <c r="LX16" s="6"/>
      <c r="LY16" s="6"/>
      <c r="LZ16" s="6"/>
      <c r="MA16" s="6"/>
      <c r="MB16" s="6"/>
      <c r="MC16" s="6"/>
      <c r="MD16" s="6"/>
      <c r="ME16" s="6"/>
      <c r="MF16" s="6"/>
      <c r="MG16" s="6"/>
      <c r="MH16" s="6"/>
      <c r="MI16" s="6"/>
      <c r="MJ16" s="6"/>
      <c r="MK16" s="6"/>
      <c r="ML16" s="6"/>
      <c r="MM16" s="6"/>
      <c r="MN16" s="6"/>
      <c r="MO16" s="6"/>
      <c r="MP16" s="6"/>
      <c r="MQ16" s="6"/>
      <c r="MR16" s="6"/>
      <c r="MS16" s="6"/>
      <c r="MT16" s="6"/>
      <c r="MU16" s="6"/>
      <c r="MV16" s="6"/>
      <c r="MW16" s="6"/>
      <c r="MX16" s="6"/>
      <c r="MY16" s="6"/>
      <c r="MZ16" s="6"/>
      <c r="NA16" s="6"/>
      <c r="NB16" s="6"/>
    </row>
    <row r="17" spans="1:366" ht="16" customHeight="1" x14ac:dyDescent="0.15">
      <c r="B17" t="s">
        <v>470</v>
      </c>
      <c r="E17" s="134"/>
      <c r="F17" s="118"/>
      <c r="G17" s="118">
        <f t="shared" ref="G17:P18" si="37">IF(AND(G$7&gt;1,MOD(G$7,12)=1),inflation,0)</f>
        <v>0</v>
      </c>
      <c r="H17" s="118">
        <f t="shared" si="37"/>
        <v>0</v>
      </c>
      <c r="I17" s="118">
        <f t="shared" si="37"/>
        <v>0</v>
      </c>
      <c r="J17" s="118">
        <f t="shared" si="37"/>
        <v>0</v>
      </c>
      <c r="K17" s="118">
        <f t="shared" si="37"/>
        <v>0</v>
      </c>
      <c r="L17" s="120">
        <f t="shared" si="37"/>
        <v>0</v>
      </c>
      <c r="M17" s="118">
        <f t="shared" si="37"/>
        <v>0</v>
      </c>
      <c r="N17" s="118">
        <f t="shared" si="37"/>
        <v>0</v>
      </c>
      <c r="O17" s="118">
        <f t="shared" si="37"/>
        <v>0</v>
      </c>
      <c r="P17" s="118">
        <f t="shared" si="37"/>
        <v>0</v>
      </c>
      <c r="Q17" s="118">
        <f t="shared" ref="Q17:Z18" si="38">IF(AND(Q$7&gt;1,MOD(Q$7,12)=1),inflation,0)</f>
        <v>0</v>
      </c>
      <c r="R17" s="118">
        <f t="shared" si="38"/>
        <v>0</v>
      </c>
      <c r="S17" s="118">
        <f t="shared" si="38"/>
        <v>2.5000000000000001E-2</v>
      </c>
      <c r="T17" s="118">
        <f t="shared" si="38"/>
        <v>0</v>
      </c>
      <c r="U17" s="118">
        <f t="shared" si="38"/>
        <v>0</v>
      </c>
      <c r="V17" s="118">
        <f t="shared" si="38"/>
        <v>0</v>
      </c>
      <c r="W17" s="118">
        <f t="shared" si="38"/>
        <v>0</v>
      </c>
      <c r="X17" s="118">
        <f t="shared" si="38"/>
        <v>0</v>
      </c>
      <c r="Y17" s="118">
        <f t="shared" si="38"/>
        <v>0</v>
      </c>
      <c r="Z17" s="118">
        <f t="shared" si="38"/>
        <v>0</v>
      </c>
      <c r="AA17" s="118">
        <f t="shared" ref="AA17:AJ18" si="39">IF(AND(AA$7&gt;1,MOD(AA$7,12)=1),inflation,0)</f>
        <v>0</v>
      </c>
      <c r="AB17" s="118">
        <f t="shared" si="39"/>
        <v>0</v>
      </c>
      <c r="AC17" s="118">
        <f t="shared" si="39"/>
        <v>0</v>
      </c>
      <c r="AD17" s="118">
        <f t="shared" si="39"/>
        <v>0</v>
      </c>
      <c r="AE17" s="118">
        <f t="shared" si="39"/>
        <v>2.5000000000000001E-2</v>
      </c>
      <c r="AF17" s="118">
        <f t="shared" si="39"/>
        <v>0</v>
      </c>
      <c r="AG17" s="118">
        <f t="shared" si="39"/>
        <v>0</v>
      </c>
      <c r="AH17" s="118">
        <f t="shared" si="39"/>
        <v>0</v>
      </c>
      <c r="AI17" s="118">
        <f t="shared" si="39"/>
        <v>0</v>
      </c>
      <c r="AJ17" s="118">
        <f t="shared" si="39"/>
        <v>0</v>
      </c>
      <c r="AK17" s="118">
        <f t="shared" ref="AK17:AT18" si="40">IF(AND(AK$7&gt;1,MOD(AK$7,12)=1),inflation,0)</f>
        <v>0</v>
      </c>
      <c r="AL17" s="118">
        <f t="shared" si="40"/>
        <v>0</v>
      </c>
      <c r="AM17" s="118">
        <f t="shared" si="40"/>
        <v>0</v>
      </c>
      <c r="AN17" s="118">
        <f t="shared" si="40"/>
        <v>0</v>
      </c>
      <c r="AO17" s="118">
        <f t="shared" si="40"/>
        <v>0</v>
      </c>
      <c r="AP17" s="118">
        <f t="shared" si="40"/>
        <v>0</v>
      </c>
      <c r="AQ17" s="118">
        <f t="shared" si="40"/>
        <v>2.5000000000000001E-2</v>
      </c>
      <c r="AR17" s="118">
        <f t="shared" si="40"/>
        <v>0</v>
      </c>
      <c r="AS17" s="118">
        <f t="shared" si="40"/>
        <v>0</v>
      </c>
      <c r="AT17" s="118">
        <f t="shared" si="40"/>
        <v>0</v>
      </c>
      <c r="AU17" s="118">
        <f t="shared" ref="AU17:BD18" si="41">IF(AND(AU$7&gt;1,MOD(AU$7,12)=1),inflation,0)</f>
        <v>0</v>
      </c>
      <c r="AV17" s="118">
        <f t="shared" si="41"/>
        <v>0</v>
      </c>
      <c r="AW17" s="118">
        <f t="shared" si="41"/>
        <v>0</v>
      </c>
      <c r="AX17" s="118">
        <f t="shared" si="41"/>
        <v>0</v>
      </c>
      <c r="AY17" s="118">
        <f t="shared" si="41"/>
        <v>0</v>
      </c>
      <c r="AZ17" s="118">
        <f t="shared" si="41"/>
        <v>0</v>
      </c>
      <c r="BA17" s="118">
        <f t="shared" si="41"/>
        <v>0</v>
      </c>
      <c r="BB17" s="118">
        <f t="shared" si="41"/>
        <v>0</v>
      </c>
      <c r="BC17" s="118">
        <f t="shared" si="41"/>
        <v>2.5000000000000001E-2</v>
      </c>
      <c r="BD17" s="118">
        <f t="shared" si="41"/>
        <v>0</v>
      </c>
      <c r="BE17" s="118">
        <f t="shared" ref="BE17:BN18" si="42">IF(AND(BE$7&gt;1,MOD(BE$7,12)=1),inflation,0)</f>
        <v>0</v>
      </c>
      <c r="BF17" s="118">
        <f t="shared" si="42"/>
        <v>0</v>
      </c>
      <c r="BG17" s="118">
        <f t="shared" si="42"/>
        <v>0</v>
      </c>
      <c r="BH17" s="118">
        <f t="shared" si="42"/>
        <v>0</v>
      </c>
      <c r="BI17" s="118">
        <f t="shared" si="42"/>
        <v>0</v>
      </c>
      <c r="BJ17" s="118">
        <f t="shared" si="42"/>
        <v>0</v>
      </c>
      <c r="BK17" s="118">
        <f t="shared" si="42"/>
        <v>0</v>
      </c>
      <c r="BL17" s="118">
        <f t="shared" si="42"/>
        <v>0</v>
      </c>
      <c r="BM17" s="118">
        <f t="shared" si="42"/>
        <v>0</v>
      </c>
      <c r="BN17" s="118">
        <f t="shared" si="42"/>
        <v>0</v>
      </c>
      <c r="BO17" s="118">
        <f t="shared" ref="BO17:BX18" si="43">IF(AND(BO$7&gt;1,MOD(BO$7,12)=1),inflation,0)</f>
        <v>2.5000000000000001E-2</v>
      </c>
      <c r="BP17" s="118">
        <f t="shared" si="43"/>
        <v>0</v>
      </c>
      <c r="BQ17" s="118">
        <f t="shared" si="43"/>
        <v>0</v>
      </c>
      <c r="BR17" s="118">
        <f t="shared" si="43"/>
        <v>0</v>
      </c>
      <c r="BS17" s="118">
        <f t="shared" si="43"/>
        <v>0</v>
      </c>
      <c r="BT17" s="118">
        <f t="shared" si="43"/>
        <v>0</v>
      </c>
      <c r="BU17" s="118">
        <f t="shared" si="43"/>
        <v>0</v>
      </c>
      <c r="BV17" s="118">
        <f t="shared" si="43"/>
        <v>0</v>
      </c>
      <c r="BW17" s="118">
        <f t="shared" si="43"/>
        <v>0</v>
      </c>
      <c r="BX17" s="118">
        <f t="shared" si="43"/>
        <v>0</v>
      </c>
      <c r="BY17" s="118">
        <f t="shared" ref="BY17:CH18" si="44">IF(AND(BY$7&gt;1,MOD(BY$7,12)=1),inflation,0)</f>
        <v>0</v>
      </c>
      <c r="BZ17" s="118">
        <f t="shared" si="44"/>
        <v>0</v>
      </c>
      <c r="CA17" s="118">
        <f t="shared" si="44"/>
        <v>2.5000000000000001E-2</v>
      </c>
      <c r="CB17" s="118">
        <f t="shared" si="44"/>
        <v>0</v>
      </c>
      <c r="CC17" s="118">
        <f t="shared" si="44"/>
        <v>0</v>
      </c>
      <c r="CD17" s="118">
        <f t="shared" si="44"/>
        <v>0</v>
      </c>
      <c r="CE17" s="118">
        <f t="shared" si="44"/>
        <v>0</v>
      </c>
      <c r="CF17" s="118">
        <f t="shared" si="44"/>
        <v>0</v>
      </c>
      <c r="CG17" s="118">
        <f t="shared" si="44"/>
        <v>0</v>
      </c>
      <c r="CH17" s="118">
        <f t="shared" si="44"/>
        <v>0</v>
      </c>
      <c r="CI17" s="118">
        <f t="shared" ref="CI17:CR18" si="45">IF(AND(CI$7&gt;1,MOD(CI$7,12)=1),inflation,0)</f>
        <v>0</v>
      </c>
      <c r="CJ17" s="118">
        <f t="shared" si="45"/>
        <v>0</v>
      </c>
      <c r="CK17" s="118">
        <f t="shared" si="45"/>
        <v>0</v>
      </c>
      <c r="CL17" s="118">
        <f t="shared" si="45"/>
        <v>0</v>
      </c>
      <c r="CM17" s="118">
        <f t="shared" si="45"/>
        <v>2.5000000000000001E-2</v>
      </c>
      <c r="CN17" s="118">
        <f t="shared" si="45"/>
        <v>0</v>
      </c>
      <c r="CO17" s="118">
        <f t="shared" si="45"/>
        <v>0</v>
      </c>
      <c r="CP17" s="118">
        <f t="shared" si="45"/>
        <v>0</v>
      </c>
      <c r="CQ17" s="118">
        <f t="shared" si="45"/>
        <v>0</v>
      </c>
      <c r="CR17" s="118">
        <f t="shared" si="45"/>
        <v>0</v>
      </c>
      <c r="CS17" s="118">
        <f t="shared" ref="CS17:DB18" si="46">IF(AND(CS$7&gt;1,MOD(CS$7,12)=1),inflation,0)</f>
        <v>0</v>
      </c>
      <c r="CT17" s="118">
        <f t="shared" si="46"/>
        <v>0</v>
      </c>
      <c r="CU17" s="118">
        <f t="shared" si="46"/>
        <v>0</v>
      </c>
      <c r="CV17" s="118">
        <f t="shared" si="46"/>
        <v>0</v>
      </c>
      <c r="CW17" s="118">
        <f t="shared" si="46"/>
        <v>0</v>
      </c>
      <c r="CX17" s="118">
        <f t="shared" si="46"/>
        <v>0</v>
      </c>
      <c r="CY17" s="118">
        <f t="shared" si="46"/>
        <v>2.5000000000000001E-2</v>
      </c>
      <c r="CZ17" s="118">
        <f t="shared" si="46"/>
        <v>0</v>
      </c>
      <c r="DA17" s="118">
        <f t="shared" si="46"/>
        <v>0</v>
      </c>
      <c r="DB17" s="118">
        <f t="shared" si="46"/>
        <v>0</v>
      </c>
      <c r="DC17" s="118">
        <f t="shared" ref="DC17:DL18" si="47">IF(AND(DC$7&gt;1,MOD(DC$7,12)=1),inflation,0)</f>
        <v>0</v>
      </c>
      <c r="DD17" s="118">
        <f t="shared" si="47"/>
        <v>0</v>
      </c>
      <c r="DE17" s="118">
        <f t="shared" si="47"/>
        <v>0</v>
      </c>
      <c r="DF17" s="118">
        <f t="shared" si="47"/>
        <v>0</v>
      </c>
      <c r="DG17" s="118">
        <f t="shared" si="47"/>
        <v>0</v>
      </c>
      <c r="DH17" s="118">
        <f t="shared" si="47"/>
        <v>0</v>
      </c>
      <c r="DI17" s="118">
        <f t="shared" si="47"/>
        <v>0</v>
      </c>
      <c r="DJ17" s="118">
        <f t="shared" si="47"/>
        <v>0</v>
      </c>
      <c r="DK17" s="118">
        <f t="shared" si="47"/>
        <v>2.5000000000000001E-2</v>
      </c>
      <c r="DL17" s="118">
        <f t="shared" si="47"/>
        <v>0</v>
      </c>
      <c r="DM17" s="118">
        <f t="shared" ref="DM17:DV18" si="48">IF(AND(DM$7&gt;1,MOD(DM$7,12)=1),inflation,0)</f>
        <v>0</v>
      </c>
      <c r="DN17" s="118">
        <f t="shared" si="48"/>
        <v>0</v>
      </c>
      <c r="DO17" s="118">
        <f t="shared" si="48"/>
        <v>0</v>
      </c>
      <c r="DP17" s="118">
        <f t="shared" si="48"/>
        <v>0</v>
      </c>
      <c r="DQ17" s="118">
        <f t="shared" si="48"/>
        <v>0</v>
      </c>
      <c r="DR17" s="118">
        <f t="shared" si="48"/>
        <v>0</v>
      </c>
      <c r="DS17" s="118">
        <f t="shared" si="48"/>
        <v>0</v>
      </c>
      <c r="DT17" s="118">
        <f t="shared" si="48"/>
        <v>0</v>
      </c>
      <c r="DU17" s="118">
        <f t="shared" si="48"/>
        <v>0</v>
      </c>
      <c r="DV17" s="118">
        <f t="shared" si="48"/>
        <v>0</v>
      </c>
      <c r="DW17" s="118">
        <f t="shared" ref="DW17:EF18" si="49">IF(AND(DW$7&gt;1,MOD(DW$7,12)=1),inflation,0)</f>
        <v>2.5000000000000001E-2</v>
      </c>
      <c r="DX17" s="118">
        <f t="shared" si="49"/>
        <v>0</v>
      </c>
      <c r="DY17" s="118">
        <f t="shared" si="49"/>
        <v>0</v>
      </c>
      <c r="DZ17" s="118">
        <f t="shared" si="49"/>
        <v>0</v>
      </c>
      <c r="EA17" s="118">
        <f t="shared" si="49"/>
        <v>0</v>
      </c>
      <c r="EB17" s="118">
        <f t="shared" si="49"/>
        <v>0</v>
      </c>
      <c r="EC17" s="118">
        <f t="shared" si="49"/>
        <v>0</v>
      </c>
      <c r="ED17" s="118">
        <f t="shared" si="49"/>
        <v>0</v>
      </c>
      <c r="EE17" s="118">
        <f t="shared" si="49"/>
        <v>0</v>
      </c>
      <c r="EF17" s="118">
        <f t="shared" si="49"/>
        <v>0</v>
      </c>
      <c r="EG17" s="118">
        <f t="shared" ref="EG17:EP18" si="50">IF(AND(EG$7&gt;1,MOD(EG$7,12)=1),inflation,0)</f>
        <v>0</v>
      </c>
      <c r="EH17" s="118">
        <f t="shared" si="50"/>
        <v>0</v>
      </c>
      <c r="EI17" s="118">
        <f t="shared" si="50"/>
        <v>2.5000000000000001E-2</v>
      </c>
      <c r="EJ17" s="118">
        <f t="shared" si="50"/>
        <v>0</v>
      </c>
      <c r="EK17" s="118">
        <f t="shared" si="50"/>
        <v>0</v>
      </c>
      <c r="EL17" s="118">
        <f t="shared" si="50"/>
        <v>0</v>
      </c>
      <c r="EM17" s="118">
        <f t="shared" si="50"/>
        <v>0</v>
      </c>
      <c r="EN17" s="118">
        <f t="shared" si="50"/>
        <v>0</v>
      </c>
      <c r="EO17" s="118">
        <f t="shared" si="50"/>
        <v>0</v>
      </c>
      <c r="EP17" s="118">
        <f t="shared" si="50"/>
        <v>0</v>
      </c>
      <c r="EQ17" s="118">
        <f t="shared" ref="EQ17:EZ18" si="51">IF(AND(EQ$7&gt;1,MOD(EQ$7,12)=1),inflation,0)</f>
        <v>0</v>
      </c>
      <c r="ER17" s="118">
        <f t="shared" si="51"/>
        <v>0</v>
      </c>
      <c r="ES17" s="118">
        <f t="shared" si="51"/>
        <v>0</v>
      </c>
      <c r="ET17" s="118">
        <f t="shared" si="51"/>
        <v>0</v>
      </c>
      <c r="EU17" s="118">
        <f t="shared" si="51"/>
        <v>2.5000000000000001E-2</v>
      </c>
      <c r="EV17" s="118">
        <f t="shared" si="51"/>
        <v>0</v>
      </c>
      <c r="EW17" s="118">
        <f t="shared" si="51"/>
        <v>0</v>
      </c>
      <c r="EX17" s="118">
        <f t="shared" si="51"/>
        <v>0</v>
      </c>
      <c r="EY17" s="118">
        <f t="shared" si="51"/>
        <v>0</v>
      </c>
      <c r="EZ17" s="118">
        <f t="shared" si="51"/>
        <v>0</v>
      </c>
      <c r="FA17" s="118">
        <f t="shared" ref="FA17:FJ18" si="52">IF(AND(FA$7&gt;1,MOD(FA$7,12)=1),inflation,0)</f>
        <v>0</v>
      </c>
      <c r="FB17" s="118">
        <f t="shared" si="52"/>
        <v>0</v>
      </c>
      <c r="FC17" s="118">
        <f t="shared" si="52"/>
        <v>0</v>
      </c>
      <c r="FD17" s="118">
        <f t="shared" si="52"/>
        <v>0</v>
      </c>
      <c r="FE17" s="118">
        <f t="shared" si="52"/>
        <v>0</v>
      </c>
      <c r="FF17" s="118">
        <f t="shared" si="52"/>
        <v>0</v>
      </c>
      <c r="FG17" s="118">
        <f t="shared" si="52"/>
        <v>2.5000000000000001E-2</v>
      </c>
      <c r="FH17" s="118">
        <f t="shared" si="52"/>
        <v>0</v>
      </c>
      <c r="FI17" s="118">
        <f t="shared" si="52"/>
        <v>0</v>
      </c>
      <c r="FJ17" s="118">
        <f t="shared" si="52"/>
        <v>0</v>
      </c>
      <c r="FK17" s="118">
        <f t="shared" ref="FK17:FT18" si="53">IF(AND(FK$7&gt;1,MOD(FK$7,12)=1),inflation,0)</f>
        <v>0</v>
      </c>
      <c r="FL17" s="118">
        <f t="shared" si="53"/>
        <v>0</v>
      </c>
      <c r="FM17" s="118">
        <f t="shared" si="53"/>
        <v>0</v>
      </c>
      <c r="FN17" s="118">
        <f t="shared" si="53"/>
        <v>0</v>
      </c>
      <c r="FO17" s="118">
        <f t="shared" si="53"/>
        <v>0</v>
      </c>
      <c r="FP17" s="118">
        <f t="shared" si="53"/>
        <v>0</v>
      </c>
      <c r="FQ17" s="118">
        <f t="shared" si="53"/>
        <v>0</v>
      </c>
      <c r="FR17" s="118">
        <f t="shared" si="53"/>
        <v>0</v>
      </c>
      <c r="FS17" s="118">
        <f t="shared" si="53"/>
        <v>2.5000000000000001E-2</v>
      </c>
      <c r="FT17" s="118">
        <f t="shared" si="53"/>
        <v>0</v>
      </c>
      <c r="FU17" s="118">
        <f t="shared" ref="FU17:GD18" si="54">IF(AND(FU$7&gt;1,MOD(FU$7,12)=1),inflation,0)</f>
        <v>0</v>
      </c>
      <c r="FV17" s="118">
        <f t="shared" si="54"/>
        <v>0</v>
      </c>
      <c r="FW17" s="118">
        <f t="shared" si="54"/>
        <v>0</v>
      </c>
      <c r="FX17" s="118">
        <f t="shared" si="54"/>
        <v>0</v>
      </c>
      <c r="FY17" s="118">
        <f t="shared" si="54"/>
        <v>0</v>
      </c>
      <c r="FZ17" s="118">
        <f t="shared" si="54"/>
        <v>0</v>
      </c>
      <c r="GA17" s="118">
        <f t="shared" si="54"/>
        <v>0</v>
      </c>
      <c r="GB17" s="118">
        <f t="shared" si="54"/>
        <v>0</v>
      </c>
      <c r="GC17" s="118">
        <f t="shared" si="54"/>
        <v>0</v>
      </c>
      <c r="GD17" s="118">
        <f t="shared" si="54"/>
        <v>0</v>
      </c>
      <c r="GE17" s="118">
        <f t="shared" ref="GE17:GM18" si="55">IF(AND(GE$7&gt;1,MOD(GE$7,12)=1),inflation,0)</f>
        <v>2.5000000000000001E-2</v>
      </c>
      <c r="GF17" s="118">
        <f t="shared" si="55"/>
        <v>0</v>
      </c>
      <c r="GG17" s="118">
        <f t="shared" si="55"/>
        <v>0</v>
      </c>
      <c r="GH17" s="118">
        <f t="shared" si="55"/>
        <v>0</v>
      </c>
      <c r="GI17" s="118">
        <f t="shared" si="55"/>
        <v>0</v>
      </c>
      <c r="GJ17" s="118">
        <f t="shared" si="55"/>
        <v>0</v>
      </c>
      <c r="GK17" s="118">
        <f t="shared" si="55"/>
        <v>0</v>
      </c>
      <c r="GL17" s="118">
        <f t="shared" si="55"/>
        <v>0</v>
      </c>
      <c r="GM17" s="118">
        <f t="shared" si="55"/>
        <v>0</v>
      </c>
      <c r="GN17" s="605"/>
      <c r="GO17" s="605"/>
      <c r="GP17" s="605"/>
      <c r="GQ17" s="6"/>
      <c r="GR17" s="6"/>
      <c r="GS17" s="6"/>
      <c r="GT17" s="6"/>
      <c r="GU17" s="6"/>
      <c r="GV17" s="6"/>
      <c r="GW17" s="6"/>
      <c r="GX17" s="6"/>
      <c r="GY17" s="6"/>
      <c r="GZ17" s="6"/>
      <c r="HA17" s="6"/>
      <c r="HB17" s="6"/>
      <c r="HC17" s="6"/>
      <c r="HD17" s="6"/>
      <c r="HE17" s="6"/>
      <c r="HF17" s="6"/>
      <c r="HG17" s="6"/>
      <c r="HH17" s="6"/>
      <c r="HI17" s="6"/>
      <c r="HJ17" s="6"/>
      <c r="HK17" s="6"/>
      <c r="HL17" s="6"/>
      <c r="HM17" s="6"/>
      <c r="HN17" s="6"/>
      <c r="HO17" s="6"/>
      <c r="HP17" s="6"/>
      <c r="HQ17" s="6"/>
      <c r="HR17" s="6"/>
      <c r="HS17" s="6"/>
      <c r="HT17" s="6"/>
      <c r="HU17" s="6"/>
      <c r="HV17" s="6"/>
      <c r="HW17" s="6"/>
      <c r="HX17" s="6"/>
      <c r="HY17" s="6"/>
      <c r="HZ17" s="6"/>
      <c r="IA17" s="6"/>
      <c r="IB17" s="6"/>
      <c r="IC17" s="6"/>
      <c r="ID17" s="6"/>
      <c r="IE17" s="6"/>
      <c r="IF17" s="6"/>
      <c r="IG17" s="6"/>
      <c r="IH17" s="6"/>
      <c r="II17" s="6"/>
      <c r="IJ17" s="6"/>
      <c r="IK17" s="6"/>
      <c r="IL17" s="6"/>
      <c r="IM17" s="6"/>
      <c r="IN17" s="6"/>
      <c r="IO17" s="6"/>
      <c r="IP17" s="6"/>
      <c r="IQ17" s="6"/>
      <c r="IR17" s="6"/>
      <c r="IS17" s="6"/>
      <c r="IT17" s="6"/>
      <c r="IU17" s="6"/>
      <c r="IV17" s="6"/>
      <c r="IW17" s="6"/>
      <c r="IX17" s="6"/>
      <c r="IY17" s="6"/>
      <c r="IZ17" s="6"/>
      <c r="JA17" s="6"/>
      <c r="JB17" s="6"/>
      <c r="JC17" s="6"/>
      <c r="JD17" s="6"/>
      <c r="JE17" s="6"/>
      <c r="JF17" s="6"/>
      <c r="JG17" s="6"/>
      <c r="JH17" s="6"/>
      <c r="JI17" s="6"/>
      <c r="JJ17" s="6"/>
      <c r="JK17" s="6"/>
      <c r="JL17" s="6"/>
      <c r="JM17" s="6"/>
      <c r="JN17" s="6"/>
      <c r="JO17" s="6"/>
      <c r="JP17" s="6"/>
      <c r="JQ17" s="6"/>
      <c r="JR17" s="6"/>
      <c r="JS17" s="6"/>
      <c r="JT17" s="6"/>
      <c r="JU17" s="6"/>
      <c r="JV17" s="6"/>
      <c r="JW17" s="6"/>
      <c r="JX17" s="6"/>
      <c r="JY17" s="6"/>
      <c r="JZ17" s="6"/>
      <c r="KA17" s="6"/>
      <c r="KB17" s="6"/>
      <c r="KC17" s="6"/>
      <c r="KD17" s="6"/>
      <c r="KE17" s="6"/>
      <c r="KF17" s="6"/>
      <c r="KG17" s="6"/>
      <c r="KH17" s="6"/>
      <c r="KI17" s="6"/>
      <c r="KJ17" s="6"/>
      <c r="KK17" s="6"/>
      <c r="KL17" s="6"/>
      <c r="KM17" s="6"/>
      <c r="KN17" s="6"/>
      <c r="KO17" s="6"/>
      <c r="KP17" s="6"/>
      <c r="KQ17" s="6"/>
      <c r="KR17" s="6"/>
      <c r="KS17" s="6"/>
      <c r="KT17" s="6"/>
      <c r="KU17" s="6"/>
      <c r="KV17" s="6"/>
      <c r="KW17" s="6"/>
      <c r="KX17" s="6"/>
      <c r="KY17" s="6"/>
      <c r="KZ17" s="6"/>
      <c r="LA17" s="6"/>
      <c r="LB17" s="6"/>
      <c r="LC17" s="6"/>
      <c r="LD17" s="6"/>
      <c r="LE17" s="6"/>
      <c r="LF17" s="6"/>
      <c r="LG17" s="6"/>
      <c r="LH17" s="6"/>
      <c r="LI17" s="6"/>
      <c r="LJ17" s="6"/>
      <c r="LK17" s="6"/>
      <c r="LL17" s="6"/>
      <c r="LM17" s="6"/>
      <c r="LN17" s="6"/>
      <c r="LO17" s="6"/>
      <c r="LP17" s="6"/>
      <c r="LQ17" s="6"/>
      <c r="LR17" s="6"/>
      <c r="LS17" s="6"/>
      <c r="LT17" s="6"/>
      <c r="LU17" s="6"/>
      <c r="LV17" s="6"/>
      <c r="LW17" s="6"/>
      <c r="LX17" s="6"/>
      <c r="LY17" s="6"/>
      <c r="LZ17" s="6"/>
      <c r="MA17" s="6"/>
      <c r="MB17" s="6"/>
      <c r="MC17" s="6"/>
      <c r="MD17" s="6"/>
      <c r="ME17" s="6"/>
      <c r="MF17" s="6"/>
      <c r="MG17" s="6"/>
      <c r="MH17" s="6"/>
      <c r="MI17" s="6"/>
      <c r="MJ17" s="6"/>
      <c r="MK17" s="6"/>
      <c r="ML17" s="6"/>
      <c r="MM17" s="6"/>
      <c r="MN17" s="6"/>
      <c r="MO17" s="6"/>
      <c r="MP17" s="6"/>
      <c r="MQ17" s="6"/>
      <c r="MR17" s="6"/>
      <c r="MS17" s="6"/>
      <c r="MT17" s="6"/>
      <c r="MU17" s="6"/>
      <c r="MV17" s="6"/>
      <c r="MW17" s="6"/>
      <c r="MX17" s="6"/>
      <c r="MY17" s="6"/>
      <c r="MZ17" s="6"/>
      <c r="NA17" s="6"/>
      <c r="NB17" s="6"/>
    </row>
    <row r="18" spans="1:366" ht="16" customHeight="1" x14ac:dyDescent="0.15">
      <c r="B18" t="s">
        <v>229</v>
      </c>
      <c r="E18" s="134"/>
      <c r="F18" s="118"/>
      <c r="G18" s="118">
        <f t="shared" si="37"/>
        <v>0</v>
      </c>
      <c r="H18" s="118">
        <f t="shared" si="37"/>
        <v>0</v>
      </c>
      <c r="I18" s="118">
        <f t="shared" si="37"/>
        <v>0</v>
      </c>
      <c r="J18" s="118">
        <f t="shared" si="37"/>
        <v>0</v>
      </c>
      <c r="K18" s="118">
        <f t="shared" si="37"/>
        <v>0</v>
      </c>
      <c r="L18" s="120">
        <f t="shared" si="37"/>
        <v>0</v>
      </c>
      <c r="M18" s="118">
        <f t="shared" si="37"/>
        <v>0</v>
      </c>
      <c r="N18" s="118">
        <f t="shared" si="37"/>
        <v>0</v>
      </c>
      <c r="O18" s="118">
        <f t="shared" si="37"/>
        <v>0</v>
      </c>
      <c r="P18" s="118">
        <f t="shared" si="37"/>
        <v>0</v>
      </c>
      <c r="Q18" s="118">
        <f t="shared" si="38"/>
        <v>0</v>
      </c>
      <c r="R18" s="118">
        <f t="shared" si="38"/>
        <v>0</v>
      </c>
      <c r="S18" s="118">
        <f t="shared" si="38"/>
        <v>2.5000000000000001E-2</v>
      </c>
      <c r="T18" s="118">
        <f t="shared" si="38"/>
        <v>0</v>
      </c>
      <c r="U18" s="118">
        <f t="shared" si="38"/>
        <v>0</v>
      </c>
      <c r="V18" s="118">
        <f t="shared" si="38"/>
        <v>0</v>
      </c>
      <c r="W18" s="118">
        <f t="shared" si="38"/>
        <v>0</v>
      </c>
      <c r="X18" s="118">
        <f t="shared" si="38"/>
        <v>0</v>
      </c>
      <c r="Y18" s="118">
        <f t="shared" si="38"/>
        <v>0</v>
      </c>
      <c r="Z18" s="118">
        <f t="shared" si="38"/>
        <v>0</v>
      </c>
      <c r="AA18" s="118">
        <f t="shared" si="39"/>
        <v>0</v>
      </c>
      <c r="AB18" s="118">
        <f t="shared" si="39"/>
        <v>0</v>
      </c>
      <c r="AC18" s="118">
        <f t="shared" si="39"/>
        <v>0</v>
      </c>
      <c r="AD18" s="118">
        <f t="shared" si="39"/>
        <v>0</v>
      </c>
      <c r="AE18" s="118">
        <f t="shared" si="39"/>
        <v>2.5000000000000001E-2</v>
      </c>
      <c r="AF18" s="118">
        <f t="shared" si="39"/>
        <v>0</v>
      </c>
      <c r="AG18" s="118">
        <f t="shared" si="39"/>
        <v>0</v>
      </c>
      <c r="AH18" s="118">
        <f t="shared" si="39"/>
        <v>0</v>
      </c>
      <c r="AI18" s="118">
        <f t="shared" si="39"/>
        <v>0</v>
      </c>
      <c r="AJ18" s="118">
        <f t="shared" si="39"/>
        <v>0</v>
      </c>
      <c r="AK18" s="118">
        <f t="shared" si="40"/>
        <v>0</v>
      </c>
      <c r="AL18" s="118">
        <f t="shared" si="40"/>
        <v>0</v>
      </c>
      <c r="AM18" s="118">
        <f t="shared" si="40"/>
        <v>0</v>
      </c>
      <c r="AN18" s="118">
        <f t="shared" si="40"/>
        <v>0</v>
      </c>
      <c r="AO18" s="118">
        <f t="shared" si="40"/>
        <v>0</v>
      </c>
      <c r="AP18" s="118">
        <f t="shared" si="40"/>
        <v>0</v>
      </c>
      <c r="AQ18" s="118">
        <f t="shared" si="40"/>
        <v>2.5000000000000001E-2</v>
      </c>
      <c r="AR18" s="118">
        <f t="shared" si="40"/>
        <v>0</v>
      </c>
      <c r="AS18" s="118">
        <f t="shared" si="40"/>
        <v>0</v>
      </c>
      <c r="AT18" s="118">
        <f t="shared" si="40"/>
        <v>0</v>
      </c>
      <c r="AU18" s="118">
        <f t="shared" si="41"/>
        <v>0</v>
      </c>
      <c r="AV18" s="118">
        <f t="shared" si="41"/>
        <v>0</v>
      </c>
      <c r="AW18" s="118">
        <f t="shared" si="41"/>
        <v>0</v>
      </c>
      <c r="AX18" s="118">
        <f t="shared" si="41"/>
        <v>0</v>
      </c>
      <c r="AY18" s="118">
        <f t="shared" si="41"/>
        <v>0</v>
      </c>
      <c r="AZ18" s="118">
        <f t="shared" si="41"/>
        <v>0</v>
      </c>
      <c r="BA18" s="118">
        <f t="shared" si="41"/>
        <v>0</v>
      </c>
      <c r="BB18" s="118">
        <f t="shared" si="41"/>
        <v>0</v>
      </c>
      <c r="BC18" s="118">
        <f t="shared" si="41"/>
        <v>2.5000000000000001E-2</v>
      </c>
      <c r="BD18" s="118">
        <f t="shared" si="41"/>
        <v>0</v>
      </c>
      <c r="BE18" s="118">
        <f t="shared" si="42"/>
        <v>0</v>
      </c>
      <c r="BF18" s="118">
        <f t="shared" si="42"/>
        <v>0</v>
      </c>
      <c r="BG18" s="118">
        <f t="shared" si="42"/>
        <v>0</v>
      </c>
      <c r="BH18" s="118">
        <f t="shared" si="42"/>
        <v>0</v>
      </c>
      <c r="BI18" s="118">
        <f t="shared" si="42"/>
        <v>0</v>
      </c>
      <c r="BJ18" s="118">
        <f t="shared" si="42"/>
        <v>0</v>
      </c>
      <c r="BK18" s="118">
        <f t="shared" si="42"/>
        <v>0</v>
      </c>
      <c r="BL18" s="118">
        <f t="shared" si="42"/>
        <v>0</v>
      </c>
      <c r="BM18" s="118">
        <f t="shared" si="42"/>
        <v>0</v>
      </c>
      <c r="BN18" s="118">
        <f t="shared" si="42"/>
        <v>0</v>
      </c>
      <c r="BO18" s="118">
        <f t="shared" si="43"/>
        <v>2.5000000000000001E-2</v>
      </c>
      <c r="BP18" s="118">
        <f t="shared" si="43"/>
        <v>0</v>
      </c>
      <c r="BQ18" s="118">
        <f t="shared" si="43"/>
        <v>0</v>
      </c>
      <c r="BR18" s="118">
        <f t="shared" si="43"/>
        <v>0</v>
      </c>
      <c r="BS18" s="118">
        <f t="shared" si="43"/>
        <v>0</v>
      </c>
      <c r="BT18" s="118">
        <f t="shared" si="43"/>
        <v>0</v>
      </c>
      <c r="BU18" s="118">
        <f t="shared" si="43"/>
        <v>0</v>
      </c>
      <c r="BV18" s="118">
        <f t="shared" si="43"/>
        <v>0</v>
      </c>
      <c r="BW18" s="118">
        <f t="shared" si="43"/>
        <v>0</v>
      </c>
      <c r="BX18" s="118">
        <f t="shared" si="43"/>
        <v>0</v>
      </c>
      <c r="BY18" s="118">
        <f t="shared" si="44"/>
        <v>0</v>
      </c>
      <c r="BZ18" s="118">
        <f t="shared" si="44"/>
        <v>0</v>
      </c>
      <c r="CA18" s="118">
        <f t="shared" si="44"/>
        <v>2.5000000000000001E-2</v>
      </c>
      <c r="CB18" s="118">
        <f t="shared" si="44"/>
        <v>0</v>
      </c>
      <c r="CC18" s="118">
        <f t="shared" si="44"/>
        <v>0</v>
      </c>
      <c r="CD18" s="118">
        <f t="shared" si="44"/>
        <v>0</v>
      </c>
      <c r="CE18" s="118">
        <f t="shared" si="44"/>
        <v>0</v>
      </c>
      <c r="CF18" s="118">
        <f t="shared" si="44"/>
        <v>0</v>
      </c>
      <c r="CG18" s="118">
        <f t="shared" si="44"/>
        <v>0</v>
      </c>
      <c r="CH18" s="118">
        <f t="shared" si="44"/>
        <v>0</v>
      </c>
      <c r="CI18" s="118">
        <f t="shared" si="45"/>
        <v>0</v>
      </c>
      <c r="CJ18" s="118">
        <f t="shared" si="45"/>
        <v>0</v>
      </c>
      <c r="CK18" s="118">
        <f t="shared" si="45"/>
        <v>0</v>
      </c>
      <c r="CL18" s="118">
        <f t="shared" si="45"/>
        <v>0</v>
      </c>
      <c r="CM18" s="118">
        <f t="shared" si="45"/>
        <v>2.5000000000000001E-2</v>
      </c>
      <c r="CN18" s="118">
        <f t="shared" si="45"/>
        <v>0</v>
      </c>
      <c r="CO18" s="118">
        <f t="shared" si="45"/>
        <v>0</v>
      </c>
      <c r="CP18" s="118">
        <f t="shared" si="45"/>
        <v>0</v>
      </c>
      <c r="CQ18" s="118">
        <f t="shared" si="45"/>
        <v>0</v>
      </c>
      <c r="CR18" s="118">
        <f t="shared" si="45"/>
        <v>0</v>
      </c>
      <c r="CS18" s="118">
        <f t="shared" si="46"/>
        <v>0</v>
      </c>
      <c r="CT18" s="118">
        <f t="shared" si="46"/>
        <v>0</v>
      </c>
      <c r="CU18" s="118">
        <f t="shared" si="46"/>
        <v>0</v>
      </c>
      <c r="CV18" s="118">
        <f t="shared" si="46"/>
        <v>0</v>
      </c>
      <c r="CW18" s="118">
        <f t="shared" si="46"/>
        <v>0</v>
      </c>
      <c r="CX18" s="118">
        <f t="shared" si="46"/>
        <v>0</v>
      </c>
      <c r="CY18" s="118">
        <f t="shared" si="46"/>
        <v>2.5000000000000001E-2</v>
      </c>
      <c r="CZ18" s="118">
        <f t="shared" si="46"/>
        <v>0</v>
      </c>
      <c r="DA18" s="118">
        <f t="shared" si="46"/>
        <v>0</v>
      </c>
      <c r="DB18" s="118">
        <f t="shared" si="46"/>
        <v>0</v>
      </c>
      <c r="DC18" s="118">
        <f t="shared" si="47"/>
        <v>0</v>
      </c>
      <c r="DD18" s="118">
        <f t="shared" si="47"/>
        <v>0</v>
      </c>
      <c r="DE18" s="118">
        <f t="shared" si="47"/>
        <v>0</v>
      </c>
      <c r="DF18" s="118">
        <f t="shared" si="47"/>
        <v>0</v>
      </c>
      <c r="DG18" s="118">
        <f t="shared" si="47"/>
        <v>0</v>
      </c>
      <c r="DH18" s="118">
        <f t="shared" si="47"/>
        <v>0</v>
      </c>
      <c r="DI18" s="118">
        <f t="shared" si="47"/>
        <v>0</v>
      </c>
      <c r="DJ18" s="118">
        <f t="shared" si="47"/>
        <v>0</v>
      </c>
      <c r="DK18" s="118">
        <f t="shared" si="47"/>
        <v>2.5000000000000001E-2</v>
      </c>
      <c r="DL18" s="118">
        <f t="shared" si="47"/>
        <v>0</v>
      </c>
      <c r="DM18" s="118">
        <f t="shared" si="48"/>
        <v>0</v>
      </c>
      <c r="DN18" s="118">
        <f t="shared" si="48"/>
        <v>0</v>
      </c>
      <c r="DO18" s="118">
        <f t="shared" si="48"/>
        <v>0</v>
      </c>
      <c r="DP18" s="118">
        <f t="shared" si="48"/>
        <v>0</v>
      </c>
      <c r="DQ18" s="118">
        <f t="shared" si="48"/>
        <v>0</v>
      </c>
      <c r="DR18" s="118">
        <f t="shared" si="48"/>
        <v>0</v>
      </c>
      <c r="DS18" s="118">
        <f t="shared" si="48"/>
        <v>0</v>
      </c>
      <c r="DT18" s="118">
        <f t="shared" si="48"/>
        <v>0</v>
      </c>
      <c r="DU18" s="118">
        <f t="shared" si="48"/>
        <v>0</v>
      </c>
      <c r="DV18" s="118">
        <f t="shared" si="48"/>
        <v>0</v>
      </c>
      <c r="DW18" s="118">
        <f t="shared" si="49"/>
        <v>2.5000000000000001E-2</v>
      </c>
      <c r="DX18" s="118">
        <f t="shared" si="49"/>
        <v>0</v>
      </c>
      <c r="DY18" s="118">
        <f t="shared" si="49"/>
        <v>0</v>
      </c>
      <c r="DZ18" s="118">
        <f t="shared" si="49"/>
        <v>0</v>
      </c>
      <c r="EA18" s="118">
        <f t="shared" si="49"/>
        <v>0</v>
      </c>
      <c r="EB18" s="118">
        <f t="shared" si="49"/>
        <v>0</v>
      </c>
      <c r="EC18" s="118">
        <f t="shared" si="49"/>
        <v>0</v>
      </c>
      <c r="ED18" s="118">
        <f t="shared" si="49"/>
        <v>0</v>
      </c>
      <c r="EE18" s="118">
        <f t="shared" si="49"/>
        <v>0</v>
      </c>
      <c r="EF18" s="118">
        <f t="shared" si="49"/>
        <v>0</v>
      </c>
      <c r="EG18" s="118">
        <f t="shared" si="50"/>
        <v>0</v>
      </c>
      <c r="EH18" s="118">
        <f t="shared" si="50"/>
        <v>0</v>
      </c>
      <c r="EI18" s="118">
        <f t="shared" si="50"/>
        <v>2.5000000000000001E-2</v>
      </c>
      <c r="EJ18" s="118">
        <f t="shared" si="50"/>
        <v>0</v>
      </c>
      <c r="EK18" s="118">
        <f t="shared" si="50"/>
        <v>0</v>
      </c>
      <c r="EL18" s="118">
        <f t="shared" si="50"/>
        <v>0</v>
      </c>
      <c r="EM18" s="118">
        <f t="shared" si="50"/>
        <v>0</v>
      </c>
      <c r="EN18" s="118">
        <f t="shared" si="50"/>
        <v>0</v>
      </c>
      <c r="EO18" s="118">
        <f t="shared" si="50"/>
        <v>0</v>
      </c>
      <c r="EP18" s="118">
        <f t="shared" si="50"/>
        <v>0</v>
      </c>
      <c r="EQ18" s="118">
        <f t="shared" si="51"/>
        <v>0</v>
      </c>
      <c r="ER18" s="118">
        <f t="shared" si="51"/>
        <v>0</v>
      </c>
      <c r="ES18" s="118">
        <f t="shared" si="51"/>
        <v>0</v>
      </c>
      <c r="ET18" s="118">
        <f t="shared" si="51"/>
        <v>0</v>
      </c>
      <c r="EU18" s="118">
        <f t="shared" si="51"/>
        <v>2.5000000000000001E-2</v>
      </c>
      <c r="EV18" s="118">
        <f t="shared" si="51"/>
        <v>0</v>
      </c>
      <c r="EW18" s="118">
        <f t="shared" si="51"/>
        <v>0</v>
      </c>
      <c r="EX18" s="118">
        <f t="shared" si="51"/>
        <v>0</v>
      </c>
      <c r="EY18" s="118">
        <f t="shared" si="51"/>
        <v>0</v>
      </c>
      <c r="EZ18" s="118">
        <f t="shared" si="51"/>
        <v>0</v>
      </c>
      <c r="FA18" s="118">
        <f t="shared" si="52"/>
        <v>0</v>
      </c>
      <c r="FB18" s="118">
        <f t="shared" si="52"/>
        <v>0</v>
      </c>
      <c r="FC18" s="118">
        <f t="shared" si="52"/>
        <v>0</v>
      </c>
      <c r="FD18" s="118">
        <f t="shared" si="52"/>
        <v>0</v>
      </c>
      <c r="FE18" s="118">
        <f t="shared" si="52"/>
        <v>0</v>
      </c>
      <c r="FF18" s="118">
        <f t="shared" si="52"/>
        <v>0</v>
      </c>
      <c r="FG18" s="118">
        <f t="shared" si="52"/>
        <v>2.5000000000000001E-2</v>
      </c>
      <c r="FH18" s="118">
        <f t="shared" si="52"/>
        <v>0</v>
      </c>
      <c r="FI18" s="118">
        <f t="shared" si="52"/>
        <v>0</v>
      </c>
      <c r="FJ18" s="118">
        <f t="shared" si="52"/>
        <v>0</v>
      </c>
      <c r="FK18" s="118">
        <f t="shared" si="53"/>
        <v>0</v>
      </c>
      <c r="FL18" s="118">
        <f t="shared" si="53"/>
        <v>0</v>
      </c>
      <c r="FM18" s="118">
        <f t="shared" si="53"/>
        <v>0</v>
      </c>
      <c r="FN18" s="118">
        <f t="shared" si="53"/>
        <v>0</v>
      </c>
      <c r="FO18" s="118">
        <f t="shared" si="53"/>
        <v>0</v>
      </c>
      <c r="FP18" s="118">
        <f t="shared" si="53"/>
        <v>0</v>
      </c>
      <c r="FQ18" s="118">
        <f t="shared" si="53"/>
        <v>0</v>
      </c>
      <c r="FR18" s="118">
        <f t="shared" si="53"/>
        <v>0</v>
      </c>
      <c r="FS18" s="118">
        <f t="shared" si="53"/>
        <v>2.5000000000000001E-2</v>
      </c>
      <c r="FT18" s="118">
        <f t="shared" si="53"/>
        <v>0</v>
      </c>
      <c r="FU18" s="118">
        <f t="shared" si="54"/>
        <v>0</v>
      </c>
      <c r="FV18" s="118">
        <f t="shared" si="54"/>
        <v>0</v>
      </c>
      <c r="FW18" s="118">
        <f t="shared" si="54"/>
        <v>0</v>
      </c>
      <c r="FX18" s="118">
        <f t="shared" si="54"/>
        <v>0</v>
      </c>
      <c r="FY18" s="118">
        <f t="shared" si="54"/>
        <v>0</v>
      </c>
      <c r="FZ18" s="118">
        <f t="shared" si="54"/>
        <v>0</v>
      </c>
      <c r="GA18" s="118">
        <f t="shared" si="54"/>
        <v>0</v>
      </c>
      <c r="GB18" s="118">
        <f t="shared" si="54"/>
        <v>0</v>
      </c>
      <c r="GC18" s="118">
        <f t="shared" si="54"/>
        <v>0</v>
      </c>
      <c r="GD18" s="118">
        <f t="shared" si="54"/>
        <v>0</v>
      </c>
      <c r="GE18" s="118">
        <f t="shared" si="55"/>
        <v>2.5000000000000001E-2</v>
      </c>
      <c r="GF18" s="118">
        <f t="shared" si="55"/>
        <v>0</v>
      </c>
      <c r="GG18" s="118">
        <f t="shared" si="55"/>
        <v>0</v>
      </c>
      <c r="GH18" s="118">
        <f t="shared" si="55"/>
        <v>0</v>
      </c>
      <c r="GI18" s="118">
        <f t="shared" si="55"/>
        <v>0</v>
      </c>
      <c r="GJ18" s="118">
        <f t="shared" si="55"/>
        <v>0</v>
      </c>
      <c r="GK18" s="118">
        <f t="shared" si="55"/>
        <v>0</v>
      </c>
      <c r="GL18" s="118">
        <f t="shared" si="55"/>
        <v>0</v>
      </c>
      <c r="GM18" s="118">
        <f t="shared" si="55"/>
        <v>0</v>
      </c>
      <c r="GN18" s="605"/>
      <c r="GO18" s="605"/>
      <c r="GP18" s="605"/>
      <c r="GQ18" s="6"/>
      <c r="GR18" s="6"/>
      <c r="GS18" s="6"/>
      <c r="GT18" s="6"/>
      <c r="GU18" s="6"/>
      <c r="GV18" s="6"/>
      <c r="GW18" s="6"/>
      <c r="GX18" s="6"/>
      <c r="GY18" s="6"/>
      <c r="GZ18" s="6"/>
      <c r="HA18" s="6"/>
      <c r="HB18" s="6"/>
      <c r="HC18" s="6"/>
      <c r="HD18" s="6"/>
      <c r="HE18" s="6"/>
      <c r="HF18" s="6"/>
      <c r="HG18" s="6"/>
      <c r="HH18" s="6"/>
      <c r="HI18" s="6"/>
      <c r="HJ18" s="6"/>
      <c r="HK18" s="6"/>
      <c r="HL18" s="6"/>
      <c r="HM18" s="6"/>
      <c r="HN18" s="6"/>
      <c r="HO18" s="6"/>
      <c r="HP18" s="6"/>
      <c r="HQ18" s="6"/>
      <c r="HR18" s="6"/>
      <c r="HS18" s="6"/>
      <c r="HT18" s="6"/>
      <c r="HU18" s="6"/>
      <c r="HV18" s="6"/>
      <c r="HW18" s="6"/>
      <c r="HX18" s="6"/>
      <c r="HY18" s="6"/>
      <c r="HZ18" s="6"/>
      <c r="IA18" s="6"/>
      <c r="IB18" s="6"/>
      <c r="IC18" s="6"/>
      <c r="ID18" s="6"/>
      <c r="IE18" s="6"/>
      <c r="IF18" s="6"/>
      <c r="IG18" s="6"/>
      <c r="IH18" s="6"/>
      <c r="II18" s="6"/>
      <c r="IJ18" s="6"/>
      <c r="IK18" s="6"/>
      <c r="IL18" s="6"/>
      <c r="IM18" s="6"/>
      <c r="IN18" s="6"/>
      <c r="IO18" s="6"/>
      <c r="IP18" s="6"/>
      <c r="IQ18" s="6"/>
      <c r="IR18" s="6"/>
      <c r="IS18" s="6"/>
      <c r="IT18" s="6"/>
      <c r="IU18" s="6"/>
      <c r="IV18" s="6"/>
      <c r="IW18" s="6"/>
      <c r="IX18" s="6"/>
      <c r="IY18" s="6"/>
      <c r="IZ18" s="6"/>
      <c r="JA18" s="6"/>
      <c r="JB18" s="6"/>
      <c r="JC18" s="6"/>
      <c r="JD18" s="6"/>
      <c r="JE18" s="6"/>
      <c r="JF18" s="6"/>
      <c r="JG18" s="6"/>
      <c r="JH18" s="6"/>
      <c r="JI18" s="6"/>
      <c r="JJ18" s="6"/>
      <c r="JK18" s="6"/>
      <c r="JL18" s="6"/>
      <c r="JM18" s="6"/>
      <c r="JN18" s="6"/>
      <c r="JO18" s="6"/>
      <c r="JP18" s="6"/>
      <c r="JQ18" s="6"/>
      <c r="JR18" s="6"/>
      <c r="JS18" s="6"/>
      <c r="JT18" s="6"/>
      <c r="JU18" s="6"/>
      <c r="JV18" s="6"/>
      <c r="JW18" s="6"/>
      <c r="JX18" s="6"/>
      <c r="JY18" s="6"/>
      <c r="JZ18" s="6"/>
      <c r="KA18" s="6"/>
      <c r="KB18" s="6"/>
      <c r="KC18" s="6"/>
      <c r="KD18" s="6"/>
      <c r="KE18" s="6"/>
      <c r="KF18" s="6"/>
      <c r="KG18" s="6"/>
      <c r="KH18" s="6"/>
      <c r="KI18" s="6"/>
      <c r="KJ18" s="6"/>
      <c r="KK18" s="6"/>
      <c r="KL18" s="6"/>
      <c r="KM18" s="6"/>
      <c r="KN18" s="6"/>
      <c r="KO18" s="6"/>
      <c r="KP18" s="6"/>
      <c r="KQ18" s="6"/>
      <c r="KR18" s="6"/>
      <c r="KS18" s="6"/>
      <c r="KT18" s="6"/>
      <c r="KU18" s="6"/>
      <c r="KV18" s="6"/>
      <c r="KW18" s="6"/>
      <c r="KX18" s="6"/>
      <c r="KY18" s="6"/>
      <c r="KZ18" s="6"/>
      <c r="LA18" s="6"/>
      <c r="LB18" s="6"/>
      <c r="LC18" s="6"/>
      <c r="LD18" s="6"/>
      <c r="LE18" s="6"/>
      <c r="LF18" s="6"/>
      <c r="LG18" s="6"/>
      <c r="LH18" s="6"/>
      <c r="LI18" s="6"/>
      <c r="LJ18" s="6"/>
      <c r="LK18" s="6"/>
      <c r="LL18" s="6"/>
      <c r="LM18" s="6"/>
      <c r="LN18" s="6"/>
      <c r="LO18" s="6"/>
      <c r="LP18" s="6"/>
      <c r="LQ18" s="6"/>
      <c r="LR18" s="6"/>
      <c r="LS18" s="6"/>
      <c r="LT18" s="6"/>
      <c r="LU18" s="6"/>
      <c r="LV18" s="6"/>
      <c r="LW18" s="6"/>
      <c r="LX18" s="6"/>
      <c r="LY18" s="6"/>
      <c r="LZ18" s="6"/>
      <c r="MA18" s="6"/>
      <c r="MB18" s="6"/>
      <c r="MC18" s="6"/>
      <c r="MD18" s="6"/>
      <c r="ME18" s="6"/>
      <c r="MF18" s="6"/>
      <c r="MG18" s="6"/>
      <c r="MH18" s="6"/>
      <c r="MI18" s="6"/>
      <c r="MJ18" s="6"/>
      <c r="MK18" s="6"/>
      <c r="ML18" s="6"/>
      <c r="MM18" s="6"/>
      <c r="MN18" s="6"/>
      <c r="MO18" s="6"/>
      <c r="MP18" s="6"/>
      <c r="MQ18" s="6"/>
      <c r="MR18" s="6"/>
      <c r="MS18" s="6"/>
      <c r="MT18" s="6"/>
      <c r="MU18" s="6"/>
      <c r="MV18" s="6"/>
      <c r="MW18" s="6"/>
      <c r="MX18" s="6"/>
      <c r="MY18" s="6"/>
      <c r="MZ18" s="6"/>
      <c r="NA18" s="6"/>
      <c r="NB18" s="6"/>
    </row>
    <row r="19" spans="1:366" ht="16" customHeight="1" x14ac:dyDescent="0.15">
      <c r="B19" t="s">
        <v>230</v>
      </c>
      <c r="E19" s="134"/>
      <c r="F19" s="118"/>
      <c r="G19" s="118">
        <f t="shared" ref="G19:AL19" si="56">IF(AND(G$7&gt;1,MOD(G$7,12)=1),tax_growth_rate,0)</f>
        <v>0</v>
      </c>
      <c r="H19" s="118">
        <f t="shared" si="56"/>
        <v>0</v>
      </c>
      <c r="I19" s="118">
        <f t="shared" si="56"/>
        <v>0</v>
      </c>
      <c r="J19" s="118">
        <f t="shared" si="56"/>
        <v>0</v>
      </c>
      <c r="K19" s="118">
        <f t="shared" si="56"/>
        <v>0</v>
      </c>
      <c r="L19" s="120">
        <f t="shared" si="56"/>
        <v>0</v>
      </c>
      <c r="M19" s="118">
        <f t="shared" si="56"/>
        <v>0</v>
      </c>
      <c r="N19" s="118">
        <f t="shared" si="56"/>
        <v>0</v>
      </c>
      <c r="O19" s="118">
        <f t="shared" si="56"/>
        <v>0</v>
      </c>
      <c r="P19" s="118">
        <f t="shared" si="56"/>
        <v>0</v>
      </c>
      <c r="Q19" s="118">
        <f t="shared" si="56"/>
        <v>0</v>
      </c>
      <c r="R19" s="118">
        <f t="shared" si="56"/>
        <v>0</v>
      </c>
      <c r="S19" s="118">
        <f t="shared" si="56"/>
        <v>0.02</v>
      </c>
      <c r="T19" s="118">
        <f t="shared" si="56"/>
        <v>0</v>
      </c>
      <c r="U19" s="118">
        <f t="shared" si="56"/>
        <v>0</v>
      </c>
      <c r="V19" s="118">
        <f t="shared" si="56"/>
        <v>0</v>
      </c>
      <c r="W19" s="118">
        <f t="shared" si="56"/>
        <v>0</v>
      </c>
      <c r="X19" s="118">
        <f t="shared" si="56"/>
        <v>0</v>
      </c>
      <c r="Y19" s="118">
        <f t="shared" si="56"/>
        <v>0</v>
      </c>
      <c r="Z19" s="118">
        <f t="shared" si="56"/>
        <v>0</v>
      </c>
      <c r="AA19" s="118">
        <f t="shared" si="56"/>
        <v>0</v>
      </c>
      <c r="AB19" s="118">
        <f t="shared" si="56"/>
        <v>0</v>
      </c>
      <c r="AC19" s="118">
        <f t="shared" si="56"/>
        <v>0</v>
      </c>
      <c r="AD19" s="118">
        <f t="shared" si="56"/>
        <v>0</v>
      </c>
      <c r="AE19" s="118">
        <f t="shared" si="56"/>
        <v>0.02</v>
      </c>
      <c r="AF19" s="118">
        <f t="shared" si="56"/>
        <v>0</v>
      </c>
      <c r="AG19" s="118">
        <f t="shared" si="56"/>
        <v>0</v>
      </c>
      <c r="AH19" s="118">
        <f t="shared" si="56"/>
        <v>0</v>
      </c>
      <c r="AI19" s="118">
        <f t="shared" si="56"/>
        <v>0</v>
      </c>
      <c r="AJ19" s="118">
        <f t="shared" si="56"/>
        <v>0</v>
      </c>
      <c r="AK19" s="118">
        <f t="shared" si="56"/>
        <v>0</v>
      </c>
      <c r="AL19" s="118">
        <f t="shared" si="56"/>
        <v>0</v>
      </c>
      <c r="AM19" s="118">
        <f t="shared" ref="AM19:BR19" si="57">IF(AND(AM$7&gt;1,MOD(AM$7,12)=1),tax_growth_rate,0)</f>
        <v>0</v>
      </c>
      <c r="AN19" s="118">
        <f t="shared" si="57"/>
        <v>0</v>
      </c>
      <c r="AO19" s="118">
        <f t="shared" si="57"/>
        <v>0</v>
      </c>
      <c r="AP19" s="118">
        <f t="shared" si="57"/>
        <v>0</v>
      </c>
      <c r="AQ19" s="118">
        <f t="shared" si="57"/>
        <v>0.02</v>
      </c>
      <c r="AR19" s="118">
        <f t="shared" si="57"/>
        <v>0</v>
      </c>
      <c r="AS19" s="118">
        <f t="shared" si="57"/>
        <v>0</v>
      </c>
      <c r="AT19" s="118">
        <f t="shared" si="57"/>
        <v>0</v>
      </c>
      <c r="AU19" s="118">
        <f t="shared" si="57"/>
        <v>0</v>
      </c>
      <c r="AV19" s="118">
        <f t="shared" si="57"/>
        <v>0</v>
      </c>
      <c r="AW19" s="118">
        <f t="shared" si="57"/>
        <v>0</v>
      </c>
      <c r="AX19" s="118">
        <f t="shared" si="57"/>
        <v>0</v>
      </c>
      <c r="AY19" s="118">
        <f t="shared" si="57"/>
        <v>0</v>
      </c>
      <c r="AZ19" s="118">
        <f t="shared" si="57"/>
        <v>0</v>
      </c>
      <c r="BA19" s="118">
        <f t="shared" si="57"/>
        <v>0</v>
      </c>
      <c r="BB19" s="118">
        <f t="shared" si="57"/>
        <v>0</v>
      </c>
      <c r="BC19" s="118">
        <f t="shared" si="57"/>
        <v>0.02</v>
      </c>
      <c r="BD19" s="118">
        <f t="shared" si="57"/>
        <v>0</v>
      </c>
      <c r="BE19" s="118">
        <f t="shared" si="57"/>
        <v>0</v>
      </c>
      <c r="BF19" s="118">
        <f t="shared" si="57"/>
        <v>0</v>
      </c>
      <c r="BG19" s="118">
        <f t="shared" si="57"/>
        <v>0</v>
      </c>
      <c r="BH19" s="118">
        <f t="shared" si="57"/>
        <v>0</v>
      </c>
      <c r="BI19" s="118">
        <f t="shared" si="57"/>
        <v>0</v>
      </c>
      <c r="BJ19" s="118">
        <f t="shared" si="57"/>
        <v>0</v>
      </c>
      <c r="BK19" s="118">
        <f t="shared" si="57"/>
        <v>0</v>
      </c>
      <c r="BL19" s="118">
        <f t="shared" si="57"/>
        <v>0</v>
      </c>
      <c r="BM19" s="118">
        <f t="shared" si="57"/>
        <v>0</v>
      </c>
      <c r="BN19" s="118">
        <f t="shared" si="57"/>
        <v>0</v>
      </c>
      <c r="BO19" s="118">
        <f t="shared" si="57"/>
        <v>0.02</v>
      </c>
      <c r="BP19" s="118">
        <f t="shared" si="57"/>
        <v>0</v>
      </c>
      <c r="BQ19" s="118">
        <f t="shared" si="57"/>
        <v>0</v>
      </c>
      <c r="BR19" s="118">
        <f t="shared" si="57"/>
        <v>0</v>
      </c>
      <c r="BS19" s="118">
        <f t="shared" ref="BS19:CX19" si="58">IF(AND(BS$7&gt;1,MOD(BS$7,12)=1),tax_growth_rate,0)</f>
        <v>0</v>
      </c>
      <c r="BT19" s="118">
        <f t="shared" si="58"/>
        <v>0</v>
      </c>
      <c r="BU19" s="118">
        <f t="shared" si="58"/>
        <v>0</v>
      </c>
      <c r="BV19" s="118">
        <f t="shared" si="58"/>
        <v>0</v>
      </c>
      <c r="BW19" s="118">
        <f t="shared" si="58"/>
        <v>0</v>
      </c>
      <c r="BX19" s="118">
        <f t="shared" si="58"/>
        <v>0</v>
      </c>
      <c r="BY19" s="118">
        <f t="shared" si="58"/>
        <v>0</v>
      </c>
      <c r="BZ19" s="118">
        <f t="shared" si="58"/>
        <v>0</v>
      </c>
      <c r="CA19" s="118">
        <f t="shared" si="58"/>
        <v>0.02</v>
      </c>
      <c r="CB19" s="118">
        <f t="shared" si="58"/>
        <v>0</v>
      </c>
      <c r="CC19" s="118">
        <f t="shared" si="58"/>
        <v>0</v>
      </c>
      <c r="CD19" s="118">
        <f t="shared" si="58"/>
        <v>0</v>
      </c>
      <c r="CE19" s="118">
        <f t="shared" si="58"/>
        <v>0</v>
      </c>
      <c r="CF19" s="118">
        <f t="shared" si="58"/>
        <v>0</v>
      </c>
      <c r="CG19" s="118">
        <f t="shared" si="58"/>
        <v>0</v>
      </c>
      <c r="CH19" s="118">
        <f t="shared" si="58"/>
        <v>0</v>
      </c>
      <c r="CI19" s="118">
        <f t="shared" si="58"/>
        <v>0</v>
      </c>
      <c r="CJ19" s="118">
        <f t="shared" si="58"/>
        <v>0</v>
      </c>
      <c r="CK19" s="118">
        <f t="shared" si="58"/>
        <v>0</v>
      </c>
      <c r="CL19" s="118">
        <f t="shared" si="58"/>
        <v>0</v>
      </c>
      <c r="CM19" s="118">
        <f t="shared" si="58"/>
        <v>0.02</v>
      </c>
      <c r="CN19" s="118">
        <f t="shared" si="58"/>
        <v>0</v>
      </c>
      <c r="CO19" s="118">
        <f t="shared" si="58"/>
        <v>0</v>
      </c>
      <c r="CP19" s="118">
        <f t="shared" si="58"/>
        <v>0</v>
      </c>
      <c r="CQ19" s="118">
        <f t="shared" si="58"/>
        <v>0</v>
      </c>
      <c r="CR19" s="118">
        <f t="shared" si="58"/>
        <v>0</v>
      </c>
      <c r="CS19" s="118">
        <f t="shared" si="58"/>
        <v>0</v>
      </c>
      <c r="CT19" s="118">
        <f t="shared" si="58"/>
        <v>0</v>
      </c>
      <c r="CU19" s="118">
        <f t="shared" si="58"/>
        <v>0</v>
      </c>
      <c r="CV19" s="118">
        <f t="shared" si="58"/>
        <v>0</v>
      </c>
      <c r="CW19" s="118">
        <f t="shared" si="58"/>
        <v>0</v>
      </c>
      <c r="CX19" s="118">
        <f t="shared" si="58"/>
        <v>0</v>
      </c>
      <c r="CY19" s="118">
        <f t="shared" ref="CY19:ED19" si="59">IF(AND(CY$7&gt;1,MOD(CY$7,12)=1),tax_growth_rate,0)</f>
        <v>0.02</v>
      </c>
      <c r="CZ19" s="118">
        <f t="shared" si="59"/>
        <v>0</v>
      </c>
      <c r="DA19" s="118">
        <f t="shared" si="59"/>
        <v>0</v>
      </c>
      <c r="DB19" s="118">
        <f t="shared" si="59"/>
        <v>0</v>
      </c>
      <c r="DC19" s="118">
        <f t="shared" si="59"/>
        <v>0</v>
      </c>
      <c r="DD19" s="118">
        <f t="shared" si="59"/>
        <v>0</v>
      </c>
      <c r="DE19" s="118">
        <f t="shared" si="59"/>
        <v>0</v>
      </c>
      <c r="DF19" s="118">
        <f t="shared" si="59"/>
        <v>0</v>
      </c>
      <c r="DG19" s="118">
        <f t="shared" si="59"/>
        <v>0</v>
      </c>
      <c r="DH19" s="118">
        <f t="shared" si="59"/>
        <v>0</v>
      </c>
      <c r="DI19" s="118">
        <f t="shared" si="59"/>
        <v>0</v>
      </c>
      <c r="DJ19" s="118">
        <f t="shared" si="59"/>
        <v>0</v>
      </c>
      <c r="DK19" s="118">
        <f t="shared" si="59"/>
        <v>0.02</v>
      </c>
      <c r="DL19" s="118">
        <f t="shared" si="59"/>
        <v>0</v>
      </c>
      <c r="DM19" s="118">
        <f t="shared" si="59"/>
        <v>0</v>
      </c>
      <c r="DN19" s="118">
        <f t="shared" si="59"/>
        <v>0</v>
      </c>
      <c r="DO19" s="118">
        <f t="shared" si="59"/>
        <v>0</v>
      </c>
      <c r="DP19" s="118">
        <f t="shared" si="59"/>
        <v>0</v>
      </c>
      <c r="DQ19" s="118">
        <f t="shared" si="59"/>
        <v>0</v>
      </c>
      <c r="DR19" s="118">
        <f t="shared" si="59"/>
        <v>0</v>
      </c>
      <c r="DS19" s="118">
        <f t="shared" si="59"/>
        <v>0</v>
      </c>
      <c r="DT19" s="118">
        <f t="shared" si="59"/>
        <v>0</v>
      </c>
      <c r="DU19" s="118">
        <f t="shared" si="59"/>
        <v>0</v>
      </c>
      <c r="DV19" s="118">
        <f t="shared" si="59"/>
        <v>0</v>
      </c>
      <c r="DW19" s="118">
        <f t="shared" si="59"/>
        <v>0.02</v>
      </c>
      <c r="DX19" s="118">
        <f t="shared" si="59"/>
        <v>0</v>
      </c>
      <c r="DY19" s="118">
        <f t="shared" si="59"/>
        <v>0</v>
      </c>
      <c r="DZ19" s="118">
        <f t="shared" si="59"/>
        <v>0</v>
      </c>
      <c r="EA19" s="118">
        <f t="shared" si="59"/>
        <v>0</v>
      </c>
      <c r="EB19" s="118">
        <f t="shared" si="59"/>
        <v>0</v>
      </c>
      <c r="EC19" s="118">
        <f t="shared" si="59"/>
        <v>0</v>
      </c>
      <c r="ED19" s="118">
        <f t="shared" si="59"/>
        <v>0</v>
      </c>
      <c r="EE19" s="118">
        <f t="shared" ref="EE19:FJ19" si="60">IF(AND(EE$7&gt;1,MOD(EE$7,12)=1),tax_growth_rate,0)</f>
        <v>0</v>
      </c>
      <c r="EF19" s="118">
        <f t="shared" si="60"/>
        <v>0</v>
      </c>
      <c r="EG19" s="118">
        <f t="shared" si="60"/>
        <v>0</v>
      </c>
      <c r="EH19" s="118">
        <f t="shared" si="60"/>
        <v>0</v>
      </c>
      <c r="EI19" s="118">
        <f t="shared" si="60"/>
        <v>0.02</v>
      </c>
      <c r="EJ19" s="118">
        <f t="shared" si="60"/>
        <v>0</v>
      </c>
      <c r="EK19" s="118">
        <f t="shared" si="60"/>
        <v>0</v>
      </c>
      <c r="EL19" s="118">
        <f t="shared" si="60"/>
        <v>0</v>
      </c>
      <c r="EM19" s="118">
        <f t="shared" si="60"/>
        <v>0</v>
      </c>
      <c r="EN19" s="118">
        <f t="shared" si="60"/>
        <v>0</v>
      </c>
      <c r="EO19" s="118">
        <f t="shared" si="60"/>
        <v>0</v>
      </c>
      <c r="EP19" s="118">
        <f t="shared" si="60"/>
        <v>0</v>
      </c>
      <c r="EQ19" s="118">
        <f t="shared" si="60"/>
        <v>0</v>
      </c>
      <c r="ER19" s="118">
        <f t="shared" si="60"/>
        <v>0</v>
      </c>
      <c r="ES19" s="118">
        <f t="shared" si="60"/>
        <v>0</v>
      </c>
      <c r="ET19" s="118">
        <f t="shared" si="60"/>
        <v>0</v>
      </c>
      <c r="EU19" s="118">
        <f t="shared" si="60"/>
        <v>0.02</v>
      </c>
      <c r="EV19" s="118">
        <f t="shared" si="60"/>
        <v>0</v>
      </c>
      <c r="EW19" s="118">
        <f t="shared" si="60"/>
        <v>0</v>
      </c>
      <c r="EX19" s="118">
        <f t="shared" si="60"/>
        <v>0</v>
      </c>
      <c r="EY19" s="118">
        <f t="shared" si="60"/>
        <v>0</v>
      </c>
      <c r="EZ19" s="118">
        <f t="shared" si="60"/>
        <v>0</v>
      </c>
      <c r="FA19" s="118">
        <f t="shared" si="60"/>
        <v>0</v>
      </c>
      <c r="FB19" s="118">
        <f t="shared" si="60"/>
        <v>0</v>
      </c>
      <c r="FC19" s="118">
        <f t="shared" si="60"/>
        <v>0</v>
      </c>
      <c r="FD19" s="118">
        <f t="shared" si="60"/>
        <v>0</v>
      </c>
      <c r="FE19" s="118">
        <f t="shared" si="60"/>
        <v>0</v>
      </c>
      <c r="FF19" s="118">
        <f t="shared" si="60"/>
        <v>0</v>
      </c>
      <c r="FG19" s="118">
        <f t="shared" si="60"/>
        <v>0.02</v>
      </c>
      <c r="FH19" s="118">
        <f t="shared" si="60"/>
        <v>0</v>
      </c>
      <c r="FI19" s="118">
        <f t="shared" si="60"/>
        <v>0</v>
      </c>
      <c r="FJ19" s="118">
        <f t="shared" si="60"/>
        <v>0</v>
      </c>
      <c r="FK19" s="118">
        <f t="shared" ref="FK19:GM19" si="61">IF(AND(FK$7&gt;1,MOD(FK$7,12)=1),tax_growth_rate,0)</f>
        <v>0</v>
      </c>
      <c r="FL19" s="118">
        <f t="shared" si="61"/>
        <v>0</v>
      </c>
      <c r="FM19" s="118">
        <f t="shared" si="61"/>
        <v>0</v>
      </c>
      <c r="FN19" s="118">
        <f t="shared" si="61"/>
        <v>0</v>
      </c>
      <c r="FO19" s="118">
        <f t="shared" si="61"/>
        <v>0</v>
      </c>
      <c r="FP19" s="118">
        <f t="shared" si="61"/>
        <v>0</v>
      </c>
      <c r="FQ19" s="118">
        <f t="shared" si="61"/>
        <v>0</v>
      </c>
      <c r="FR19" s="118">
        <f t="shared" si="61"/>
        <v>0</v>
      </c>
      <c r="FS19" s="118">
        <f t="shared" si="61"/>
        <v>0.02</v>
      </c>
      <c r="FT19" s="118">
        <f t="shared" si="61"/>
        <v>0</v>
      </c>
      <c r="FU19" s="118">
        <f t="shared" si="61"/>
        <v>0</v>
      </c>
      <c r="FV19" s="118">
        <f t="shared" si="61"/>
        <v>0</v>
      </c>
      <c r="FW19" s="118">
        <f t="shared" si="61"/>
        <v>0</v>
      </c>
      <c r="FX19" s="118">
        <f t="shared" si="61"/>
        <v>0</v>
      </c>
      <c r="FY19" s="118">
        <f t="shared" si="61"/>
        <v>0</v>
      </c>
      <c r="FZ19" s="118">
        <f t="shared" si="61"/>
        <v>0</v>
      </c>
      <c r="GA19" s="118">
        <f t="shared" si="61"/>
        <v>0</v>
      </c>
      <c r="GB19" s="118">
        <f t="shared" si="61"/>
        <v>0</v>
      </c>
      <c r="GC19" s="118">
        <f t="shared" si="61"/>
        <v>0</v>
      </c>
      <c r="GD19" s="118">
        <f t="shared" si="61"/>
        <v>0</v>
      </c>
      <c r="GE19" s="118">
        <f t="shared" si="61"/>
        <v>0.02</v>
      </c>
      <c r="GF19" s="118">
        <f t="shared" si="61"/>
        <v>0</v>
      </c>
      <c r="GG19" s="118">
        <f t="shared" si="61"/>
        <v>0</v>
      </c>
      <c r="GH19" s="118">
        <f t="shared" si="61"/>
        <v>0</v>
      </c>
      <c r="GI19" s="118">
        <f t="shared" si="61"/>
        <v>0</v>
      </c>
      <c r="GJ19" s="118">
        <f t="shared" si="61"/>
        <v>0</v>
      </c>
      <c r="GK19" s="118">
        <f t="shared" si="61"/>
        <v>0</v>
      </c>
      <c r="GL19" s="118">
        <f t="shared" si="61"/>
        <v>0</v>
      </c>
      <c r="GM19" s="118">
        <f t="shared" si="61"/>
        <v>0</v>
      </c>
      <c r="GN19" s="605"/>
      <c r="GO19" s="605"/>
      <c r="GP19" s="605"/>
      <c r="GQ19" s="6"/>
      <c r="GR19" s="6"/>
      <c r="GS19" s="6"/>
      <c r="GT19" s="6"/>
      <c r="GU19" s="6"/>
      <c r="GV19" s="6"/>
      <c r="GW19" s="6"/>
      <c r="GX19" s="6"/>
      <c r="GY19" s="6"/>
      <c r="GZ19" s="6"/>
      <c r="HA19" s="6"/>
      <c r="HB19" s="6"/>
      <c r="HC19" s="6"/>
      <c r="HD19" s="6"/>
      <c r="HE19" s="6"/>
      <c r="HF19" s="6"/>
      <c r="HG19" s="6"/>
      <c r="HH19" s="6"/>
      <c r="HI19" s="6"/>
      <c r="HJ19" s="6"/>
      <c r="HK19" s="6"/>
      <c r="HL19" s="6"/>
      <c r="HM19" s="6"/>
      <c r="HN19" s="6"/>
      <c r="HO19" s="6"/>
      <c r="HP19" s="6"/>
      <c r="HQ19" s="6"/>
      <c r="HR19" s="6"/>
      <c r="HS19" s="6"/>
      <c r="HT19" s="6"/>
      <c r="HU19" s="6"/>
      <c r="HV19" s="6"/>
      <c r="HW19" s="6"/>
      <c r="HX19" s="6"/>
      <c r="HY19" s="6"/>
      <c r="HZ19" s="6"/>
      <c r="IA19" s="6"/>
      <c r="IB19" s="6"/>
      <c r="IC19" s="6"/>
      <c r="ID19" s="6"/>
      <c r="IE19" s="6"/>
      <c r="IF19" s="6"/>
      <c r="IG19" s="6"/>
      <c r="IH19" s="6"/>
      <c r="II19" s="6"/>
      <c r="IJ19" s="6"/>
      <c r="IK19" s="6"/>
      <c r="IL19" s="6"/>
      <c r="IM19" s="6"/>
      <c r="IN19" s="6"/>
      <c r="IO19" s="6"/>
      <c r="IP19" s="6"/>
      <c r="IQ19" s="6"/>
      <c r="IR19" s="6"/>
      <c r="IS19" s="6"/>
      <c r="IT19" s="6"/>
      <c r="IU19" s="6"/>
      <c r="IV19" s="6"/>
      <c r="IW19" s="6"/>
      <c r="IX19" s="6"/>
      <c r="IY19" s="6"/>
      <c r="IZ19" s="6"/>
      <c r="JA19" s="6"/>
      <c r="JB19" s="6"/>
      <c r="JC19" s="6"/>
      <c r="JD19" s="6"/>
      <c r="JE19" s="6"/>
      <c r="JF19" s="6"/>
      <c r="JG19" s="6"/>
      <c r="JH19" s="6"/>
      <c r="JI19" s="6"/>
      <c r="JJ19" s="6"/>
      <c r="JK19" s="6"/>
      <c r="JL19" s="6"/>
      <c r="JM19" s="6"/>
      <c r="JN19" s="6"/>
      <c r="JO19" s="6"/>
      <c r="JP19" s="6"/>
      <c r="JQ19" s="6"/>
      <c r="JR19" s="6"/>
      <c r="JS19" s="6"/>
      <c r="JT19" s="6"/>
      <c r="JU19" s="6"/>
      <c r="JV19" s="6"/>
      <c r="JW19" s="6"/>
      <c r="JX19" s="6"/>
      <c r="JY19" s="6"/>
      <c r="JZ19" s="6"/>
      <c r="KA19" s="6"/>
      <c r="KB19" s="6"/>
      <c r="KC19" s="6"/>
      <c r="KD19" s="6"/>
      <c r="KE19" s="6"/>
      <c r="KF19" s="6"/>
      <c r="KG19" s="6"/>
      <c r="KH19" s="6"/>
      <c r="KI19" s="6"/>
      <c r="KJ19" s="6"/>
      <c r="KK19" s="6"/>
      <c r="KL19" s="6"/>
      <c r="KM19" s="6"/>
      <c r="KN19" s="6"/>
      <c r="KO19" s="6"/>
      <c r="KP19" s="6"/>
      <c r="KQ19" s="6"/>
      <c r="KR19" s="6"/>
      <c r="KS19" s="6"/>
      <c r="KT19" s="6"/>
      <c r="KU19" s="6"/>
      <c r="KV19" s="6"/>
      <c r="KW19" s="6"/>
      <c r="KX19" s="6"/>
      <c r="KY19" s="6"/>
      <c r="KZ19" s="6"/>
      <c r="LA19" s="6"/>
      <c r="LB19" s="6"/>
      <c r="LC19" s="6"/>
      <c r="LD19" s="6"/>
      <c r="LE19" s="6"/>
      <c r="LF19" s="6"/>
      <c r="LG19" s="6"/>
      <c r="LH19" s="6"/>
      <c r="LI19" s="6"/>
      <c r="LJ19" s="6"/>
      <c r="LK19" s="6"/>
      <c r="LL19" s="6"/>
      <c r="LM19" s="6"/>
      <c r="LN19" s="6"/>
      <c r="LO19" s="6"/>
      <c r="LP19" s="6"/>
      <c r="LQ19" s="6"/>
      <c r="LR19" s="6"/>
      <c r="LS19" s="6"/>
      <c r="LT19" s="6"/>
      <c r="LU19" s="6"/>
      <c r="LV19" s="6"/>
      <c r="LW19" s="6"/>
      <c r="LX19" s="6"/>
      <c r="LY19" s="6"/>
      <c r="LZ19" s="6"/>
      <c r="MA19" s="6"/>
      <c r="MB19" s="6"/>
      <c r="MC19" s="6"/>
      <c r="MD19" s="6"/>
      <c r="ME19" s="6"/>
      <c r="MF19" s="6"/>
      <c r="MG19" s="6"/>
      <c r="MH19" s="6"/>
      <c r="MI19" s="6"/>
      <c r="MJ19" s="6"/>
      <c r="MK19" s="6"/>
      <c r="ML19" s="6"/>
      <c r="MM19" s="6"/>
      <c r="MN19" s="6"/>
      <c r="MO19" s="6"/>
      <c r="MP19" s="6"/>
      <c r="MQ19" s="6"/>
      <c r="MR19" s="6"/>
      <c r="MS19" s="6"/>
      <c r="MT19" s="6"/>
      <c r="MU19" s="6"/>
      <c r="MV19" s="6"/>
      <c r="MW19" s="6"/>
      <c r="MX19" s="6"/>
      <c r="MY19" s="6"/>
      <c r="MZ19" s="6"/>
      <c r="NA19" s="6"/>
      <c r="NB19" s="6"/>
    </row>
    <row r="20" spans="1:366" ht="16" customHeight="1" x14ac:dyDescent="0.15">
      <c r="E20" s="134"/>
      <c r="F20" s="6"/>
      <c r="G20" s="6"/>
      <c r="H20" s="6"/>
      <c r="I20" s="6"/>
      <c r="J20" s="6"/>
      <c r="K20" s="6"/>
      <c r="L20" s="6"/>
      <c r="M20" s="6"/>
      <c r="N20" s="6"/>
      <c r="O20" s="6"/>
      <c r="P20" s="6"/>
      <c r="Q20" s="6"/>
      <c r="R20" s="6"/>
      <c r="S20" s="6"/>
      <c r="T20" s="6"/>
      <c r="U20" s="6"/>
      <c r="V20" s="6"/>
      <c r="W20" s="6"/>
      <c r="X20" s="6"/>
      <c r="Y20" s="6"/>
      <c r="Z20" s="6"/>
      <c r="AA20" s="6"/>
      <c r="AB20" s="6"/>
      <c r="AC20" s="6"/>
      <c r="AD20" s="6"/>
      <c r="AE20" s="6"/>
      <c r="AF20" s="6"/>
      <c r="AG20" s="6"/>
      <c r="AH20" s="6"/>
      <c r="AI20" s="6"/>
      <c r="AJ20" s="6"/>
      <c r="AK20" s="6"/>
      <c r="AL20" s="6"/>
      <c r="AM20" s="6"/>
      <c r="AN20" s="6"/>
      <c r="AO20" s="6"/>
      <c r="AP20" s="6"/>
      <c r="AQ20" s="6"/>
      <c r="AR20" s="6"/>
      <c r="AS20" s="6"/>
      <c r="AT20" s="6"/>
      <c r="AU20" s="6"/>
      <c r="AV20" s="6"/>
      <c r="AW20" s="6"/>
      <c r="AX20" s="6"/>
      <c r="AY20" s="6"/>
      <c r="AZ20" s="6"/>
      <c r="BA20" s="6"/>
      <c r="BB20" s="6"/>
      <c r="BC20" s="6"/>
      <c r="BD20" s="6"/>
      <c r="BE20" s="6"/>
      <c r="BF20" s="6"/>
      <c r="BG20" s="6"/>
      <c r="BH20" s="6"/>
      <c r="BI20" s="6"/>
      <c r="BJ20" s="6"/>
      <c r="BK20" s="6"/>
      <c r="BL20" s="6"/>
      <c r="BM20" s="6"/>
      <c r="BN20" s="6"/>
      <c r="BO20" s="6"/>
      <c r="BP20" s="6"/>
      <c r="BQ20" s="6"/>
      <c r="BR20" s="6"/>
      <c r="BS20" s="6"/>
      <c r="BT20" s="6"/>
      <c r="BU20" s="6"/>
      <c r="BV20" s="6"/>
      <c r="BW20" s="6"/>
      <c r="BX20" s="6"/>
      <c r="BY20" s="6"/>
      <c r="BZ20" s="6"/>
      <c r="CA20" s="6"/>
      <c r="CB20" s="6"/>
      <c r="CC20" s="6"/>
      <c r="CD20" s="6"/>
      <c r="CE20" s="6"/>
      <c r="CF20" s="6"/>
      <c r="CG20" s="6"/>
      <c r="CH20" s="6"/>
      <c r="CI20" s="6"/>
      <c r="CJ20" s="6"/>
      <c r="CK20" s="6"/>
      <c r="CL20" s="6"/>
      <c r="CM20" s="6"/>
      <c r="CN20" s="6"/>
      <c r="CO20" s="6"/>
      <c r="CP20" s="6"/>
      <c r="CQ20" s="6"/>
      <c r="CR20" s="6"/>
      <c r="CS20" s="6"/>
      <c r="CT20" s="6"/>
      <c r="CU20" s="6"/>
      <c r="CV20" s="6"/>
      <c r="CW20" s="6"/>
      <c r="CX20" s="6"/>
      <c r="CY20" s="6"/>
      <c r="CZ20" s="6"/>
      <c r="DA20" s="6"/>
      <c r="DB20" s="6"/>
      <c r="DC20" s="6"/>
      <c r="DD20" s="6"/>
      <c r="DE20" s="6"/>
      <c r="DF20" s="6"/>
      <c r="DG20" s="6"/>
      <c r="DH20" s="6"/>
      <c r="DI20" s="6"/>
      <c r="DJ20" s="6"/>
      <c r="DK20" s="6"/>
      <c r="DL20" s="6"/>
      <c r="DM20" s="6"/>
      <c r="DN20" s="6"/>
      <c r="DO20" s="6"/>
      <c r="DP20" s="6"/>
      <c r="DQ20" s="6"/>
      <c r="DR20" s="6"/>
      <c r="DS20" s="6"/>
      <c r="DT20" s="6"/>
      <c r="DU20" s="6"/>
      <c r="DV20" s="6"/>
      <c r="DW20" s="6"/>
      <c r="DX20" s="6"/>
      <c r="DY20" s="6"/>
      <c r="DZ20" s="6"/>
      <c r="EA20" s="6"/>
      <c r="EB20" s="6"/>
      <c r="EC20" s="6"/>
      <c r="ED20" s="6"/>
      <c r="EE20" s="6"/>
      <c r="EF20" s="6"/>
      <c r="EG20" s="6"/>
      <c r="EH20" s="6"/>
      <c r="EI20" s="6"/>
      <c r="EJ20" s="6"/>
      <c r="EK20" s="6"/>
      <c r="EL20" s="6"/>
      <c r="EM20" s="6"/>
      <c r="EN20" s="6"/>
      <c r="EO20" s="6"/>
      <c r="EP20" s="6"/>
      <c r="EQ20" s="6"/>
      <c r="ER20" s="6"/>
      <c r="ES20" s="6"/>
      <c r="ET20" s="6"/>
      <c r="EU20" s="6"/>
      <c r="EV20" s="6"/>
      <c r="EW20" s="6"/>
      <c r="EX20" s="6"/>
      <c r="EY20" s="6"/>
      <c r="EZ20" s="6"/>
      <c r="FA20" s="6"/>
      <c r="FB20" s="6"/>
      <c r="FC20" s="6"/>
      <c r="FD20" s="6"/>
      <c r="FE20" s="6"/>
      <c r="FF20" s="6"/>
      <c r="FG20" s="6"/>
      <c r="FH20" s="6"/>
      <c r="FI20" s="6"/>
      <c r="FJ20" s="6"/>
      <c r="FK20" s="6"/>
      <c r="FL20" s="6"/>
      <c r="FM20" s="6"/>
      <c r="FN20" s="6"/>
      <c r="FO20" s="6"/>
      <c r="FP20" s="6"/>
      <c r="FQ20" s="6"/>
      <c r="FR20" s="6"/>
      <c r="FS20" s="6"/>
      <c r="FT20" s="6"/>
      <c r="FU20" s="6"/>
      <c r="FV20" s="6"/>
      <c r="FW20" s="6"/>
      <c r="FX20" s="6"/>
      <c r="FY20" s="6"/>
      <c r="FZ20" s="6"/>
      <c r="GA20" s="6"/>
      <c r="GB20" s="6"/>
      <c r="GC20" s="6"/>
      <c r="GD20" s="6"/>
      <c r="GE20" s="6"/>
      <c r="GF20" s="6"/>
      <c r="GG20" s="6"/>
      <c r="GH20" s="6"/>
      <c r="GI20" s="6"/>
      <c r="GJ20" s="6"/>
      <c r="GK20" s="6"/>
      <c r="GL20" s="6"/>
      <c r="GM20" s="6"/>
      <c r="GN20" s="6"/>
      <c r="GO20" s="6"/>
      <c r="GP20" s="6"/>
      <c r="GQ20" s="6"/>
      <c r="GR20" s="6"/>
      <c r="GS20" s="6"/>
      <c r="GT20" s="6"/>
      <c r="GU20" s="6"/>
      <c r="GV20" s="6"/>
      <c r="GW20" s="6"/>
      <c r="GX20" s="6"/>
      <c r="GY20" s="6"/>
      <c r="GZ20" s="6"/>
      <c r="HA20" s="6"/>
      <c r="HB20" s="6"/>
      <c r="HC20" s="6"/>
      <c r="HD20" s="6"/>
      <c r="HE20" s="6"/>
      <c r="HF20" s="6"/>
      <c r="HG20" s="6"/>
      <c r="HH20" s="6"/>
      <c r="HI20" s="6"/>
      <c r="HJ20" s="6"/>
      <c r="HK20" s="6"/>
      <c r="HL20" s="6"/>
      <c r="HM20" s="6"/>
      <c r="HN20" s="6"/>
      <c r="HO20" s="6"/>
      <c r="HP20" s="6"/>
      <c r="HQ20" s="6"/>
      <c r="HR20" s="6"/>
      <c r="HS20" s="6"/>
      <c r="HT20" s="6"/>
      <c r="HU20" s="6"/>
      <c r="HV20" s="6"/>
      <c r="HW20" s="6"/>
      <c r="HX20" s="6"/>
      <c r="HY20" s="6"/>
      <c r="HZ20" s="6"/>
      <c r="IA20" s="6"/>
      <c r="IB20" s="6"/>
      <c r="IC20" s="6"/>
      <c r="ID20" s="6"/>
      <c r="IE20" s="6"/>
      <c r="IF20" s="6"/>
      <c r="IG20" s="6"/>
      <c r="IH20" s="6"/>
      <c r="II20" s="6"/>
      <c r="IJ20" s="6"/>
      <c r="IK20" s="6"/>
      <c r="IL20" s="6"/>
      <c r="IM20" s="6"/>
      <c r="IN20" s="6"/>
      <c r="IO20" s="6"/>
      <c r="IP20" s="6"/>
      <c r="IQ20" s="6"/>
      <c r="IR20" s="6"/>
      <c r="IS20" s="6"/>
      <c r="IT20" s="6"/>
      <c r="IU20" s="6"/>
      <c r="IV20" s="6"/>
      <c r="IW20" s="6"/>
      <c r="IX20" s="6"/>
      <c r="IY20" s="6"/>
      <c r="IZ20" s="6"/>
      <c r="JA20" s="6"/>
      <c r="JB20" s="6"/>
      <c r="JC20" s="6"/>
      <c r="JD20" s="6"/>
      <c r="JE20" s="6"/>
      <c r="JF20" s="6"/>
      <c r="JG20" s="6"/>
      <c r="JH20" s="6"/>
      <c r="JI20" s="6"/>
      <c r="JJ20" s="6"/>
      <c r="JK20" s="6"/>
      <c r="JL20" s="6"/>
      <c r="JM20" s="6"/>
      <c r="JN20" s="6"/>
      <c r="JO20" s="6"/>
      <c r="JP20" s="6"/>
      <c r="JQ20" s="6"/>
      <c r="JR20" s="6"/>
      <c r="JS20" s="6"/>
      <c r="JT20" s="6"/>
      <c r="JU20" s="6"/>
      <c r="JV20" s="6"/>
      <c r="JW20" s="6"/>
      <c r="JX20" s="6"/>
      <c r="JY20" s="6"/>
      <c r="JZ20" s="6"/>
      <c r="KA20" s="6"/>
      <c r="KB20" s="6"/>
      <c r="KC20" s="6"/>
      <c r="KD20" s="6"/>
      <c r="KE20" s="6"/>
      <c r="KF20" s="6"/>
      <c r="KG20" s="6"/>
      <c r="KH20" s="6"/>
      <c r="KI20" s="6"/>
      <c r="KJ20" s="6"/>
      <c r="KK20" s="6"/>
      <c r="KL20" s="6"/>
      <c r="KM20" s="6"/>
      <c r="KN20" s="6"/>
      <c r="KO20" s="6"/>
      <c r="KP20" s="6"/>
      <c r="KQ20" s="6"/>
      <c r="KR20" s="6"/>
      <c r="KS20" s="6"/>
      <c r="KT20" s="6"/>
      <c r="KU20" s="6"/>
      <c r="KV20" s="6"/>
      <c r="KW20" s="6"/>
      <c r="KX20" s="6"/>
      <c r="KY20" s="6"/>
      <c r="KZ20" s="6"/>
      <c r="LA20" s="6"/>
      <c r="LB20" s="6"/>
      <c r="LC20" s="6"/>
      <c r="LD20" s="6"/>
      <c r="LE20" s="6"/>
      <c r="LF20" s="6"/>
      <c r="LG20" s="6"/>
      <c r="LH20" s="6"/>
      <c r="LI20" s="6"/>
      <c r="LJ20" s="6"/>
      <c r="LK20" s="6"/>
      <c r="LL20" s="6"/>
      <c r="LM20" s="6"/>
      <c r="LN20" s="6"/>
      <c r="LO20" s="6"/>
      <c r="LP20" s="6"/>
      <c r="LQ20" s="6"/>
      <c r="LR20" s="6"/>
      <c r="LS20" s="6"/>
      <c r="LT20" s="6"/>
      <c r="LU20" s="6"/>
      <c r="LV20" s="6"/>
      <c r="LW20" s="6"/>
      <c r="LX20" s="6"/>
      <c r="LY20" s="6"/>
      <c r="LZ20" s="6"/>
      <c r="MA20" s="6"/>
      <c r="MB20" s="6"/>
      <c r="MC20" s="6"/>
      <c r="MD20" s="6"/>
      <c r="ME20" s="6"/>
      <c r="MF20" s="6"/>
      <c r="MG20" s="6"/>
      <c r="MH20" s="6"/>
      <c r="MI20" s="6"/>
      <c r="MJ20" s="6"/>
      <c r="MK20" s="6"/>
      <c r="ML20" s="6"/>
      <c r="MM20" s="6"/>
      <c r="MN20" s="6"/>
      <c r="MO20" s="6"/>
      <c r="MP20" s="6"/>
      <c r="MQ20" s="6"/>
      <c r="MR20" s="6"/>
      <c r="MS20" s="6"/>
      <c r="MT20" s="6"/>
      <c r="MU20" s="6"/>
      <c r="MV20" s="6"/>
      <c r="MW20" s="6"/>
      <c r="MX20" s="6"/>
      <c r="MY20" s="6"/>
      <c r="MZ20" s="6"/>
      <c r="NA20" s="6"/>
      <c r="NB20" s="6"/>
    </row>
    <row r="21" spans="1:366" ht="16" customHeight="1" x14ac:dyDescent="0.15">
      <c r="B21" t="s">
        <v>46</v>
      </c>
      <c r="E21" s="134"/>
      <c r="F21" s="6"/>
      <c r="G21" s="6"/>
      <c r="H21" s="6"/>
      <c r="I21" s="6"/>
      <c r="J21" s="6"/>
      <c r="K21" s="6"/>
      <c r="L21" s="6"/>
      <c r="M21" s="6"/>
      <c r="N21" s="6"/>
      <c r="O21" s="6"/>
      <c r="P21" s="6"/>
      <c r="Q21" s="6"/>
      <c r="R21" s="6"/>
      <c r="S21" s="6"/>
      <c r="T21" s="6"/>
      <c r="U21" s="6"/>
      <c r="V21" s="6"/>
      <c r="W21" s="6"/>
      <c r="X21" s="6"/>
      <c r="Y21" s="6"/>
      <c r="Z21" s="6"/>
      <c r="AA21" s="6"/>
      <c r="AB21" s="6"/>
      <c r="AC21" s="6"/>
      <c r="AD21" s="6"/>
      <c r="AE21" s="6"/>
      <c r="AF21" s="6"/>
      <c r="AG21" s="6"/>
      <c r="AH21" s="6"/>
      <c r="AI21" s="6"/>
      <c r="AJ21" s="6"/>
      <c r="AK21" s="6"/>
      <c r="AL21" s="6"/>
      <c r="AM21" s="6"/>
      <c r="AN21" s="6"/>
      <c r="AO21" s="6"/>
      <c r="AP21" s="6"/>
      <c r="AQ21" s="6"/>
      <c r="AR21" s="6"/>
      <c r="AS21" s="6"/>
      <c r="AT21" s="6"/>
      <c r="AU21" s="6"/>
      <c r="AV21" s="6"/>
      <c r="AW21" s="6"/>
      <c r="AX21" s="6"/>
      <c r="AY21" s="6"/>
      <c r="AZ21" s="6"/>
      <c r="BA21" s="6"/>
      <c r="BB21" s="6"/>
      <c r="BC21" s="6"/>
      <c r="BD21" s="6"/>
      <c r="BE21" s="6"/>
      <c r="BF21" s="6"/>
      <c r="BG21" s="6"/>
      <c r="BH21" s="6"/>
      <c r="BI21" s="6"/>
      <c r="BJ21" s="6"/>
      <c r="BK21" s="6"/>
      <c r="BL21" s="6"/>
      <c r="BM21" s="6"/>
      <c r="BN21" s="6"/>
      <c r="BO21" s="6"/>
      <c r="BP21" s="6"/>
      <c r="BQ21" s="6"/>
      <c r="BR21" s="6"/>
      <c r="BS21" s="6"/>
      <c r="BT21" s="6"/>
      <c r="BU21" s="6"/>
      <c r="BV21" s="6"/>
      <c r="BW21" s="6"/>
      <c r="BX21" s="6"/>
      <c r="BY21" s="6"/>
      <c r="BZ21" s="6"/>
      <c r="CA21" s="6"/>
      <c r="CB21" s="6"/>
      <c r="CC21" s="6"/>
      <c r="CD21" s="6"/>
      <c r="CE21" s="6"/>
      <c r="CF21" s="6"/>
      <c r="CG21" s="6"/>
      <c r="CH21" s="6"/>
      <c r="CI21" s="6"/>
      <c r="CJ21" s="6"/>
      <c r="CK21" s="6"/>
      <c r="CL21" s="6"/>
      <c r="CM21" s="6"/>
      <c r="CN21" s="6"/>
      <c r="CO21" s="6"/>
      <c r="CP21" s="6"/>
      <c r="CQ21" s="6"/>
      <c r="CR21" s="6"/>
      <c r="CS21" s="6"/>
      <c r="CT21" s="6"/>
      <c r="CU21" s="6"/>
      <c r="CV21" s="6"/>
      <c r="CW21" s="6"/>
      <c r="CX21" s="6"/>
      <c r="CY21" s="6"/>
      <c r="CZ21" s="6"/>
      <c r="DA21" s="6"/>
      <c r="DB21" s="6"/>
      <c r="DC21" s="6"/>
      <c r="DD21" s="6"/>
      <c r="DE21" s="6"/>
      <c r="DF21" s="6"/>
      <c r="DG21" s="6"/>
      <c r="DH21" s="6"/>
      <c r="DI21" s="6"/>
      <c r="DJ21" s="6"/>
      <c r="DK21" s="6"/>
      <c r="DL21" s="6"/>
      <c r="DM21" s="6"/>
      <c r="DN21" s="6"/>
      <c r="DO21" s="6"/>
      <c r="DP21" s="6"/>
      <c r="DQ21" s="6"/>
      <c r="DR21" s="6"/>
      <c r="DS21" s="6"/>
      <c r="DT21" s="6"/>
      <c r="DU21" s="6"/>
      <c r="DV21" s="6"/>
      <c r="DW21" s="6"/>
      <c r="DX21" s="6"/>
      <c r="DY21" s="6"/>
      <c r="DZ21" s="6"/>
      <c r="EA21" s="6"/>
      <c r="EB21" s="6"/>
      <c r="EC21" s="6"/>
      <c r="ED21" s="6"/>
      <c r="EE21" s="6"/>
      <c r="EF21" s="6"/>
      <c r="EG21" s="6"/>
      <c r="EH21" s="6"/>
      <c r="EI21" s="6"/>
      <c r="EJ21" s="6"/>
      <c r="EK21" s="6"/>
      <c r="EL21" s="6"/>
      <c r="EM21" s="6"/>
      <c r="EN21" s="6"/>
      <c r="EO21" s="6"/>
      <c r="EP21" s="6"/>
      <c r="EQ21" s="6"/>
      <c r="ER21" s="6"/>
      <c r="ES21" s="6"/>
      <c r="ET21" s="6"/>
      <c r="EU21" s="6"/>
      <c r="EV21" s="6"/>
      <c r="EW21" s="6"/>
      <c r="EX21" s="6"/>
      <c r="EY21" s="6"/>
      <c r="EZ21" s="6"/>
      <c r="FA21" s="6"/>
      <c r="FB21" s="6"/>
      <c r="FC21" s="6"/>
      <c r="FD21" s="6"/>
      <c r="FE21" s="6"/>
      <c r="FF21" s="6"/>
      <c r="FG21" s="6"/>
      <c r="FH21" s="6"/>
      <c r="FI21" s="6"/>
      <c r="FJ21" s="6"/>
      <c r="FK21" s="6"/>
      <c r="FL21" s="6"/>
      <c r="FM21" s="6"/>
      <c r="FN21" s="6"/>
      <c r="FO21" s="6"/>
      <c r="FP21" s="6"/>
      <c r="FQ21" s="6"/>
      <c r="FR21" s="6"/>
      <c r="FS21" s="6"/>
      <c r="FT21" s="6"/>
      <c r="FU21" s="6"/>
      <c r="FV21" s="6"/>
      <c r="FW21" s="6"/>
      <c r="FX21" s="6"/>
      <c r="FY21" s="6"/>
      <c r="FZ21" s="6"/>
      <c r="GA21" s="6"/>
      <c r="GB21" s="6"/>
      <c r="GC21" s="6"/>
      <c r="GD21" s="6"/>
      <c r="GE21" s="6"/>
      <c r="GF21" s="6"/>
      <c r="GG21" s="6"/>
      <c r="GH21" s="6"/>
      <c r="GI21" s="6"/>
      <c r="GJ21" s="6"/>
      <c r="GK21" s="6"/>
      <c r="GL21" s="6"/>
      <c r="GM21" s="6"/>
      <c r="GN21" s="6"/>
      <c r="GO21" s="6"/>
      <c r="GP21" s="6"/>
      <c r="GQ21" s="6"/>
      <c r="GR21" s="6"/>
      <c r="GS21" s="6"/>
      <c r="GT21" s="6"/>
      <c r="GU21" s="6"/>
      <c r="GV21" s="6"/>
      <c r="GW21" s="6"/>
      <c r="GX21" s="6"/>
      <c r="GY21" s="6"/>
      <c r="GZ21" s="6"/>
      <c r="HA21" s="6"/>
      <c r="HB21" s="6"/>
      <c r="HC21" s="6"/>
      <c r="HD21" s="6"/>
      <c r="HE21" s="6"/>
      <c r="HF21" s="6"/>
      <c r="HG21" s="6"/>
      <c r="HH21" s="6"/>
      <c r="HI21" s="6"/>
      <c r="HJ21" s="6"/>
      <c r="HK21" s="6"/>
      <c r="HL21" s="6"/>
      <c r="HM21" s="6"/>
      <c r="HN21" s="6"/>
      <c r="HO21" s="6"/>
      <c r="HP21" s="6"/>
      <c r="HQ21" s="6"/>
      <c r="HR21" s="6"/>
      <c r="HS21" s="6"/>
      <c r="HT21" s="6"/>
      <c r="HU21" s="6"/>
      <c r="HV21" s="6"/>
      <c r="HW21" s="6"/>
      <c r="HX21" s="6"/>
      <c r="HY21" s="6"/>
      <c r="HZ21" s="6"/>
      <c r="IA21" s="6"/>
      <c r="IB21" s="6"/>
      <c r="IC21" s="6"/>
      <c r="ID21" s="6"/>
      <c r="IE21" s="6"/>
      <c r="IF21" s="6"/>
      <c r="IG21" s="6"/>
      <c r="IH21" s="6"/>
      <c r="II21" s="6"/>
      <c r="IJ21" s="6"/>
      <c r="IK21" s="6"/>
      <c r="IL21" s="6"/>
      <c r="IM21" s="6"/>
      <c r="IN21" s="6"/>
      <c r="IO21" s="6"/>
      <c r="IP21" s="6"/>
      <c r="IQ21" s="6"/>
      <c r="IR21" s="6"/>
      <c r="IS21" s="6"/>
      <c r="IT21" s="6"/>
      <c r="IU21" s="6"/>
      <c r="IV21" s="6"/>
      <c r="IW21" s="6"/>
      <c r="IX21" s="6"/>
      <c r="IY21" s="6"/>
      <c r="IZ21" s="6"/>
      <c r="JA21" s="6"/>
      <c r="JB21" s="6"/>
      <c r="JC21" s="6"/>
      <c r="JD21" s="6"/>
      <c r="JE21" s="6"/>
      <c r="JF21" s="6"/>
      <c r="JG21" s="6"/>
      <c r="JH21" s="6"/>
      <c r="JI21" s="6"/>
      <c r="JJ21" s="6"/>
      <c r="JK21" s="6"/>
      <c r="JL21" s="6"/>
      <c r="JM21" s="6"/>
      <c r="JN21" s="6"/>
      <c r="JO21" s="6"/>
      <c r="JP21" s="6"/>
      <c r="JQ21" s="6"/>
      <c r="JR21" s="6"/>
      <c r="JS21" s="6"/>
      <c r="JT21" s="6"/>
      <c r="JU21" s="6"/>
      <c r="JV21" s="6"/>
      <c r="JW21" s="6"/>
      <c r="JX21" s="6"/>
      <c r="JY21" s="6"/>
      <c r="JZ21" s="6"/>
      <c r="KA21" s="6"/>
      <c r="KB21" s="6"/>
      <c r="KC21" s="6"/>
      <c r="KD21" s="6"/>
      <c r="KE21" s="6"/>
      <c r="KF21" s="6"/>
      <c r="KG21" s="6"/>
      <c r="KH21" s="6"/>
      <c r="KI21" s="6"/>
      <c r="KJ21" s="6"/>
      <c r="KK21" s="6"/>
      <c r="KL21" s="6"/>
      <c r="KM21" s="6"/>
      <c r="KN21" s="6"/>
      <c r="KO21" s="6"/>
      <c r="KP21" s="6"/>
      <c r="KQ21" s="6"/>
      <c r="KR21" s="6"/>
      <c r="KS21" s="6"/>
      <c r="KT21" s="6"/>
      <c r="KU21" s="6"/>
      <c r="KV21" s="6"/>
      <c r="KW21" s="6"/>
      <c r="KX21" s="6"/>
      <c r="KY21" s="6"/>
      <c r="KZ21" s="6"/>
      <c r="LA21" s="6"/>
      <c r="LB21" s="6"/>
      <c r="LC21" s="6"/>
      <c r="LD21" s="6"/>
      <c r="LE21" s="6"/>
      <c r="LF21" s="6"/>
      <c r="LG21" s="6"/>
      <c r="LH21" s="6"/>
      <c r="LI21" s="6"/>
      <c r="LJ21" s="6"/>
      <c r="LK21" s="6"/>
      <c r="LL21" s="6"/>
      <c r="LM21" s="6"/>
      <c r="LN21" s="6"/>
      <c r="LO21" s="6"/>
      <c r="LP21" s="6"/>
      <c r="LQ21" s="6"/>
      <c r="LR21" s="6"/>
      <c r="LS21" s="6"/>
      <c r="LT21" s="6"/>
      <c r="LU21" s="6"/>
      <c r="LV21" s="6"/>
      <c r="LW21" s="6"/>
      <c r="LX21" s="6"/>
      <c r="LY21" s="6"/>
      <c r="LZ21" s="6"/>
      <c r="MA21" s="6"/>
      <c r="MB21" s="6"/>
      <c r="MC21" s="6"/>
      <c r="MD21" s="6"/>
      <c r="ME21" s="6"/>
      <c r="MF21" s="6"/>
      <c r="MG21" s="6"/>
      <c r="MH21" s="6"/>
      <c r="MI21" s="6"/>
      <c r="MJ21" s="6"/>
      <c r="MK21" s="6"/>
      <c r="ML21" s="6"/>
      <c r="MM21" s="6"/>
      <c r="MN21" s="6"/>
      <c r="MO21" s="6"/>
      <c r="MP21" s="6"/>
      <c r="MQ21" s="6"/>
      <c r="MR21" s="6"/>
      <c r="MS21" s="6"/>
      <c r="MT21" s="6"/>
      <c r="MU21" s="6"/>
      <c r="MV21" s="6"/>
      <c r="MW21" s="6"/>
      <c r="MX21" s="6"/>
      <c r="MY21" s="6"/>
      <c r="MZ21" s="6"/>
      <c r="NA21" s="6"/>
      <c r="NB21" s="6"/>
    </row>
    <row r="22" spans="1:366" s="6" customFormat="1" ht="16" customHeight="1" x14ac:dyDescent="0.15">
      <c r="A22"/>
      <c r="B22" s="45" t="s">
        <v>228</v>
      </c>
      <c r="C22" s="46" t="s">
        <v>141</v>
      </c>
      <c r="D22" s="45"/>
      <c r="E22" s="99"/>
      <c r="F22" s="47"/>
      <c r="G22" s="47"/>
      <c r="H22" s="47"/>
      <c r="I22" s="47"/>
      <c r="J22" s="47"/>
      <c r="K22" s="47"/>
      <c r="L22" s="47"/>
      <c r="M22" s="47"/>
      <c r="N22" s="47"/>
      <c r="O22" s="47"/>
      <c r="P22" s="47"/>
      <c r="Q22" s="47"/>
      <c r="R22" s="47"/>
      <c r="S22" s="47"/>
      <c r="T22" s="47"/>
      <c r="U22" s="47"/>
      <c r="V22" s="47"/>
      <c r="W22" s="47"/>
      <c r="X22" s="47"/>
      <c r="Y22" s="47"/>
      <c r="Z22" s="47"/>
      <c r="AA22" s="47"/>
      <c r="AB22" s="47"/>
      <c r="AC22" s="47"/>
      <c r="AD22" s="47"/>
      <c r="AE22" s="47"/>
      <c r="AF22" s="47"/>
      <c r="AG22" s="47"/>
      <c r="AH22" s="47"/>
      <c r="AI22" s="47"/>
      <c r="AJ22" s="47"/>
      <c r="AK22" s="47"/>
      <c r="AL22" s="47"/>
      <c r="AM22" s="47"/>
      <c r="AN22" s="47"/>
      <c r="AO22" s="47"/>
      <c r="AP22" s="47"/>
      <c r="AQ22" s="47"/>
      <c r="AR22" s="47"/>
      <c r="AS22" s="47"/>
      <c r="AT22" s="47"/>
      <c r="AU22" s="47"/>
      <c r="AV22" s="47"/>
      <c r="AW22" s="47"/>
      <c r="AX22" s="47"/>
      <c r="AY22" s="47"/>
      <c r="AZ22" s="47"/>
      <c r="BA22" s="47"/>
      <c r="BB22" s="47"/>
      <c r="BC22" s="47"/>
      <c r="BD22" s="47"/>
      <c r="BE22" s="47"/>
      <c r="BF22" s="47"/>
      <c r="BG22" s="47"/>
      <c r="BH22" s="47"/>
      <c r="BI22" s="47"/>
      <c r="BJ22" s="47"/>
      <c r="BK22" s="47"/>
      <c r="BL22" s="47"/>
      <c r="BM22" s="47"/>
      <c r="BN22" s="47"/>
      <c r="BO22" s="47"/>
      <c r="BP22" s="47"/>
      <c r="BQ22" s="47"/>
      <c r="BR22" s="47"/>
      <c r="BS22" s="47"/>
      <c r="BT22" s="47"/>
      <c r="BU22" s="47"/>
      <c r="BV22" s="47"/>
      <c r="BW22" s="47"/>
      <c r="BX22" s="47"/>
      <c r="BY22" s="47"/>
      <c r="BZ22" s="47"/>
      <c r="CA22" s="47"/>
      <c r="CB22" s="47"/>
      <c r="CC22" s="47"/>
      <c r="CD22" s="47"/>
      <c r="CE22" s="47"/>
      <c r="CF22" s="47"/>
      <c r="CG22" s="47"/>
      <c r="CH22" s="47"/>
      <c r="CI22" s="47"/>
      <c r="CJ22" s="47"/>
      <c r="CK22" s="47"/>
      <c r="CL22" s="47"/>
      <c r="CM22" s="47"/>
      <c r="CN22" s="47"/>
      <c r="CO22" s="47"/>
      <c r="CP22" s="47"/>
      <c r="CQ22" s="47"/>
      <c r="CR22" s="47"/>
      <c r="CS22" s="47"/>
      <c r="CT22" s="47"/>
      <c r="CU22" s="47"/>
      <c r="CV22" s="47"/>
      <c r="CW22" s="47"/>
      <c r="CX22" s="47"/>
      <c r="CY22" s="47"/>
      <c r="CZ22" s="47"/>
      <c r="DA22" s="47"/>
      <c r="DB22" s="47"/>
      <c r="DC22" s="47"/>
      <c r="DD22" s="47"/>
      <c r="DE22" s="47"/>
      <c r="DF22" s="47"/>
      <c r="DG22" s="47"/>
      <c r="DH22" s="47"/>
      <c r="DI22" s="47"/>
      <c r="DJ22" s="47"/>
      <c r="DK22" s="47"/>
      <c r="DL22" s="47"/>
      <c r="DM22" s="47"/>
      <c r="DN22" s="47"/>
      <c r="DO22" s="47"/>
      <c r="DP22" s="47"/>
      <c r="DQ22" s="47"/>
      <c r="DR22" s="47"/>
      <c r="DS22" s="47"/>
      <c r="DT22" s="47"/>
      <c r="DU22" s="47"/>
      <c r="DV22" s="47"/>
      <c r="DW22" s="47"/>
      <c r="DX22" s="47"/>
      <c r="DY22" s="47"/>
      <c r="DZ22" s="47"/>
      <c r="EA22" s="47"/>
      <c r="EB22" s="47"/>
      <c r="EC22" s="47"/>
      <c r="ED22" s="47"/>
      <c r="EE22" s="47"/>
      <c r="EF22" s="47"/>
      <c r="EG22" s="47"/>
      <c r="EH22" s="47"/>
      <c r="EI22" s="47"/>
      <c r="EJ22" s="47"/>
      <c r="EK22" s="47"/>
      <c r="EL22" s="47"/>
      <c r="EM22" s="47"/>
      <c r="EN22" s="47"/>
      <c r="EO22" s="47"/>
      <c r="EP22" s="47"/>
      <c r="EQ22" s="47"/>
      <c r="ER22" s="47"/>
      <c r="ES22" s="47"/>
      <c r="ET22" s="47"/>
      <c r="EU22" s="47"/>
      <c r="EV22" s="47"/>
      <c r="EW22" s="47"/>
      <c r="EX22" s="47"/>
      <c r="EY22" s="47"/>
      <c r="EZ22" s="47"/>
      <c r="FA22" s="47"/>
      <c r="FB22" s="47"/>
      <c r="FC22" s="47"/>
      <c r="FD22" s="47"/>
      <c r="FE22" s="47"/>
      <c r="FF22" s="47"/>
      <c r="FG22" s="47"/>
      <c r="FH22" s="47"/>
      <c r="FI22" s="47"/>
      <c r="FJ22" s="47"/>
      <c r="FK22" s="47"/>
      <c r="FL22" s="47"/>
      <c r="FM22" s="47"/>
      <c r="FN22" s="47"/>
      <c r="FO22" s="47"/>
      <c r="FP22" s="47"/>
      <c r="FQ22" s="47"/>
      <c r="FR22" s="47"/>
      <c r="FS22" s="47"/>
      <c r="FT22" s="47"/>
      <c r="FU22" s="47"/>
      <c r="FV22" s="47"/>
      <c r="FW22" s="47"/>
      <c r="FX22" s="47"/>
      <c r="FY22" s="47"/>
      <c r="FZ22" s="47"/>
      <c r="GA22" s="47"/>
      <c r="GB22" s="47"/>
      <c r="GC22" s="47"/>
      <c r="GD22" s="47"/>
      <c r="GE22" s="47"/>
      <c r="GF22" s="47"/>
      <c r="GG22" s="47"/>
      <c r="GH22" s="47"/>
      <c r="GI22" s="47"/>
      <c r="GJ22" s="47"/>
      <c r="GK22" s="47"/>
      <c r="GL22" s="47"/>
      <c r="GM22" s="47"/>
      <c r="GN22" s="278"/>
      <c r="GO22" s="278"/>
      <c r="GP22" s="278"/>
    </row>
    <row r="23" spans="1:366" s="6" customFormat="1" ht="16" customHeight="1" x14ac:dyDescent="0.15">
      <c r="A23"/>
      <c r="B23" s="3" t="s">
        <v>52</v>
      </c>
      <c r="C23" s="312" t="s">
        <v>150</v>
      </c>
      <c r="D23"/>
      <c r="E23" s="9"/>
    </row>
    <row r="24" spans="1:366" s="6" customFormat="1" ht="16" customHeight="1" x14ac:dyDescent="0.15">
      <c r="A24"/>
      <c r="B24" t="s">
        <v>272</v>
      </c>
      <c r="C24" s="312" t="s">
        <v>150</v>
      </c>
      <c r="D24"/>
      <c r="E24" s="9"/>
      <c r="F24" s="44">
        <f>-purchase_price</f>
        <v>-5985000</v>
      </c>
      <c r="G24" s="44">
        <v>0</v>
      </c>
      <c r="H24" s="44">
        <v>0</v>
      </c>
      <c r="I24" s="44">
        <v>0</v>
      </c>
      <c r="J24" s="44">
        <v>0</v>
      </c>
      <c r="K24" s="44">
        <v>0</v>
      </c>
      <c r="L24" s="135">
        <v>0</v>
      </c>
      <c r="M24" s="44">
        <v>0</v>
      </c>
      <c r="N24" s="44">
        <v>0</v>
      </c>
      <c r="O24" s="44">
        <v>0</v>
      </c>
      <c r="P24" s="44">
        <v>0</v>
      </c>
      <c r="Q24" s="44">
        <v>0</v>
      </c>
      <c r="R24" s="44">
        <v>0</v>
      </c>
      <c r="S24" s="44">
        <v>0</v>
      </c>
      <c r="T24" s="44">
        <v>0</v>
      </c>
      <c r="U24" s="44">
        <v>0</v>
      </c>
      <c r="V24" s="44">
        <v>0</v>
      </c>
      <c r="W24" s="44">
        <v>0</v>
      </c>
      <c r="X24" s="44">
        <v>0</v>
      </c>
      <c r="Y24" s="44">
        <v>0</v>
      </c>
      <c r="Z24" s="44">
        <v>0</v>
      </c>
      <c r="AA24" s="44">
        <v>0</v>
      </c>
      <c r="AB24" s="44">
        <v>0</v>
      </c>
      <c r="AC24" s="44">
        <v>0</v>
      </c>
      <c r="AD24" s="135">
        <v>0</v>
      </c>
      <c r="AE24" s="44">
        <v>0</v>
      </c>
      <c r="AF24" s="44">
        <v>0</v>
      </c>
      <c r="AG24" s="44">
        <v>0</v>
      </c>
      <c r="AH24" s="44">
        <v>0</v>
      </c>
      <c r="AI24" s="44">
        <v>0</v>
      </c>
      <c r="AJ24" s="44">
        <v>0</v>
      </c>
      <c r="AK24" s="44">
        <v>0</v>
      </c>
      <c r="AL24" s="44">
        <v>0</v>
      </c>
      <c r="AM24" s="44">
        <v>0</v>
      </c>
      <c r="AN24" s="44">
        <v>0</v>
      </c>
      <c r="AO24" s="44">
        <v>0</v>
      </c>
      <c r="AP24" s="44">
        <v>0</v>
      </c>
      <c r="AQ24" s="44">
        <v>0</v>
      </c>
      <c r="AR24" s="44">
        <v>0</v>
      </c>
      <c r="AS24" s="44">
        <v>0</v>
      </c>
      <c r="AT24" s="44">
        <v>0</v>
      </c>
      <c r="AU24" s="44">
        <v>0</v>
      </c>
      <c r="AV24" s="44">
        <v>0</v>
      </c>
      <c r="AW24" s="44">
        <v>0</v>
      </c>
      <c r="AX24" s="44">
        <v>0</v>
      </c>
      <c r="AY24" s="44">
        <v>0</v>
      </c>
      <c r="AZ24" s="44">
        <v>0</v>
      </c>
      <c r="BA24" s="44">
        <v>0</v>
      </c>
      <c r="BB24" s="44">
        <v>0</v>
      </c>
      <c r="BC24" s="44">
        <v>0</v>
      </c>
      <c r="BD24" s="44">
        <v>0</v>
      </c>
      <c r="BE24" s="44">
        <v>0</v>
      </c>
      <c r="BF24" s="44">
        <v>0</v>
      </c>
      <c r="BG24" s="44">
        <v>0</v>
      </c>
      <c r="BH24" s="44">
        <v>0</v>
      </c>
      <c r="BI24" s="44">
        <v>0</v>
      </c>
      <c r="BJ24" s="44">
        <v>0</v>
      </c>
      <c r="BK24" s="44">
        <v>0</v>
      </c>
      <c r="BL24" s="44">
        <v>0</v>
      </c>
      <c r="BM24" s="44">
        <v>0</v>
      </c>
      <c r="BN24" s="44">
        <v>0</v>
      </c>
      <c r="BO24" s="44">
        <v>0</v>
      </c>
      <c r="BP24" s="44">
        <v>0</v>
      </c>
      <c r="BQ24" s="44">
        <v>0</v>
      </c>
      <c r="BR24" s="44">
        <v>0</v>
      </c>
      <c r="BS24" s="44">
        <v>0</v>
      </c>
      <c r="BT24" s="44">
        <v>0</v>
      </c>
      <c r="BU24" s="44">
        <v>0</v>
      </c>
      <c r="BV24" s="44">
        <v>0</v>
      </c>
      <c r="BW24" s="44">
        <v>0</v>
      </c>
      <c r="BX24" s="44">
        <v>0</v>
      </c>
      <c r="BY24" s="44">
        <v>0</v>
      </c>
      <c r="BZ24" s="44">
        <v>0</v>
      </c>
      <c r="CA24" s="44">
        <v>0</v>
      </c>
      <c r="CB24" s="44">
        <v>0</v>
      </c>
      <c r="CC24" s="44">
        <v>0</v>
      </c>
      <c r="CD24" s="44">
        <v>0</v>
      </c>
      <c r="CE24" s="44">
        <v>0</v>
      </c>
      <c r="CF24" s="44">
        <v>0</v>
      </c>
      <c r="CG24" s="44">
        <v>0</v>
      </c>
      <c r="CH24" s="44">
        <v>0</v>
      </c>
      <c r="CI24" s="44">
        <v>0</v>
      </c>
      <c r="CJ24" s="44">
        <v>0</v>
      </c>
      <c r="CK24" s="44">
        <v>0</v>
      </c>
      <c r="CL24" s="44">
        <v>0</v>
      </c>
      <c r="CM24" s="44">
        <v>0</v>
      </c>
      <c r="CN24" s="44">
        <v>0</v>
      </c>
      <c r="CO24" s="44">
        <v>0</v>
      </c>
      <c r="CP24" s="44">
        <v>0</v>
      </c>
      <c r="CQ24" s="44">
        <v>0</v>
      </c>
      <c r="CR24" s="44">
        <v>0</v>
      </c>
      <c r="CS24" s="44">
        <v>0</v>
      </c>
      <c r="CT24" s="44">
        <v>0</v>
      </c>
      <c r="CU24" s="44">
        <v>0</v>
      </c>
      <c r="CV24" s="44">
        <v>0</v>
      </c>
      <c r="CW24" s="44">
        <v>0</v>
      </c>
      <c r="CX24" s="44">
        <v>0</v>
      </c>
      <c r="CY24" s="44">
        <v>0</v>
      </c>
      <c r="CZ24" s="44">
        <v>0</v>
      </c>
      <c r="DA24" s="44">
        <v>0</v>
      </c>
      <c r="DB24" s="44">
        <v>0</v>
      </c>
      <c r="DC24" s="44">
        <v>0</v>
      </c>
      <c r="DD24" s="44">
        <v>0</v>
      </c>
      <c r="DE24" s="44">
        <v>0</v>
      </c>
      <c r="DF24" s="44">
        <v>0</v>
      </c>
      <c r="DG24" s="44">
        <v>0</v>
      </c>
      <c r="DH24" s="44">
        <v>0</v>
      </c>
      <c r="DI24" s="44">
        <v>0</v>
      </c>
      <c r="DJ24" s="44">
        <v>0</v>
      </c>
      <c r="DK24" s="44">
        <v>0</v>
      </c>
      <c r="DL24" s="44">
        <v>0</v>
      </c>
      <c r="DM24" s="44">
        <v>0</v>
      </c>
      <c r="DN24" s="44">
        <v>0</v>
      </c>
      <c r="DO24" s="44">
        <v>0</v>
      </c>
      <c r="DP24" s="44">
        <v>0</v>
      </c>
      <c r="DQ24" s="44">
        <v>0</v>
      </c>
      <c r="DR24" s="44">
        <v>0</v>
      </c>
      <c r="DS24" s="44">
        <v>0</v>
      </c>
      <c r="DT24" s="44">
        <v>0</v>
      </c>
      <c r="DU24" s="44">
        <v>0</v>
      </c>
      <c r="DV24" s="44">
        <v>0</v>
      </c>
      <c r="DW24" s="44">
        <v>0</v>
      </c>
      <c r="DX24" s="44">
        <v>0</v>
      </c>
      <c r="DY24" s="44">
        <v>0</v>
      </c>
      <c r="DZ24" s="44">
        <v>0</v>
      </c>
      <c r="EA24" s="44">
        <v>0</v>
      </c>
      <c r="EB24" s="44">
        <v>0</v>
      </c>
      <c r="EC24" s="44">
        <v>0</v>
      </c>
      <c r="ED24" s="44">
        <v>0</v>
      </c>
      <c r="EE24" s="44">
        <v>0</v>
      </c>
      <c r="EF24" s="44">
        <v>0</v>
      </c>
      <c r="EG24" s="44">
        <v>0</v>
      </c>
      <c r="EH24" s="44">
        <v>0</v>
      </c>
      <c r="EI24" s="44">
        <v>0</v>
      </c>
      <c r="EJ24" s="44">
        <v>0</v>
      </c>
      <c r="EK24" s="44">
        <v>0</v>
      </c>
      <c r="EL24" s="44">
        <v>0</v>
      </c>
      <c r="EM24" s="44">
        <v>0</v>
      </c>
      <c r="EN24" s="44">
        <v>0</v>
      </c>
      <c r="EO24" s="44">
        <v>0</v>
      </c>
      <c r="EP24" s="44">
        <v>0</v>
      </c>
      <c r="EQ24" s="44">
        <v>0</v>
      </c>
      <c r="ER24" s="44">
        <v>0</v>
      </c>
      <c r="ES24" s="44">
        <v>0</v>
      </c>
      <c r="ET24" s="44">
        <v>0</v>
      </c>
      <c r="EU24" s="44">
        <v>0</v>
      </c>
      <c r="EV24" s="44">
        <v>0</v>
      </c>
      <c r="EW24" s="44">
        <v>0</v>
      </c>
      <c r="EX24" s="44">
        <v>0</v>
      </c>
      <c r="EY24" s="44">
        <v>0</v>
      </c>
      <c r="EZ24" s="44">
        <v>0</v>
      </c>
      <c r="FA24" s="44">
        <v>0</v>
      </c>
      <c r="FB24" s="44">
        <v>0</v>
      </c>
      <c r="FC24" s="44">
        <v>0</v>
      </c>
      <c r="FD24" s="44">
        <v>0</v>
      </c>
      <c r="FE24" s="44">
        <v>0</v>
      </c>
      <c r="FF24" s="44">
        <v>0</v>
      </c>
      <c r="FG24" s="44">
        <v>0</v>
      </c>
      <c r="FH24" s="44">
        <v>0</v>
      </c>
      <c r="FI24" s="44">
        <v>0</v>
      </c>
      <c r="FJ24" s="44">
        <v>0</v>
      </c>
      <c r="FK24" s="44">
        <v>0</v>
      </c>
      <c r="FL24" s="44">
        <v>0</v>
      </c>
      <c r="FM24" s="44">
        <v>0</v>
      </c>
      <c r="FN24" s="44">
        <v>0</v>
      </c>
      <c r="FO24" s="44">
        <v>0</v>
      </c>
      <c r="FP24" s="44">
        <v>0</v>
      </c>
      <c r="FQ24" s="44">
        <v>0</v>
      </c>
      <c r="FR24" s="44">
        <v>0</v>
      </c>
      <c r="FS24" s="44">
        <v>0</v>
      </c>
      <c r="FT24" s="44">
        <v>0</v>
      </c>
      <c r="FU24" s="44">
        <v>0</v>
      </c>
      <c r="FV24" s="44">
        <v>0</v>
      </c>
      <c r="FW24" s="44">
        <v>0</v>
      </c>
      <c r="FX24" s="44">
        <v>0</v>
      </c>
      <c r="FY24" s="44">
        <v>0</v>
      </c>
      <c r="FZ24" s="44">
        <v>0</v>
      </c>
      <c r="GA24" s="44">
        <v>0</v>
      </c>
      <c r="GB24" s="44">
        <v>0</v>
      </c>
      <c r="GC24" s="44">
        <v>0</v>
      </c>
      <c r="GD24" s="44">
        <v>0</v>
      </c>
      <c r="GE24" s="44">
        <v>0</v>
      </c>
      <c r="GF24" s="44">
        <v>0</v>
      </c>
      <c r="GG24" s="44">
        <v>0</v>
      </c>
      <c r="GH24" s="44">
        <v>0</v>
      </c>
      <c r="GI24" s="44">
        <v>0</v>
      </c>
      <c r="GJ24" s="44">
        <v>0</v>
      </c>
      <c r="GK24" s="44">
        <v>0</v>
      </c>
      <c r="GL24" s="44">
        <v>0</v>
      </c>
      <c r="GM24" s="44">
        <v>0</v>
      </c>
      <c r="GN24" s="606"/>
      <c r="GO24" s="606"/>
      <c r="GP24" s="606"/>
      <c r="GQ24" s="65"/>
      <c r="GR24" s="65"/>
      <c r="GS24" s="65"/>
      <c r="GT24" s="65"/>
      <c r="GU24" s="65"/>
      <c r="GV24" s="65"/>
      <c r="GW24" s="65"/>
      <c r="GX24" s="65"/>
      <c r="GY24" s="65"/>
      <c r="GZ24" s="65"/>
      <c r="HA24" s="65"/>
      <c r="HB24" s="65"/>
      <c r="HC24" s="65"/>
      <c r="HD24" s="65"/>
      <c r="HE24" s="65"/>
      <c r="HF24" s="65"/>
      <c r="HG24" s="65"/>
      <c r="HH24" s="65"/>
      <c r="HI24" s="65"/>
      <c r="HJ24" s="65"/>
      <c r="HK24" s="65"/>
      <c r="HL24" s="65"/>
      <c r="HM24" s="65"/>
      <c r="HN24" s="65"/>
      <c r="HO24" s="65"/>
      <c r="HP24" s="65"/>
      <c r="HQ24" s="65"/>
      <c r="HR24" s="65"/>
      <c r="HS24" s="65"/>
      <c r="HT24" s="65"/>
      <c r="HU24" s="65"/>
      <c r="HV24" s="65"/>
      <c r="HW24" s="65"/>
      <c r="HX24" s="65"/>
      <c r="HY24" s="65"/>
      <c r="HZ24" s="65"/>
      <c r="IA24" s="65"/>
      <c r="IB24" s="65"/>
      <c r="IC24" s="65"/>
      <c r="ID24" s="65"/>
      <c r="IE24" s="65"/>
      <c r="IF24" s="65"/>
      <c r="IG24" s="65"/>
      <c r="IH24" s="65"/>
      <c r="II24" s="65"/>
      <c r="IJ24" s="65"/>
      <c r="IK24" s="65"/>
      <c r="IL24" s="65"/>
      <c r="IM24" s="65"/>
      <c r="IN24" s="65"/>
      <c r="IO24" s="65"/>
      <c r="IP24" s="65"/>
      <c r="IQ24" s="65"/>
      <c r="IR24" s="65"/>
      <c r="IS24" s="65"/>
      <c r="IT24" s="65"/>
      <c r="IU24" s="65"/>
      <c r="IV24" s="65"/>
      <c r="IW24" s="65"/>
      <c r="IX24" s="65"/>
      <c r="IY24" s="65"/>
      <c r="IZ24" s="65"/>
      <c r="JA24" s="65"/>
      <c r="JB24" s="65"/>
      <c r="JC24" s="65"/>
      <c r="JD24" s="65"/>
      <c r="JE24" s="65"/>
      <c r="JF24" s="65"/>
      <c r="JG24" s="65"/>
      <c r="JH24" s="65"/>
      <c r="JI24" s="65"/>
      <c r="JJ24" s="65"/>
      <c r="JK24" s="65"/>
      <c r="JL24" s="65"/>
      <c r="JM24" s="65"/>
      <c r="JN24" s="65"/>
      <c r="JO24" s="65"/>
      <c r="JP24" s="65"/>
      <c r="JQ24" s="65"/>
      <c r="JR24" s="65"/>
      <c r="JS24" s="65"/>
      <c r="JT24" s="65"/>
      <c r="JU24" s="65"/>
      <c r="JV24" s="65"/>
      <c r="JW24" s="65"/>
      <c r="JX24" s="65"/>
      <c r="JY24" s="65"/>
      <c r="JZ24" s="65"/>
      <c r="KA24" s="65"/>
      <c r="KB24" s="65"/>
      <c r="KC24" s="65"/>
      <c r="KD24" s="65"/>
      <c r="KE24" s="65"/>
      <c r="KF24" s="65"/>
      <c r="KG24" s="65"/>
      <c r="KH24" s="65"/>
      <c r="KI24" s="65"/>
      <c r="KJ24" s="65"/>
      <c r="KK24" s="65"/>
      <c r="KL24" s="65"/>
      <c r="KM24" s="65"/>
      <c r="KN24" s="65"/>
      <c r="KO24" s="65"/>
      <c r="KP24" s="65"/>
      <c r="KQ24" s="65"/>
      <c r="KR24" s="65"/>
      <c r="KS24" s="65"/>
      <c r="KT24" s="65"/>
      <c r="KU24" s="65"/>
      <c r="KV24" s="65"/>
      <c r="KW24" s="65"/>
      <c r="KX24" s="65"/>
      <c r="KY24" s="65"/>
      <c r="KZ24" s="65"/>
      <c r="LA24" s="65"/>
      <c r="LB24" s="65"/>
      <c r="LC24" s="65"/>
      <c r="LD24" s="65"/>
      <c r="LE24" s="65"/>
      <c r="LF24" s="65"/>
      <c r="LG24" s="65"/>
      <c r="LH24" s="65"/>
      <c r="LI24" s="65"/>
      <c r="LJ24" s="65"/>
      <c r="LK24" s="65"/>
      <c r="LL24" s="65"/>
      <c r="LM24" s="65"/>
      <c r="LN24" s="65"/>
      <c r="LO24" s="65"/>
      <c r="LP24" s="65"/>
      <c r="LQ24" s="65"/>
      <c r="LR24" s="65"/>
      <c r="LS24" s="65"/>
      <c r="LT24" s="65"/>
      <c r="LU24" s="65"/>
      <c r="LV24" s="65"/>
      <c r="LW24" s="65"/>
      <c r="LX24" s="65"/>
      <c r="LY24" s="65"/>
      <c r="LZ24" s="65"/>
      <c r="MA24" s="65"/>
      <c r="MB24" s="65"/>
      <c r="MC24" s="65"/>
      <c r="MD24" s="65"/>
      <c r="ME24" s="65"/>
      <c r="MF24" s="65"/>
      <c r="MG24" s="65"/>
      <c r="MH24" s="65"/>
      <c r="MI24" s="65"/>
      <c r="MJ24" s="65"/>
      <c r="MK24" s="65"/>
      <c r="ML24" s="65"/>
      <c r="MM24" s="65"/>
      <c r="MN24" s="65"/>
      <c r="MO24" s="65"/>
      <c r="MP24" s="65"/>
      <c r="MQ24" s="65"/>
      <c r="MR24" s="65"/>
      <c r="MS24" s="65"/>
      <c r="MT24" s="65"/>
      <c r="MU24" s="65"/>
      <c r="MV24" s="65"/>
      <c r="MW24" s="65"/>
      <c r="MX24" s="65"/>
      <c r="MY24" s="65"/>
      <c r="MZ24" s="65"/>
      <c r="NA24" s="65"/>
      <c r="NB24" s="65"/>
    </row>
    <row r="25" spans="1:366" s="6" customFormat="1" ht="16" customHeight="1" x14ac:dyDescent="0.15">
      <c r="A25"/>
      <c r="B25" s="5" t="s">
        <v>273</v>
      </c>
      <c r="C25" s="313" t="s">
        <v>150</v>
      </c>
      <c r="D25" s="5"/>
      <c r="E25" s="24"/>
      <c r="F25" s="51">
        <f>-closing_costs</f>
        <v>-239400</v>
      </c>
      <c r="G25" s="51">
        <v>0</v>
      </c>
      <c r="H25" s="51">
        <v>0</v>
      </c>
      <c r="I25" s="51">
        <v>0</v>
      </c>
      <c r="J25" s="51">
        <v>0</v>
      </c>
      <c r="K25" s="51">
        <v>0</v>
      </c>
      <c r="L25" s="316">
        <v>0</v>
      </c>
      <c r="M25" s="51">
        <v>0</v>
      </c>
      <c r="N25" s="51">
        <v>0</v>
      </c>
      <c r="O25" s="51">
        <v>0</v>
      </c>
      <c r="P25" s="51">
        <v>0</v>
      </c>
      <c r="Q25" s="51">
        <v>0</v>
      </c>
      <c r="R25" s="51">
        <v>0</v>
      </c>
      <c r="S25" s="51">
        <v>0</v>
      </c>
      <c r="T25" s="51">
        <v>0</v>
      </c>
      <c r="U25" s="51">
        <v>0</v>
      </c>
      <c r="V25" s="51">
        <v>0</v>
      </c>
      <c r="W25" s="51">
        <v>0</v>
      </c>
      <c r="X25" s="51">
        <v>0</v>
      </c>
      <c r="Y25" s="51">
        <v>0</v>
      </c>
      <c r="Z25" s="51">
        <v>0</v>
      </c>
      <c r="AA25" s="51">
        <v>0</v>
      </c>
      <c r="AB25" s="51">
        <v>0</v>
      </c>
      <c r="AC25" s="51">
        <v>0</v>
      </c>
      <c r="AD25" s="51">
        <v>0</v>
      </c>
      <c r="AE25" s="51">
        <v>0</v>
      </c>
      <c r="AF25" s="51">
        <v>0</v>
      </c>
      <c r="AG25" s="51">
        <v>0</v>
      </c>
      <c r="AH25" s="51">
        <v>0</v>
      </c>
      <c r="AI25" s="51">
        <v>0</v>
      </c>
      <c r="AJ25" s="51">
        <v>0</v>
      </c>
      <c r="AK25" s="51">
        <v>0</v>
      </c>
      <c r="AL25" s="51">
        <v>0</v>
      </c>
      <c r="AM25" s="51">
        <v>0</v>
      </c>
      <c r="AN25" s="51">
        <v>0</v>
      </c>
      <c r="AO25" s="51">
        <v>0</v>
      </c>
      <c r="AP25" s="51">
        <v>0</v>
      </c>
      <c r="AQ25" s="51">
        <v>0</v>
      </c>
      <c r="AR25" s="51">
        <v>0</v>
      </c>
      <c r="AS25" s="51">
        <v>0</v>
      </c>
      <c r="AT25" s="51">
        <v>0</v>
      </c>
      <c r="AU25" s="51">
        <v>0</v>
      </c>
      <c r="AV25" s="51">
        <v>0</v>
      </c>
      <c r="AW25" s="51">
        <v>0</v>
      </c>
      <c r="AX25" s="51">
        <v>0</v>
      </c>
      <c r="AY25" s="51">
        <v>0</v>
      </c>
      <c r="AZ25" s="51">
        <v>0</v>
      </c>
      <c r="BA25" s="51">
        <v>0</v>
      </c>
      <c r="BB25" s="51">
        <v>0</v>
      </c>
      <c r="BC25" s="51">
        <v>0</v>
      </c>
      <c r="BD25" s="51">
        <v>0</v>
      </c>
      <c r="BE25" s="51">
        <v>0</v>
      </c>
      <c r="BF25" s="51">
        <v>0</v>
      </c>
      <c r="BG25" s="51">
        <v>0</v>
      </c>
      <c r="BH25" s="51">
        <v>0</v>
      </c>
      <c r="BI25" s="51">
        <v>0</v>
      </c>
      <c r="BJ25" s="51">
        <v>0</v>
      </c>
      <c r="BK25" s="51">
        <v>0</v>
      </c>
      <c r="BL25" s="51">
        <v>0</v>
      </c>
      <c r="BM25" s="51">
        <v>0</v>
      </c>
      <c r="BN25" s="51">
        <v>0</v>
      </c>
      <c r="BO25" s="51">
        <v>0</v>
      </c>
      <c r="BP25" s="51">
        <v>0</v>
      </c>
      <c r="BQ25" s="51">
        <v>0</v>
      </c>
      <c r="BR25" s="51">
        <v>0</v>
      </c>
      <c r="BS25" s="51">
        <v>0</v>
      </c>
      <c r="BT25" s="51">
        <v>0</v>
      </c>
      <c r="BU25" s="51">
        <v>0</v>
      </c>
      <c r="BV25" s="51">
        <v>0</v>
      </c>
      <c r="BW25" s="51">
        <v>0</v>
      </c>
      <c r="BX25" s="51">
        <v>0</v>
      </c>
      <c r="BY25" s="51">
        <v>0</v>
      </c>
      <c r="BZ25" s="51">
        <v>0</v>
      </c>
      <c r="CA25" s="51">
        <v>0</v>
      </c>
      <c r="CB25" s="51">
        <v>0</v>
      </c>
      <c r="CC25" s="51">
        <v>0</v>
      </c>
      <c r="CD25" s="51">
        <v>0</v>
      </c>
      <c r="CE25" s="51">
        <v>0</v>
      </c>
      <c r="CF25" s="51">
        <v>0</v>
      </c>
      <c r="CG25" s="51">
        <v>0</v>
      </c>
      <c r="CH25" s="51">
        <v>0</v>
      </c>
      <c r="CI25" s="51">
        <v>0</v>
      </c>
      <c r="CJ25" s="51">
        <v>0</v>
      </c>
      <c r="CK25" s="51">
        <v>0</v>
      </c>
      <c r="CL25" s="51">
        <v>0</v>
      </c>
      <c r="CM25" s="51">
        <v>0</v>
      </c>
      <c r="CN25" s="51">
        <v>0</v>
      </c>
      <c r="CO25" s="51">
        <v>0</v>
      </c>
      <c r="CP25" s="51">
        <v>0</v>
      </c>
      <c r="CQ25" s="51">
        <v>0</v>
      </c>
      <c r="CR25" s="51">
        <v>0</v>
      </c>
      <c r="CS25" s="51">
        <v>0</v>
      </c>
      <c r="CT25" s="51">
        <v>0</v>
      </c>
      <c r="CU25" s="51">
        <v>0</v>
      </c>
      <c r="CV25" s="51">
        <v>0</v>
      </c>
      <c r="CW25" s="51">
        <v>0</v>
      </c>
      <c r="CX25" s="51">
        <v>0</v>
      </c>
      <c r="CY25" s="51">
        <v>0</v>
      </c>
      <c r="CZ25" s="51">
        <v>0</v>
      </c>
      <c r="DA25" s="51">
        <v>0</v>
      </c>
      <c r="DB25" s="51">
        <v>0</v>
      </c>
      <c r="DC25" s="51">
        <v>0</v>
      </c>
      <c r="DD25" s="51">
        <v>0</v>
      </c>
      <c r="DE25" s="51">
        <v>0</v>
      </c>
      <c r="DF25" s="51">
        <v>0</v>
      </c>
      <c r="DG25" s="51">
        <v>0</v>
      </c>
      <c r="DH25" s="51">
        <v>0</v>
      </c>
      <c r="DI25" s="51">
        <v>0</v>
      </c>
      <c r="DJ25" s="51">
        <v>0</v>
      </c>
      <c r="DK25" s="51">
        <v>0</v>
      </c>
      <c r="DL25" s="51">
        <v>0</v>
      </c>
      <c r="DM25" s="51">
        <v>0</v>
      </c>
      <c r="DN25" s="51">
        <v>0</v>
      </c>
      <c r="DO25" s="51">
        <v>0</v>
      </c>
      <c r="DP25" s="51">
        <v>0</v>
      </c>
      <c r="DQ25" s="51">
        <v>0</v>
      </c>
      <c r="DR25" s="51">
        <v>0</v>
      </c>
      <c r="DS25" s="51">
        <v>0</v>
      </c>
      <c r="DT25" s="51">
        <v>0</v>
      </c>
      <c r="DU25" s="51">
        <v>0</v>
      </c>
      <c r="DV25" s="51">
        <v>0</v>
      </c>
      <c r="DW25" s="51">
        <v>0</v>
      </c>
      <c r="DX25" s="51">
        <v>0</v>
      </c>
      <c r="DY25" s="51">
        <v>0</v>
      </c>
      <c r="DZ25" s="51">
        <v>0</v>
      </c>
      <c r="EA25" s="51">
        <v>0</v>
      </c>
      <c r="EB25" s="51">
        <v>0</v>
      </c>
      <c r="EC25" s="51">
        <v>0</v>
      </c>
      <c r="ED25" s="51">
        <v>0</v>
      </c>
      <c r="EE25" s="51">
        <v>0</v>
      </c>
      <c r="EF25" s="51">
        <v>0</v>
      </c>
      <c r="EG25" s="51">
        <v>0</v>
      </c>
      <c r="EH25" s="51">
        <v>0</v>
      </c>
      <c r="EI25" s="51">
        <v>0</v>
      </c>
      <c r="EJ25" s="51">
        <v>0</v>
      </c>
      <c r="EK25" s="51">
        <v>0</v>
      </c>
      <c r="EL25" s="51">
        <v>0</v>
      </c>
      <c r="EM25" s="51">
        <v>0</v>
      </c>
      <c r="EN25" s="51">
        <v>0</v>
      </c>
      <c r="EO25" s="51">
        <v>0</v>
      </c>
      <c r="EP25" s="51">
        <v>0</v>
      </c>
      <c r="EQ25" s="51">
        <v>0</v>
      </c>
      <c r="ER25" s="51">
        <v>0</v>
      </c>
      <c r="ES25" s="51">
        <v>0</v>
      </c>
      <c r="ET25" s="51">
        <v>0</v>
      </c>
      <c r="EU25" s="51">
        <v>0</v>
      </c>
      <c r="EV25" s="51">
        <v>0</v>
      </c>
      <c r="EW25" s="51">
        <v>0</v>
      </c>
      <c r="EX25" s="51">
        <v>0</v>
      </c>
      <c r="EY25" s="51">
        <v>0</v>
      </c>
      <c r="EZ25" s="51">
        <v>0</v>
      </c>
      <c r="FA25" s="51">
        <v>0</v>
      </c>
      <c r="FB25" s="51">
        <v>0</v>
      </c>
      <c r="FC25" s="51">
        <v>0</v>
      </c>
      <c r="FD25" s="51">
        <v>0</v>
      </c>
      <c r="FE25" s="51">
        <v>0</v>
      </c>
      <c r="FF25" s="51">
        <v>0</v>
      </c>
      <c r="FG25" s="51">
        <v>0</v>
      </c>
      <c r="FH25" s="51">
        <v>0</v>
      </c>
      <c r="FI25" s="51">
        <v>0</v>
      </c>
      <c r="FJ25" s="51">
        <v>0</v>
      </c>
      <c r="FK25" s="51">
        <v>0</v>
      </c>
      <c r="FL25" s="51">
        <v>0</v>
      </c>
      <c r="FM25" s="51">
        <v>0</v>
      </c>
      <c r="FN25" s="51">
        <v>0</v>
      </c>
      <c r="FO25" s="51">
        <v>0</v>
      </c>
      <c r="FP25" s="51">
        <v>0</v>
      </c>
      <c r="FQ25" s="51">
        <v>0</v>
      </c>
      <c r="FR25" s="51">
        <v>0</v>
      </c>
      <c r="FS25" s="51">
        <v>0</v>
      </c>
      <c r="FT25" s="51">
        <v>0</v>
      </c>
      <c r="FU25" s="51">
        <v>0</v>
      </c>
      <c r="FV25" s="51">
        <v>0</v>
      </c>
      <c r="FW25" s="51">
        <v>0</v>
      </c>
      <c r="FX25" s="51">
        <v>0</v>
      </c>
      <c r="FY25" s="51">
        <v>0</v>
      </c>
      <c r="FZ25" s="51">
        <v>0</v>
      </c>
      <c r="GA25" s="51">
        <v>0</v>
      </c>
      <c r="GB25" s="51">
        <v>0</v>
      </c>
      <c r="GC25" s="51">
        <v>0</v>
      </c>
      <c r="GD25" s="51">
        <v>0</v>
      </c>
      <c r="GE25" s="51">
        <v>0</v>
      </c>
      <c r="GF25" s="51">
        <v>0</v>
      </c>
      <c r="GG25" s="51">
        <v>0</v>
      </c>
      <c r="GH25" s="51">
        <v>0</v>
      </c>
      <c r="GI25" s="51">
        <v>0</v>
      </c>
      <c r="GJ25" s="51">
        <v>0</v>
      </c>
      <c r="GK25" s="51">
        <v>0</v>
      </c>
      <c r="GL25" s="51">
        <v>0</v>
      </c>
      <c r="GM25" s="51">
        <v>0</v>
      </c>
      <c r="GN25" s="607"/>
      <c r="GO25" s="607"/>
      <c r="GP25" s="607"/>
      <c r="GQ25" s="65"/>
      <c r="GR25" s="65"/>
      <c r="GS25" s="65"/>
      <c r="GT25" s="65"/>
      <c r="GU25" s="65"/>
      <c r="GV25" s="65"/>
      <c r="GW25" s="65"/>
      <c r="GX25" s="65"/>
      <c r="GY25" s="65"/>
      <c r="GZ25" s="65"/>
      <c r="HA25" s="65"/>
      <c r="HB25" s="65"/>
      <c r="HC25" s="65"/>
      <c r="HD25" s="65"/>
      <c r="HE25" s="65"/>
      <c r="HF25" s="65"/>
      <c r="HG25" s="65"/>
      <c r="HH25" s="65"/>
      <c r="HI25" s="65"/>
      <c r="HJ25" s="65"/>
      <c r="HK25" s="65"/>
      <c r="HL25" s="65"/>
      <c r="HM25" s="65"/>
      <c r="HN25" s="65"/>
      <c r="HO25" s="65"/>
      <c r="HP25" s="65"/>
      <c r="HQ25" s="65"/>
      <c r="HR25" s="65"/>
      <c r="HS25" s="65"/>
      <c r="HT25" s="65"/>
      <c r="HU25" s="65"/>
      <c r="HV25" s="65"/>
      <c r="HW25" s="65"/>
      <c r="HX25" s="65"/>
      <c r="HY25" s="65"/>
      <c r="HZ25" s="65"/>
      <c r="IA25" s="65"/>
      <c r="IB25" s="65"/>
      <c r="IC25" s="65"/>
      <c r="ID25" s="65"/>
      <c r="IE25" s="65"/>
      <c r="IF25" s="65"/>
      <c r="IG25" s="65"/>
      <c r="IH25" s="65"/>
      <c r="II25" s="65"/>
      <c r="IJ25" s="65"/>
      <c r="IK25" s="65"/>
      <c r="IL25" s="65"/>
      <c r="IM25" s="65"/>
      <c r="IN25" s="65"/>
      <c r="IO25" s="65"/>
      <c r="IP25" s="65"/>
      <c r="IQ25" s="65"/>
      <c r="IR25" s="65"/>
      <c r="IS25" s="65"/>
      <c r="IT25" s="65"/>
      <c r="IU25" s="65"/>
      <c r="IV25" s="65"/>
      <c r="IW25" s="65"/>
      <c r="IX25" s="65"/>
      <c r="IY25" s="65"/>
      <c r="IZ25" s="65"/>
      <c r="JA25" s="65"/>
      <c r="JB25" s="65"/>
      <c r="JC25" s="65"/>
      <c r="JD25" s="65"/>
      <c r="JE25" s="65"/>
      <c r="JF25" s="65"/>
      <c r="JG25" s="65"/>
      <c r="JH25" s="65"/>
      <c r="JI25" s="65"/>
      <c r="JJ25" s="65"/>
      <c r="JK25" s="65"/>
      <c r="JL25" s="65"/>
      <c r="JM25" s="65"/>
      <c r="JN25" s="65"/>
      <c r="JO25" s="65"/>
      <c r="JP25" s="65"/>
      <c r="JQ25" s="65"/>
      <c r="JR25" s="65"/>
      <c r="JS25" s="65"/>
      <c r="JT25" s="65"/>
      <c r="JU25" s="65"/>
      <c r="JV25" s="65"/>
      <c r="JW25" s="65"/>
      <c r="JX25" s="65"/>
      <c r="JY25" s="65"/>
      <c r="JZ25" s="65"/>
      <c r="KA25" s="65"/>
      <c r="KB25" s="65"/>
      <c r="KC25" s="65"/>
      <c r="KD25" s="65"/>
      <c r="KE25" s="65"/>
      <c r="KF25" s="65"/>
      <c r="KG25" s="65"/>
      <c r="KH25" s="65"/>
      <c r="KI25" s="65"/>
      <c r="KJ25" s="65"/>
      <c r="KK25" s="65"/>
      <c r="KL25" s="65"/>
      <c r="KM25" s="65"/>
      <c r="KN25" s="65"/>
      <c r="KO25" s="65"/>
      <c r="KP25" s="65"/>
      <c r="KQ25" s="65"/>
      <c r="KR25" s="65"/>
      <c r="KS25" s="65"/>
      <c r="KT25" s="65"/>
      <c r="KU25" s="65"/>
      <c r="KV25" s="65"/>
      <c r="KW25" s="65"/>
      <c r="KX25" s="65"/>
      <c r="KY25" s="65"/>
      <c r="KZ25" s="65"/>
      <c r="LA25" s="65"/>
      <c r="LB25" s="65"/>
      <c r="LC25" s="65"/>
      <c r="LD25" s="65"/>
      <c r="LE25" s="65"/>
      <c r="LF25" s="65"/>
      <c r="LG25" s="65"/>
      <c r="LH25" s="65"/>
      <c r="LI25" s="65"/>
      <c r="LJ25" s="65"/>
      <c r="LK25" s="65"/>
      <c r="LL25" s="65"/>
      <c r="LM25" s="65"/>
      <c r="LN25" s="65"/>
      <c r="LO25" s="65"/>
      <c r="LP25" s="65"/>
      <c r="LQ25" s="65"/>
      <c r="LR25" s="65"/>
      <c r="LS25" s="65"/>
      <c r="LT25" s="65"/>
      <c r="LU25" s="65"/>
      <c r="LV25" s="65"/>
      <c r="LW25" s="65"/>
      <c r="LX25" s="65"/>
      <c r="LY25" s="65"/>
      <c r="LZ25" s="65"/>
      <c r="MA25" s="65"/>
      <c r="MB25" s="65"/>
      <c r="MC25" s="65"/>
      <c r="MD25" s="65"/>
      <c r="ME25" s="65"/>
      <c r="MF25" s="65"/>
      <c r="MG25" s="65"/>
      <c r="MH25" s="65"/>
      <c r="MI25" s="65"/>
      <c r="MJ25" s="65"/>
      <c r="MK25" s="65"/>
      <c r="ML25" s="65"/>
      <c r="MM25" s="65"/>
      <c r="MN25" s="65"/>
      <c r="MO25" s="65"/>
      <c r="MP25" s="65"/>
      <c r="MQ25" s="65"/>
      <c r="MR25" s="65"/>
      <c r="MS25" s="65"/>
      <c r="MT25" s="65"/>
      <c r="MU25" s="65"/>
      <c r="MV25" s="65"/>
      <c r="MW25" s="65"/>
      <c r="MX25" s="65"/>
      <c r="MY25" s="65"/>
      <c r="MZ25" s="65"/>
      <c r="NA25" s="65"/>
      <c r="NB25" s="65"/>
    </row>
    <row r="26" spans="1:366" s="6" customFormat="1" ht="16" customHeight="1" x14ac:dyDescent="0.15">
      <c r="A26"/>
      <c r="B26" t="s">
        <v>53</v>
      </c>
      <c r="C26" s="312" t="s">
        <v>150</v>
      </c>
      <c r="D26"/>
      <c r="E26" s="9"/>
      <c r="F26" s="13">
        <f t="shared" ref="F26:AK26" si="62">SUM(F24:F25)</f>
        <v>-6224400</v>
      </c>
      <c r="G26" s="13">
        <f t="shared" si="62"/>
        <v>0</v>
      </c>
      <c r="H26" s="13">
        <f t="shared" si="62"/>
        <v>0</v>
      </c>
      <c r="I26" s="13">
        <f t="shared" si="62"/>
        <v>0</v>
      </c>
      <c r="J26" s="13">
        <f t="shared" si="62"/>
        <v>0</v>
      </c>
      <c r="K26" s="13">
        <f t="shared" si="62"/>
        <v>0</v>
      </c>
      <c r="L26" s="13">
        <f t="shared" si="62"/>
        <v>0</v>
      </c>
      <c r="M26" s="13">
        <f t="shared" si="62"/>
        <v>0</v>
      </c>
      <c r="N26" s="13">
        <f t="shared" si="62"/>
        <v>0</v>
      </c>
      <c r="O26" s="13">
        <f t="shared" si="62"/>
        <v>0</v>
      </c>
      <c r="P26" s="13">
        <f t="shared" si="62"/>
        <v>0</v>
      </c>
      <c r="Q26" s="13">
        <f t="shared" si="62"/>
        <v>0</v>
      </c>
      <c r="R26" s="13">
        <f t="shared" si="62"/>
        <v>0</v>
      </c>
      <c r="S26" s="13">
        <f t="shared" si="62"/>
        <v>0</v>
      </c>
      <c r="T26" s="13">
        <f t="shared" si="62"/>
        <v>0</v>
      </c>
      <c r="U26" s="13">
        <f t="shared" si="62"/>
        <v>0</v>
      </c>
      <c r="V26" s="13">
        <f t="shared" si="62"/>
        <v>0</v>
      </c>
      <c r="W26" s="13">
        <f t="shared" si="62"/>
        <v>0</v>
      </c>
      <c r="X26" s="13">
        <f t="shared" si="62"/>
        <v>0</v>
      </c>
      <c r="Y26" s="13">
        <f t="shared" si="62"/>
        <v>0</v>
      </c>
      <c r="Z26" s="13">
        <f t="shared" si="62"/>
        <v>0</v>
      </c>
      <c r="AA26" s="13">
        <f t="shared" si="62"/>
        <v>0</v>
      </c>
      <c r="AB26" s="13">
        <f t="shared" si="62"/>
        <v>0</v>
      </c>
      <c r="AC26" s="13">
        <f t="shared" si="62"/>
        <v>0</v>
      </c>
      <c r="AD26" s="13">
        <f t="shared" si="62"/>
        <v>0</v>
      </c>
      <c r="AE26" s="13">
        <f t="shared" si="62"/>
        <v>0</v>
      </c>
      <c r="AF26" s="13">
        <f t="shared" si="62"/>
        <v>0</v>
      </c>
      <c r="AG26" s="13">
        <f t="shared" si="62"/>
        <v>0</v>
      </c>
      <c r="AH26" s="13">
        <f t="shared" si="62"/>
        <v>0</v>
      </c>
      <c r="AI26" s="13">
        <f t="shared" si="62"/>
        <v>0</v>
      </c>
      <c r="AJ26" s="13">
        <f t="shared" si="62"/>
        <v>0</v>
      </c>
      <c r="AK26" s="13">
        <f t="shared" si="62"/>
        <v>0</v>
      </c>
      <c r="AL26" s="13">
        <f t="shared" ref="AL26:BQ26" si="63">SUM(AL24:AL25)</f>
        <v>0</v>
      </c>
      <c r="AM26" s="13">
        <f t="shared" si="63"/>
        <v>0</v>
      </c>
      <c r="AN26" s="13">
        <f t="shared" si="63"/>
        <v>0</v>
      </c>
      <c r="AO26" s="13">
        <f t="shared" si="63"/>
        <v>0</v>
      </c>
      <c r="AP26" s="13">
        <f t="shared" si="63"/>
        <v>0</v>
      </c>
      <c r="AQ26" s="13">
        <f t="shared" si="63"/>
        <v>0</v>
      </c>
      <c r="AR26" s="13">
        <f t="shared" si="63"/>
        <v>0</v>
      </c>
      <c r="AS26" s="13">
        <f t="shared" si="63"/>
        <v>0</v>
      </c>
      <c r="AT26" s="13">
        <f t="shared" si="63"/>
        <v>0</v>
      </c>
      <c r="AU26" s="13">
        <f t="shared" si="63"/>
        <v>0</v>
      </c>
      <c r="AV26" s="13">
        <f t="shared" si="63"/>
        <v>0</v>
      </c>
      <c r="AW26" s="13">
        <f t="shared" si="63"/>
        <v>0</v>
      </c>
      <c r="AX26" s="13">
        <f t="shared" si="63"/>
        <v>0</v>
      </c>
      <c r="AY26" s="13">
        <f t="shared" si="63"/>
        <v>0</v>
      </c>
      <c r="AZ26" s="13">
        <f t="shared" si="63"/>
        <v>0</v>
      </c>
      <c r="BA26" s="13">
        <f t="shared" si="63"/>
        <v>0</v>
      </c>
      <c r="BB26" s="13">
        <f t="shared" si="63"/>
        <v>0</v>
      </c>
      <c r="BC26" s="13">
        <f t="shared" si="63"/>
        <v>0</v>
      </c>
      <c r="BD26" s="13">
        <f t="shared" si="63"/>
        <v>0</v>
      </c>
      <c r="BE26" s="13">
        <f t="shared" si="63"/>
        <v>0</v>
      </c>
      <c r="BF26" s="13">
        <f t="shared" si="63"/>
        <v>0</v>
      </c>
      <c r="BG26" s="13">
        <f t="shared" si="63"/>
        <v>0</v>
      </c>
      <c r="BH26" s="13">
        <f t="shared" si="63"/>
        <v>0</v>
      </c>
      <c r="BI26" s="13">
        <f t="shared" si="63"/>
        <v>0</v>
      </c>
      <c r="BJ26" s="13">
        <f t="shared" si="63"/>
        <v>0</v>
      </c>
      <c r="BK26" s="13">
        <f t="shared" si="63"/>
        <v>0</v>
      </c>
      <c r="BL26" s="13">
        <f t="shared" si="63"/>
        <v>0</v>
      </c>
      <c r="BM26" s="13">
        <f t="shared" si="63"/>
        <v>0</v>
      </c>
      <c r="BN26" s="13">
        <f t="shared" si="63"/>
        <v>0</v>
      </c>
      <c r="BO26" s="13">
        <f t="shared" si="63"/>
        <v>0</v>
      </c>
      <c r="BP26" s="13">
        <f t="shared" si="63"/>
        <v>0</v>
      </c>
      <c r="BQ26" s="13">
        <f t="shared" si="63"/>
        <v>0</v>
      </c>
      <c r="BR26" s="13">
        <f t="shared" ref="BR26:CK26" si="64">SUM(BR24:BR25)</f>
        <v>0</v>
      </c>
      <c r="BS26" s="13">
        <f t="shared" si="64"/>
        <v>0</v>
      </c>
      <c r="BT26" s="13">
        <f t="shared" si="64"/>
        <v>0</v>
      </c>
      <c r="BU26" s="13">
        <f t="shared" si="64"/>
        <v>0</v>
      </c>
      <c r="BV26" s="13">
        <f t="shared" si="64"/>
        <v>0</v>
      </c>
      <c r="BW26" s="13">
        <f t="shared" si="64"/>
        <v>0</v>
      </c>
      <c r="BX26" s="13">
        <f t="shared" si="64"/>
        <v>0</v>
      </c>
      <c r="BY26" s="13">
        <f t="shared" si="64"/>
        <v>0</v>
      </c>
      <c r="BZ26" s="13">
        <f t="shared" si="64"/>
        <v>0</v>
      </c>
      <c r="CA26" s="13">
        <f t="shared" si="64"/>
        <v>0</v>
      </c>
      <c r="CB26" s="13">
        <f t="shared" si="64"/>
        <v>0</v>
      </c>
      <c r="CC26" s="13">
        <f t="shared" si="64"/>
        <v>0</v>
      </c>
      <c r="CD26" s="13">
        <f t="shared" si="64"/>
        <v>0</v>
      </c>
      <c r="CE26" s="13">
        <f t="shared" si="64"/>
        <v>0</v>
      </c>
      <c r="CF26" s="13">
        <f t="shared" si="64"/>
        <v>0</v>
      </c>
      <c r="CG26" s="13">
        <f t="shared" si="64"/>
        <v>0</v>
      </c>
      <c r="CH26" s="13">
        <f t="shared" si="64"/>
        <v>0</v>
      </c>
      <c r="CI26" s="13">
        <f t="shared" si="64"/>
        <v>0</v>
      </c>
      <c r="CJ26" s="13">
        <f t="shared" si="64"/>
        <v>0</v>
      </c>
      <c r="CK26" s="13">
        <f t="shared" si="64"/>
        <v>0</v>
      </c>
      <c r="CL26" s="13">
        <f t="shared" ref="CL26:EW26" si="65">SUM(CL24:CL25)</f>
        <v>0</v>
      </c>
      <c r="CM26" s="13">
        <f t="shared" si="65"/>
        <v>0</v>
      </c>
      <c r="CN26" s="13">
        <f t="shared" si="65"/>
        <v>0</v>
      </c>
      <c r="CO26" s="13">
        <f t="shared" si="65"/>
        <v>0</v>
      </c>
      <c r="CP26" s="13">
        <f t="shared" si="65"/>
        <v>0</v>
      </c>
      <c r="CQ26" s="13">
        <f t="shared" si="65"/>
        <v>0</v>
      </c>
      <c r="CR26" s="13">
        <f t="shared" si="65"/>
        <v>0</v>
      </c>
      <c r="CS26" s="13">
        <f t="shared" si="65"/>
        <v>0</v>
      </c>
      <c r="CT26" s="13">
        <f t="shared" si="65"/>
        <v>0</v>
      </c>
      <c r="CU26" s="13">
        <f t="shared" si="65"/>
        <v>0</v>
      </c>
      <c r="CV26" s="13">
        <f t="shared" si="65"/>
        <v>0</v>
      </c>
      <c r="CW26" s="13">
        <f t="shared" si="65"/>
        <v>0</v>
      </c>
      <c r="CX26" s="13">
        <f t="shared" si="65"/>
        <v>0</v>
      </c>
      <c r="CY26" s="13">
        <f t="shared" si="65"/>
        <v>0</v>
      </c>
      <c r="CZ26" s="13">
        <f t="shared" si="65"/>
        <v>0</v>
      </c>
      <c r="DA26" s="13">
        <f t="shared" si="65"/>
        <v>0</v>
      </c>
      <c r="DB26" s="13">
        <f t="shared" si="65"/>
        <v>0</v>
      </c>
      <c r="DC26" s="13">
        <f t="shared" si="65"/>
        <v>0</v>
      </c>
      <c r="DD26" s="13">
        <f t="shared" si="65"/>
        <v>0</v>
      </c>
      <c r="DE26" s="13">
        <f t="shared" si="65"/>
        <v>0</v>
      </c>
      <c r="DF26" s="13">
        <f t="shared" si="65"/>
        <v>0</v>
      </c>
      <c r="DG26" s="13">
        <f t="shared" si="65"/>
        <v>0</v>
      </c>
      <c r="DH26" s="13">
        <f t="shared" si="65"/>
        <v>0</v>
      </c>
      <c r="DI26" s="13">
        <f t="shared" si="65"/>
        <v>0</v>
      </c>
      <c r="DJ26" s="13">
        <f t="shared" si="65"/>
        <v>0</v>
      </c>
      <c r="DK26" s="13">
        <f t="shared" si="65"/>
        <v>0</v>
      </c>
      <c r="DL26" s="13">
        <f t="shared" si="65"/>
        <v>0</v>
      </c>
      <c r="DM26" s="13">
        <f t="shared" si="65"/>
        <v>0</v>
      </c>
      <c r="DN26" s="13">
        <f t="shared" si="65"/>
        <v>0</v>
      </c>
      <c r="DO26" s="13">
        <f t="shared" si="65"/>
        <v>0</v>
      </c>
      <c r="DP26" s="13">
        <f t="shared" si="65"/>
        <v>0</v>
      </c>
      <c r="DQ26" s="13">
        <f t="shared" si="65"/>
        <v>0</v>
      </c>
      <c r="DR26" s="13">
        <f t="shared" si="65"/>
        <v>0</v>
      </c>
      <c r="DS26" s="13">
        <f t="shared" si="65"/>
        <v>0</v>
      </c>
      <c r="DT26" s="13">
        <f t="shared" si="65"/>
        <v>0</v>
      </c>
      <c r="DU26" s="13">
        <f t="shared" si="65"/>
        <v>0</v>
      </c>
      <c r="DV26" s="13">
        <f t="shared" si="65"/>
        <v>0</v>
      </c>
      <c r="DW26" s="13">
        <f t="shared" si="65"/>
        <v>0</v>
      </c>
      <c r="DX26" s="13">
        <f t="shared" si="65"/>
        <v>0</v>
      </c>
      <c r="DY26" s="13">
        <f t="shared" si="65"/>
        <v>0</v>
      </c>
      <c r="DZ26" s="13">
        <f t="shared" si="65"/>
        <v>0</v>
      </c>
      <c r="EA26" s="13">
        <f t="shared" si="65"/>
        <v>0</v>
      </c>
      <c r="EB26" s="13">
        <f t="shared" si="65"/>
        <v>0</v>
      </c>
      <c r="EC26" s="13">
        <f t="shared" si="65"/>
        <v>0</v>
      </c>
      <c r="ED26" s="13">
        <f t="shared" si="65"/>
        <v>0</v>
      </c>
      <c r="EE26" s="13">
        <f t="shared" si="65"/>
        <v>0</v>
      </c>
      <c r="EF26" s="13">
        <f t="shared" si="65"/>
        <v>0</v>
      </c>
      <c r="EG26" s="13">
        <f t="shared" si="65"/>
        <v>0</v>
      </c>
      <c r="EH26" s="13">
        <f t="shared" si="65"/>
        <v>0</v>
      </c>
      <c r="EI26" s="13">
        <f t="shared" si="65"/>
        <v>0</v>
      </c>
      <c r="EJ26" s="13">
        <f t="shared" si="65"/>
        <v>0</v>
      </c>
      <c r="EK26" s="13">
        <f t="shared" si="65"/>
        <v>0</v>
      </c>
      <c r="EL26" s="13">
        <f t="shared" si="65"/>
        <v>0</v>
      </c>
      <c r="EM26" s="13">
        <f t="shared" si="65"/>
        <v>0</v>
      </c>
      <c r="EN26" s="13">
        <f t="shared" si="65"/>
        <v>0</v>
      </c>
      <c r="EO26" s="13">
        <f t="shared" si="65"/>
        <v>0</v>
      </c>
      <c r="EP26" s="13">
        <f t="shared" si="65"/>
        <v>0</v>
      </c>
      <c r="EQ26" s="13">
        <f t="shared" si="65"/>
        <v>0</v>
      </c>
      <c r="ER26" s="13">
        <f t="shared" si="65"/>
        <v>0</v>
      </c>
      <c r="ES26" s="13">
        <f t="shared" si="65"/>
        <v>0</v>
      </c>
      <c r="ET26" s="13">
        <f t="shared" si="65"/>
        <v>0</v>
      </c>
      <c r="EU26" s="13">
        <f t="shared" si="65"/>
        <v>0</v>
      </c>
      <c r="EV26" s="13">
        <f t="shared" si="65"/>
        <v>0</v>
      </c>
      <c r="EW26" s="13">
        <f t="shared" si="65"/>
        <v>0</v>
      </c>
      <c r="EX26" s="13">
        <f t="shared" ref="EX26:GD26" si="66">SUM(EX24:EX25)</f>
        <v>0</v>
      </c>
      <c r="EY26" s="13">
        <f t="shared" si="66"/>
        <v>0</v>
      </c>
      <c r="EZ26" s="13">
        <f t="shared" si="66"/>
        <v>0</v>
      </c>
      <c r="FA26" s="13">
        <f t="shared" si="66"/>
        <v>0</v>
      </c>
      <c r="FB26" s="13">
        <f t="shared" si="66"/>
        <v>0</v>
      </c>
      <c r="FC26" s="13">
        <f t="shared" si="66"/>
        <v>0</v>
      </c>
      <c r="FD26" s="13">
        <f t="shared" si="66"/>
        <v>0</v>
      </c>
      <c r="FE26" s="13">
        <f t="shared" si="66"/>
        <v>0</v>
      </c>
      <c r="FF26" s="13">
        <f t="shared" si="66"/>
        <v>0</v>
      </c>
      <c r="FG26" s="13">
        <f t="shared" si="66"/>
        <v>0</v>
      </c>
      <c r="FH26" s="13">
        <f t="shared" si="66"/>
        <v>0</v>
      </c>
      <c r="FI26" s="13">
        <f t="shared" si="66"/>
        <v>0</v>
      </c>
      <c r="FJ26" s="13">
        <f t="shared" si="66"/>
        <v>0</v>
      </c>
      <c r="FK26" s="13">
        <f t="shared" si="66"/>
        <v>0</v>
      </c>
      <c r="FL26" s="13">
        <f t="shared" si="66"/>
        <v>0</v>
      </c>
      <c r="FM26" s="13">
        <f t="shared" si="66"/>
        <v>0</v>
      </c>
      <c r="FN26" s="13">
        <f t="shared" si="66"/>
        <v>0</v>
      </c>
      <c r="FO26" s="13">
        <f t="shared" si="66"/>
        <v>0</v>
      </c>
      <c r="FP26" s="13">
        <f t="shared" si="66"/>
        <v>0</v>
      </c>
      <c r="FQ26" s="13">
        <f t="shared" si="66"/>
        <v>0</v>
      </c>
      <c r="FR26" s="13">
        <f t="shared" si="66"/>
        <v>0</v>
      </c>
      <c r="FS26" s="13">
        <f t="shared" si="66"/>
        <v>0</v>
      </c>
      <c r="FT26" s="13">
        <f t="shared" si="66"/>
        <v>0</v>
      </c>
      <c r="FU26" s="13">
        <f t="shared" si="66"/>
        <v>0</v>
      </c>
      <c r="FV26" s="13">
        <f t="shared" si="66"/>
        <v>0</v>
      </c>
      <c r="FW26" s="13">
        <f t="shared" si="66"/>
        <v>0</v>
      </c>
      <c r="FX26" s="13">
        <f t="shared" si="66"/>
        <v>0</v>
      </c>
      <c r="FY26" s="13">
        <f t="shared" si="66"/>
        <v>0</v>
      </c>
      <c r="FZ26" s="13">
        <f t="shared" si="66"/>
        <v>0</v>
      </c>
      <c r="GA26" s="13">
        <f t="shared" si="66"/>
        <v>0</v>
      </c>
      <c r="GB26" s="13">
        <f t="shared" si="66"/>
        <v>0</v>
      </c>
      <c r="GC26" s="13">
        <f t="shared" si="66"/>
        <v>0</v>
      </c>
      <c r="GD26" s="13">
        <f t="shared" si="66"/>
        <v>0</v>
      </c>
      <c r="GE26" s="13">
        <f t="shared" ref="GE26:GM26" si="67">SUM(GE24:GE25)</f>
        <v>0</v>
      </c>
      <c r="GF26" s="13">
        <f t="shared" si="67"/>
        <v>0</v>
      </c>
      <c r="GG26" s="13">
        <f t="shared" si="67"/>
        <v>0</v>
      </c>
      <c r="GH26" s="13">
        <f t="shared" si="67"/>
        <v>0</v>
      </c>
      <c r="GI26" s="13">
        <f t="shared" si="67"/>
        <v>0</v>
      </c>
      <c r="GJ26" s="13">
        <f t="shared" si="67"/>
        <v>0</v>
      </c>
      <c r="GK26" s="13">
        <f t="shared" si="67"/>
        <v>0</v>
      </c>
      <c r="GL26" s="13">
        <f t="shared" si="67"/>
        <v>0</v>
      </c>
      <c r="GM26" s="13">
        <f t="shared" si="67"/>
        <v>0</v>
      </c>
      <c r="GN26" s="13"/>
      <c r="GO26" s="13"/>
      <c r="GP26" s="13"/>
      <c r="GQ26" s="13"/>
      <c r="GR26" s="13"/>
      <c r="GS26" s="13"/>
      <c r="GT26" s="13"/>
      <c r="GU26" s="13"/>
      <c r="GV26" s="13"/>
      <c r="GW26" s="13"/>
      <c r="GX26" s="13"/>
      <c r="GY26" s="13"/>
      <c r="GZ26" s="13"/>
      <c r="HA26" s="13"/>
      <c r="HB26" s="13"/>
      <c r="HC26" s="13"/>
      <c r="HD26" s="13"/>
      <c r="HE26" s="13"/>
      <c r="HF26" s="13"/>
      <c r="HG26" s="13"/>
      <c r="HH26" s="13"/>
      <c r="HI26" s="13"/>
      <c r="HJ26" s="13"/>
      <c r="HK26" s="13"/>
      <c r="HL26" s="13"/>
      <c r="HM26" s="13"/>
      <c r="HN26" s="13"/>
      <c r="HO26" s="13"/>
      <c r="HP26" s="13"/>
      <c r="HQ26" s="13"/>
      <c r="HR26" s="13"/>
      <c r="HS26" s="13"/>
      <c r="HT26" s="13"/>
      <c r="HU26" s="13"/>
      <c r="HV26" s="13"/>
      <c r="HW26" s="13"/>
      <c r="HX26" s="13"/>
      <c r="HY26" s="13"/>
      <c r="HZ26" s="13"/>
      <c r="IA26" s="13"/>
      <c r="IB26" s="13"/>
      <c r="IC26" s="13"/>
      <c r="ID26" s="13"/>
      <c r="IE26" s="13"/>
      <c r="IF26" s="13"/>
      <c r="IG26" s="13"/>
      <c r="IH26" s="13"/>
      <c r="II26" s="13"/>
      <c r="IJ26" s="13"/>
      <c r="IK26" s="13"/>
      <c r="IL26" s="13"/>
      <c r="IM26" s="13"/>
      <c r="IN26" s="13"/>
      <c r="IO26" s="13"/>
      <c r="IP26" s="13"/>
      <c r="IQ26" s="13"/>
      <c r="IR26" s="13"/>
      <c r="IS26" s="13"/>
      <c r="IT26" s="13"/>
      <c r="IU26" s="13"/>
      <c r="IV26" s="13"/>
      <c r="IW26" s="13"/>
      <c r="IX26" s="13"/>
      <c r="IY26" s="13"/>
      <c r="IZ26" s="13"/>
      <c r="JA26" s="13"/>
      <c r="JB26" s="13"/>
      <c r="JC26" s="13"/>
      <c r="JD26" s="13"/>
      <c r="JE26" s="13"/>
      <c r="JF26" s="13"/>
      <c r="JG26" s="13"/>
      <c r="JH26" s="13"/>
      <c r="JI26" s="13"/>
      <c r="JJ26" s="13"/>
      <c r="JK26" s="13"/>
      <c r="JL26" s="13"/>
      <c r="JM26" s="13"/>
      <c r="JN26" s="13"/>
      <c r="JO26" s="13"/>
      <c r="JP26" s="13"/>
      <c r="JQ26" s="13"/>
      <c r="JR26" s="13"/>
      <c r="JS26" s="13"/>
      <c r="JT26" s="13"/>
      <c r="JU26" s="13"/>
      <c r="JV26" s="13"/>
      <c r="JW26" s="13"/>
      <c r="JX26" s="13"/>
      <c r="JY26" s="13"/>
      <c r="JZ26" s="13"/>
      <c r="KA26" s="13"/>
      <c r="KB26" s="13"/>
      <c r="KC26" s="13"/>
      <c r="KD26" s="13"/>
      <c r="KE26" s="13"/>
      <c r="KF26" s="13"/>
      <c r="KG26" s="13"/>
      <c r="KH26" s="13"/>
      <c r="KI26" s="13"/>
      <c r="KJ26" s="13"/>
      <c r="KK26" s="13"/>
      <c r="KL26" s="13"/>
      <c r="KM26" s="13"/>
      <c r="KN26" s="13"/>
      <c r="KO26" s="13"/>
      <c r="KP26" s="13"/>
      <c r="KQ26" s="13"/>
      <c r="KR26" s="13"/>
      <c r="KS26" s="13"/>
      <c r="KT26" s="13"/>
      <c r="KU26" s="13"/>
      <c r="KV26" s="13"/>
      <c r="KW26" s="13"/>
      <c r="KX26" s="13"/>
      <c r="KY26" s="13"/>
      <c r="KZ26" s="13"/>
      <c r="LA26" s="13"/>
      <c r="LB26" s="13"/>
      <c r="LC26" s="13"/>
      <c r="LD26" s="13"/>
      <c r="LE26" s="13"/>
      <c r="LF26" s="13"/>
      <c r="LG26" s="13"/>
      <c r="LH26" s="13"/>
      <c r="LI26" s="13"/>
      <c r="LJ26" s="13"/>
      <c r="LK26" s="13"/>
      <c r="LL26" s="13"/>
      <c r="LM26" s="13"/>
      <c r="LN26" s="13"/>
      <c r="LO26" s="13"/>
      <c r="LP26" s="13"/>
      <c r="LQ26" s="13"/>
      <c r="LR26" s="13"/>
      <c r="LS26" s="13"/>
      <c r="LT26" s="13"/>
      <c r="LU26" s="13"/>
      <c r="LV26" s="13"/>
      <c r="LW26" s="13"/>
      <c r="LX26" s="13"/>
      <c r="LY26" s="13"/>
      <c r="LZ26" s="13"/>
      <c r="MA26" s="13"/>
      <c r="MB26" s="13"/>
      <c r="MC26" s="13"/>
      <c r="MD26" s="13"/>
      <c r="ME26" s="13"/>
      <c r="MF26" s="13"/>
      <c r="MG26" s="13"/>
      <c r="MH26" s="13"/>
      <c r="MI26" s="13"/>
      <c r="MJ26" s="13"/>
      <c r="MK26" s="13"/>
      <c r="ML26" s="13"/>
      <c r="MM26" s="13"/>
      <c r="MN26" s="13"/>
      <c r="MO26" s="13"/>
      <c r="MP26" s="13"/>
      <c r="MQ26" s="13"/>
      <c r="MR26" s="13"/>
      <c r="MS26" s="13"/>
      <c r="MT26" s="13"/>
      <c r="MU26" s="13"/>
      <c r="MV26" s="13"/>
      <c r="MW26" s="13"/>
      <c r="MX26" s="13"/>
      <c r="MY26" s="13"/>
      <c r="MZ26" s="13"/>
      <c r="NA26" s="13"/>
      <c r="NB26" s="13"/>
    </row>
    <row r="27" spans="1:366" s="6" customFormat="1" ht="16" customHeight="1" x14ac:dyDescent="0.15">
      <c r="A27"/>
      <c r="B27"/>
      <c r="C27"/>
      <c r="D27"/>
      <c r="E27" s="9"/>
      <c r="G27" s="13"/>
    </row>
    <row r="28" spans="1:366" ht="16" customHeight="1" x14ac:dyDescent="0.15">
      <c r="B28" s="3" t="s">
        <v>101</v>
      </c>
      <c r="C28" s="26"/>
      <c r="D28" s="12"/>
      <c r="E28" s="100"/>
      <c r="F28" s="25"/>
      <c r="G28" s="67"/>
      <c r="H28" s="67"/>
      <c r="I28" s="67"/>
      <c r="J28" s="25"/>
      <c r="K28" s="25"/>
      <c r="L28" s="34"/>
      <c r="M28" s="25"/>
      <c r="N28" s="25"/>
      <c r="O28" s="25"/>
      <c r="P28" s="25"/>
      <c r="Q28" s="25"/>
      <c r="R28" s="104"/>
      <c r="S28" s="1"/>
      <c r="T28" s="25"/>
      <c r="U28" s="25"/>
      <c r="V28" s="25"/>
      <c r="W28" s="25"/>
      <c r="X28" s="25"/>
      <c r="Y28" s="25"/>
      <c r="Z28" s="25"/>
      <c r="AA28" s="25"/>
      <c r="AB28" s="25"/>
      <c r="AC28" s="25"/>
      <c r="AD28" s="34"/>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J28" s="25"/>
      <c r="BK28" s="25"/>
      <c r="BL28" s="25"/>
      <c r="BM28" s="25"/>
      <c r="BN28" s="25"/>
      <c r="BO28" s="25"/>
      <c r="BP28" s="25"/>
      <c r="BQ28" s="25"/>
      <c r="BR28" s="25"/>
      <c r="BS28" s="25"/>
      <c r="BT28" s="25"/>
      <c r="BU28" s="25"/>
      <c r="BV28" s="25"/>
      <c r="BW28" s="25"/>
      <c r="BX28" s="25"/>
      <c r="BY28" s="25"/>
      <c r="BZ28" s="25"/>
      <c r="CA28" s="25"/>
      <c r="CB28" s="25"/>
      <c r="CC28" s="25"/>
      <c r="CD28" s="25"/>
      <c r="CE28" s="25"/>
      <c r="CF28" s="25"/>
      <c r="CG28" s="25"/>
      <c r="CH28" s="25"/>
      <c r="CI28" s="25"/>
      <c r="CJ28" s="25"/>
      <c r="CK28" s="25"/>
      <c r="CL28" s="25"/>
      <c r="CM28" s="25"/>
      <c r="CN28" s="25"/>
      <c r="CO28" s="25"/>
      <c r="CP28" s="25"/>
      <c r="CQ28" s="25"/>
      <c r="CR28" s="25"/>
      <c r="CS28" s="25"/>
      <c r="CT28" s="25"/>
      <c r="CU28" s="25"/>
      <c r="CV28" s="25"/>
      <c r="CW28" s="25"/>
      <c r="CX28" s="25"/>
      <c r="CY28" s="25"/>
      <c r="CZ28" s="25"/>
      <c r="DA28" s="25"/>
      <c r="DB28" s="25"/>
      <c r="DC28" s="25"/>
      <c r="DD28" s="25"/>
      <c r="DE28" s="25"/>
      <c r="DF28" s="25"/>
      <c r="DG28" s="25"/>
      <c r="DH28" s="25"/>
      <c r="DI28" s="25"/>
      <c r="DJ28" s="25"/>
      <c r="DK28" s="25"/>
      <c r="DL28" s="25"/>
      <c r="DM28" s="25"/>
      <c r="DN28" s="25"/>
      <c r="DO28" s="25"/>
      <c r="DP28" s="25"/>
      <c r="DQ28" s="25"/>
      <c r="DR28" s="25"/>
      <c r="DS28" s="25"/>
      <c r="DT28" s="25"/>
      <c r="DU28" s="25"/>
      <c r="DV28" s="25"/>
      <c r="DW28" s="25"/>
      <c r="DX28" s="25"/>
      <c r="DY28" s="25"/>
      <c r="DZ28" s="25"/>
      <c r="EA28" s="25"/>
      <c r="EB28" s="25"/>
      <c r="EC28" s="25"/>
      <c r="ED28" s="25"/>
      <c r="EE28" s="25"/>
      <c r="EF28" s="25"/>
      <c r="EG28" s="25"/>
      <c r="EH28" s="25"/>
      <c r="EI28" s="25"/>
      <c r="EJ28" s="25"/>
      <c r="EK28" s="25"/>
      <c r="EL28" s="25"/>
      <c r="EM28" s="25"/>
      <c r="EN28" s="25"/>
      <c r="EO28" s="25"/>
      <c r="EP28" s="25"/>
      <c r="EQ28" s="25"/>
      <c r="ER28" s="25"/>
      <c r="ES28" s="25"/>
      <c r="ET28" s="25"/>
      <c r="EU28" s="25"/>
      <c r="EV28" s="25"/>
      <c r="EW28" s="25"/>
      <c r="EX28" s="25"/>
      <c r="EY28" s="25"/>
      <c r="EZ28" s="25"/>
      <c r="FA28" s="25"/>
      <c r="FB28" s="25"/>
      <c r="FC28" s="25"/>
      <c r="FD28" s="25"/>
      <c r="FE28" s="25"/>
      <c r="FF28" s="25"/>
      <c r="FG28" s="25"/>
      <c r="FH28" s="25"/>
      <c r="FI28" s="25"/>
      <c r="FJ28" s="25"/>
      <c r="FK28" s="25"/>
      <c r="FL28" s="25"/>
      <c r="FM28" s="25"/>
      <c r="FN28" s="25"/>
      <c r="FO28" s="25"/>
      <c r="FP28" s="25"/>
      <c r="FQ28" s="25"/>
      <c r="FR28" s="25"/>
      <c r="FS28" s="25"/>
      <c r="FT28" s="25"/>
      <c r="FU28" s="25"/>
      <c r="FV28" s="25"/>
      <c r="FW28" s="25"/>
      <c r="FX28" s="25"/>
      <c r="FY28" s="25"/>
      <c r="FZ28" s="25"/>
      <c r="GA28" s="25"/>
      <c r="GB28" s="25"/>
      <c r="GC28" s="25"/>
      <c r="GD28" s="25"/>
      <c r="GE28" s="25"/>
      <c r="GF28" s="25"/>
      <c r="GG28" s="25"/>
      <c r="GH28" s="25"/>
      <c r="GI28" s="25"/>
      <c r="GJ28" s="25"/>
      <c r="GK28" s="25"/>
      <c r="GL28" s="25"/>
      <c r="GM28" s="25"/>
      <c r="GN28" s="608"/>
      <c r="GO28" s="608"/>
      <c r="GP28" s="608"/>
      <c r="GQ28" s="280"/>
      <c r="GR28" s="280"/>
      <c r="GS28" s="280"/>
      <c r="GT28" s="280"/>
      <c r="GU28" s="280"/>
      <c r="GV28" s="280"/>
      <c r="GW28" s="280"/>
      <c r="GX28" s="280"/>
      <c r="GY28" s="280"/>
      <c r="GZ28" s="280"/>
      <c r="HA28" s="280"/>
      <c r="HB28" s="280"/>
      <c r="HC28" s="280"/>
      <c r="HD28" s="280"/>
      <c r="HE28" s="280"/>
      <c r="HF28" s="280"/>
      <c r="HG28" s="280"/>
      <c r="HH28" s="280"/>
      <c r="HI28" s="280"/>
      <c r="HJ28" s="280"/>
      <c r="HK28" s="280"/>
      <c r="HL28" s="280"/>
      <c r="HM28" s="280"/>
      <c r="HN28" s="280"/>
      <c r="HO28" s="280"/>
      <c r="HP28" s="280"/>
      <c r="HQ28" s="280"/>
      <c r="HR28" s="280"/>
      <c r="HS28" s="280"/>
      <c r="HT28" s="280"/>
      <c r="HU28" s="280"/>
      <c r="HV28" s="280"/>
      <c r="HW28" s="280"/>
      <c r="HX28" s="280"/>
      <c r="HY28" s="280"/>
      <c r="HZ28" s="280"/>
      <c r="IA28" s="280"/>
      <c r="IB28" s="280"/>
      <c r="IC28" s="280"/>
      <c r="ID28" s="280"/>
      <c r="IE28" s="280"/>
      <c r="IF28" s="280"/>
      <c r="IG28" s="280"/>
      <c r="IH28" s="280"/>
      <c r="II28" s="280"/>
      <c r="IJ28" s="280"/>
      <c r="IK28" s="280"/>
      <c r="IL28" s="280"/>
    </row>
    <row r="29" spans="1:366" ht="16" customHeight="1" x14ac:dyDescent="0.15">
      <c r="B29" s="71" t="s">
        <v>284</v>
      </c>
      <c r="C29" s="312" t="s">
        <v>150</v>
      </c>
      <c r="F29" s="37">
        <v>0</v>
      </c>
      <c r="G29" s="37">
        <f>IF(G$11=0,0,IF(G$8&lt;'Assumptions_&amp;_Inputs'!$I$46,WA_Curr_Rent*rentable_sf,IF(G$8='Assumptions_&amp;_Inputs'!$I$46,'Assumptions_&amp;_Inputs'!$E$50*rentable_sf,F29))*(1+G$16))</f>
        <v>36759.379999999997</v>
      </c>
      <c r="H29" s="37">
        <f>IF(H$11=0,0,IF(H$8&lt;'Assumptions_&amp;_Inputs'!$I$46,WA_Curr_Rent*rentable_sf,IF(H$8='Assumptions_&amp;_Inputs'!$I$46,'Assumptions_&amp;_Inputs'!$E$50*rentable_sf,G29))*(1+H$16))</f>
        <v>36759.379999999997</v>
      </c>
      <c r="I29" s="37">
        <f>IF(I$11=0,0,IF(I$8&lt;'Assumptions_&amp;_Inputs'!$I$46,WA_Curr_Rent*rentable_sf,IF(I$8='Assumptions_&amp;_Inputs'!$I$46,'Assumptions_&amp;_Inputs'!$E$50*rentable_sf,H29))*(1+I$16))</f>
        <v>36759.379999999997</v>
      </c>
      <c r="J29" s="37">
        <f>IF(J$11=0,0,IF(J$8&lt;'Assumptions_&amp;_Inputs'!$I$46,WA_Curr_Rent*rentable_sf,IF(J$8='Assumptions_&amp;_Inputs'!$I$46,'Assumptions_&amp;_Inputs'!$E$50*rentable_sf,I29))*(1+J$16))</f>
        <v>36759.379999999997</v>
      </c>
      <c r="K29" s="37">
        <f>IF(K$11=0,0,IF(K$8&lt;'Assumptions_&amp;_Inputs'!$I$46,WA_Curr_Rent*rentable_sf,IF(K$8='Assumptions_&amp;_Inputs'!$I$46,'Assumptions_&amp;_Inputs'!$E$50*rentable_sf,J29))*(1+K$16))</f>
        <v>36759.379999999997</v>
      </c>
      <c r="L29" s="37">
        <f>IF(L$11=0,0,IF(L$8&lt;'Assumptions_&amp;_Inputs'!$I$46,WA_Curr_Rent*rentable_sf,IF(L$8='Assumptions_&amp;_Inputs'!$I$46,'Assumptions_&amp;_Inputs'!$E$50*rentable_sf,K29))*(1+L$16))</f>
        <v>36759.379999999997</v>
      </c>
      <c r="M29" s="37">
        <f>IF(M$11=0,0,IF(M$8&lt;'Assumptions_&amp;_Inputs'!$I$46,WA_Curr_Rent*rentable_sf,IF(M$8='Assumptions_&amp;_Inputs'!$I$46,'Assumptions_&amp;_Inputs'!$E$50*rentable_sf,L29))*(1+M$16))</f>
        <v>36759.379999999997</v>
      </c>
      <c r="N29" s="37">
        <f>IF(N$11=0,0,IF(N$8&lt;'Assumptions_&amp;_Inputs'!$I$46,WA_Curr_Rent*rentable_sf,IF(N$8='Assumptions_&amp;_Inputs'!$I$46,'Assumptions_&amp;_Inputs'!$E$50*rentable_sf,M29))*(1+N$16))</f>
        <v>36759.379999999997</v>
      </c>
      <c r="O29" s="37">
        <f>IF(O$11=0,0,IF(O$8&lt;'Assumptions_&amp;_Inputs'!$I$46,WA_Curr_Rent*rentable_sf,IF(O$8='Assumptions_&amp;_Inputs'!$I$46,'Assumptions_&amp;_Inputs'!$E$50*rentable_sf,N29))*(1+O$16))</f>
        <v>38621.650000000009</v>
      </c>
      <c r="P29" s="37">
        <f>IF(P$11=0,0,IF(P$8&lt;'Assumptions_&amp;_Inputs'!$I$46,WA_Curr_Rent*rentable_sf,IF(P$8='Assumptions_&amp;_Inputs'!$I$46,'Assumptions_&amp;_Inputs'!$E$50*rentable_sf,O29))*(1+P$16))</f>
        <v>38621.650000000009</v>
      </c>
      <c r="Q29" s="37">
        <f>IF(Q$11=0,0,IF(Q$8&lt;'Assumptions_&amp;_Inputs'!$I$46,WA_Curr_Rent*rentable_sf,IF(Q$8='Assumptions_&amp;_Inputs'!$I$46,'Assumptions_&amp;_Inputs'!$E$50*rentable_sf,P29))*(1+Q$16))</f>
        <v>38621.650000000009</v>
      </c>
      <c r="R29" s="37">
        <f>IF(R$11=0,0,IF(R$8&lt;'Assumptions_&amp;_Inputs'!$I$46,WA_Curr_Rent*rentable_sf,IF(R$8='Assumptions_&amp;_Inputs'!$I$46,'Assumptions_&amp;_Inputs'!$E$50*rentable_sf,Q29))*(1+R$16))</f>
        <v>38621.650000000009</v>
      </c>
      <c r="S29" s="37">
        <f>IF(S$11=0,0,IF(S$8&lt;'Assumptions_&amp;_Inputs'!$I$46,WA_Curr_Rent*rentable_sf,IF(S$8='Assumptions_&amp;_Inputs'!$I$46,'Assumptions_&amp;_Inputs'!$E$50*rentable_sf,R29))*(1+S$16))</f>
        <v>39587.191250000003</v>
      </c>
      <c r="T29" s="37">
        <f>IF(T$11=0,0,IF(T$8&lt;'Assumptions_&amp;_Inputs'!$I$46,WA_Curr_Rent*rentable_sf,IF(T$8='Assumptions_&amp;_Inputs'!$I$46,'Assumptions_&amp;_Inputs'!$E$50*rentable_sf,S29))*(1+T$16))</f>
        <v>39587.191250000003</v>
      </c>
      <c r="U29" s="37">
        <f>IF(U$11=0,0,IF(U$8&lt;'Assumptions_&amp;_Inputs'!$I$46,WA_Curr_Rent*rentable_sf,IF(U$8='Assumptions_&amp;_Inputs'!$I$46,'Assumptions_&amp;_Inputs'!$E$50*rentable_sf,T29))*(1+U$16))</f>
        <v>39587.191250000003</v>
      </c>
      <c r="V29" s="37">
        <f>IF(V$11=0,0,IF(V$8&lt;'Assumptions_&amp;_Inputs'!$I$46,WA_Curr_Rent*rentable_sf,IF(V$8='Assumptions_&amp;_Inputs'!$I$46,'Assumptions_&amp;_Inputs'!$E$50*rentable_sf,U29))*(1+V$16))</f>
        <v>39587.191250000003</v>
      </c>
      <c r="W29" s="37">
        <f>IF(W$11=0,0,IF(W$8&lt;'Assumptions_&amp;_Inputs'!$I$46,WA_Curr_Rent*rentable_sf,IF(W$8='Assumptions_&amp;_Inputs'!$I$46,'Assumptions_&amp;_Inputs'!$E$50*rentable_sf,V29))*(1+W$16))</f>
        <v>39587.191250000003</v>
      </c>
      <c r="X29" s="37">
        <f>IF(X$11=0,0,IF(X$8&lt;'Assumptions_&amp;_Inputs'!$I$46,WA_Curr_Rent*rentable_sf,IF(X$8='Assumptions_&amp;_Inputs'!$I$46,'Assumptions_&amp;_Inputs'!$E$50*rentable_sf,W29))*(1+X$16))</f>
        <v>39587.191250000003</v>
      </c>
      <c r="Y29" s="37">
        <f>IF(Y$11=0,0,IF(Y$8&lt;'Assumptions_&amp;_Inputs'!$I$46,WA_Curr_Rent*rentable_sf,IF(Y$8='Assumptions_&amp;_Inputs'!$I$46,'Assumptions_&amp;_Inputs'!$E$50*rentable_sf,X29))*(1+Y$16))</f>
        <v>39587.191250000003</v>
      </c>
      <c r="Z29" s="37">
        <f>IF(Z$11=0,0,IF(Z$8&lt;'Assumptions_&amp;_Inputs'!$I$46,WA_Curr_Rent*rentable_sf,IF(Z$8='Assumptions_&amp;_Inputs'!$I$46,'Assumptions_&amp;_Inputs'!$E$50*rentable_sf,Y29))*(1+Z$16))</f>
        <v>39587.191250000003</v>
      </c>
      <c r="AA29" s="37">
        <f>IF(AA$11=0,0,IF(AA$8&lt;'Assumptions_&amp;_Inputs'!$I$46,WA_Curr_Rent*rentable_sf,IF(AA$8='Assumptions_&amp;_Inputs'!$I$46,'Assumptions_&amp;_Inputs'!$E$50*rentable_sf,Z29))*(1+AA$16))</f>
        <v>39587.191250000003</v>
      </c>
      <c r="AB29" s="37">
        <f>IF(AB$11=0,0,IF(AB$8&lt;'Assumptions_&amp;_Inputs'!$I$46,WA_Curr_Rent*rentable_sf,IF(AB$8='Assumptions_&amp;_Inputs'!$I$46,'Assumptions_&amp;_Inputs'!$E$50*rentable_sf,AA29))*(1+AB$16))</f>
        <v>39587.191250000003</v>
      </c>
      <c r="AC29" s="37">
        <f>IF(AC$11=0,0,IF(AC$8&lt;'Assumptions_&amp;_Inputs'!$I$46,WA_Curr_Rent*rentable_sf,IF(AC$8='Assumptions_&amp;_Inputs'!$I$46,'Assumptions_&amp;_Inputs'!$E$50*rentable_sf,AB29))*(1+AC$16))</f>
        <v>39587.191250000003</v>
      </c>
      <c r="AD29" s="37">
        <f>IF(AD$11=0,0,IF(AD$8&lt;'Assumptions_&amp;_Inputs'!$I$46,WA_Curr_Rent*rentable_sf,IF(AD$8='Assumptions_&amp;_Inputs'!$I$46,'Assumptions_&amp;_Inputs'!$E$50*rentable_sf,AC29))*(1+AD$16))</f>
        <v>39587.191250000003</v>
      </c>
      <c r="AE29" s="37">
        <f>IF(AE$11=0,0,IF(AE$8&lt;'Assumptions_&amp;_Inputs'!$I$46,WA_Curr_Rent*rentable_sf,IF(AE$8='Assumptions_&amp;_Inputs'!$I$46,'Assumptions_&amp;_Inputs'!$E$50*rentable_sf,AD29))*(1+AE$16))</f>
        <v>40576.871031249997</v>
      </c>
      <c r="AF29" s="37">
        <f>IF(AF$11=0,0,IF(AF$8&lt;'Assumptions_&amp;_Inputs'!$I$46,WA_Curr_Rent*rentable_sf,IF(AF$8='Assumptions_&amp;_Inputs'!$I$46,'Assumptions_&amp;_Inputs'!$E$50*rentable_sf,AE29))*(1+AF$16))</f>
        <v>40576.871031249997</v>
      </c>
      <c r="AG29" s="37">
        <f>IF(AG$11=0,0,IF(AG$8&lt;'Assumptions_&amp;_Inputs'!$I$46,WA_Curr_Rent*rentable_sf,IF(AG$8='Assumptions_&amp;_Inputs'!$I$46,'Assumptions_&amp;_Inputs'!$E$50*rentable_sf,AF29))*(1+AG$16))</f>
        <v>40576.871031249997</v>
      </c>
      <c r="AH29" s="37">
        <f>IF(AH$11=0,0,IF(AH$8&lt;'Assumptions_&amp;_Inputs'!$I$46,WA_Curr_Rent*rentable_sf,IF(AH$8='Assumptions_&amp;_Inputs'!$I$46,'Assumptions_&amp;_Inputs'!$E$50*rentable_sf,AG29))*(1+AH$16))</f>
        <v>40576.871031249997</v>
      </c>
      <c r="AI29" s="37">
        <f>IF(AI$11=0,0,IF(AI$8&lt;'Assumptions_&amp;_Inputs'!$I$46,WA_Curr_Rent*rentable_sf,IF(AI$8='Assumptions_&amp;_Inputs'!$I$46,'Assumptions_&amp;_Inputs'!$E$50*rentable_sf,AH29))*(1+AI$16))</f>
        <v>40576.871031249997</v>
      </c>
      <c r="AJ29" s="37">
        <f>IF(AJ$11=0,0,IF(AJ$8&lt;'Assumptions_&amp;_Inputs'!$I$46,WA_Curr_Rent*rentable_sf,IF(AJ$8='Assumptions_&amp;_Inputs'!$I$46,'Assumptions_&amp;_Inputs'!$E$50*rentable_sf,AI29))*(1+AJ$16))</f>
        <v>40576.871031249997</v>
      </c>
      <c r="AK29" s="37">
        <f>IF(AK$11=0,0,IF(AK$8&lt;'Assumptions_&amp;_Inputs'!$I$46,WA_Curr_Rent*rentable_sf,IF(AK$8='Assumptions_&amp;_Inputs'!$I$46,'Assumptions_&amp;_Inputs'!$E$50*rentable_sf,AJ29))*(1+AK$16))</f>
        <v>40576.871031249997</v>
      </c>
      <c r="AL29" s="37">
        <f>IF(AL$11=0,0,IF(AL$8&lt;'Assumptions_&amp;_Inputs'!$I$46,WA_Curr_Rent*rentable_sf,IF(AL$8='Assumptions_&amp;_Inputs'!$I$46,'Assumptions_&amp;_Inputs'!$E$50*rentable_sf,AK29))*(1+AL$16))</f>
        <v>40576.871031249997</v>
      </c>
      <c r="AM29" s="37">
        <f>IF(AM$11=0,0,IF(AM$8&lt;'Assumptions_&amp;_Inputs'!$I$46,WA_Curr_Rent*rentable_sf,IF(AM$8='Assumptions_&amp;_Inputs'!$I$46,'Assumptions_&amp;_Inputs'!$E$50*rentable_sf,AL29))*(1+AM$16))</f>
        <v>40576.871031249997</v>
      </c>
      <c r="AN29" s="37">
        <f>IF(AN$11=0,0,IF(AN$8&lt;'Assumptions_&amp;_Inputs'!$I$46,WA_Curr_Rent*rentable_sf,IF(AN$8='Assumptions_&amp;_Inputs'!$I$46,'Assumptions_&amp;_Inputs'!$E$50*rentable_sf,AM29))*(1+AN$16))</f>
        <v>40576.871031249997</v>
      </c>
      <c r="AO29" s="37">
        <f>IF(AO$11=0,0,IF(AO$8&lt;'Assumptions_&amp;_Inputs'!$I$46,WA_Curr_Rent*rentable_sf,IF(AO$8='Assumptions_&amp;_Inputs'!$I$46,'Assumptions_&amp;_Inputs'!$E$50*rentable_sf,AN29))*(1+AO$16))</f>
        <v>40576.871031249997</v>
      </c>
      <c r="AP29" s="37">
        <f>IF(AP$11=0,0,IF(AP$8&lt;'Assumptions_&amp;_Inputs'!$I$46,WA_Curr_Rent*rentable_sf,IF(AP$8='Assumptions_&amp;_Inputs'!$I$46,'Assumptions_&amp;_Inputs'!$E$50*rentable_sf,AO29))*(1+AP$16))</f>
        <v>40576.871031249997</v>
      </c>
      <c r="AQ29" s="37">
        <f>IF(AQ$11=0,0,IF(AQ$8&lt;'Assumptions_&amp;_Inputs'!$I$46,WA_Curr_Rent*rentable_sf,IF(AQ$8='Assumptions_&amp;_Inputs'!$I$46,'Assumptions_&amp;_Inputs'!$E$50*rentable_sf,AP29))*(1+AQ$16))</f>
        <v>41591.292807031241</v>
      </c>
      <c r="AR29" s="37">
        <f>IF(AR$11=0,0,IF(AR$8&lt;'Assumptions_&amp;_Inputs'!$I$46,WA_Curr_Rent*rentable_sf,IF(AR$8='Assumptions_&amp;_Inputs'!$I$46,'Assumptions_&amp;_Inputs'!$E$50*rentable_sf,AQ29))*(1+AR$16))</f>
        <v>41591.292807031241</v>
      </c>
      <c r="AS29" s="37">
        <f>IF(AS$11=0,0,IF(AS$8&lt;'Assumptions_&amp;_Inputs'!$I$46,WA_Curr_Rent*rentable_sf,IF(AS$8='Assumptions_&amp;_Inputs'!$I$46,'Assumptions_&amp;_Inputs'!$E$50*rentable_sf,AR29))*(1+AS$16))</f>
        <v>41591.292807031241</v>
      </c>
      <c r="AT29" s="37">
        <f>IF(AT$11=0,0,IF(AT$8&lt;'Assumptions_&amp;_Inputs'!$I$46,WA_Curr_Rent*rentable_sf,IF(AT$8='Assumptions_&amp;_Inputs'!$I$46,'Assumptions_&amp;_Inputs'!$E$50*rentable_sf,AS29))*(1+AT$16))</f>
        <v>41591.292807031241</v>
      </c>
      <c r="AU29" s="37">
        <f>IF(AU$11=0,0,IF(AU$8&lt;'Assumptions_&amp;_Inputs'!$I$46,WA_Curr_Rent*rentable_sf,IF(AU$8='Assumptions_&amp;_Inputs'!$I$46,'Assumptions_&amp;_Inputs'!$E$50*rentable_sf,AT29))*(1+AU$16))</f>
        <v>41591.292807031241</v>
      </c>
      <c r="AV29" s="37">
        <f>IF(AV$11=0,0,IF(AV$8&lt;'Assumptions_&amp;_Inputs'!$I$46,WA_Curr_Rent*rentable_sf,IF(AV$8='Assumptions_&amp;_Inputs'!$I$46,'Assumptions_&amp;_Inputs'!$E$50*rentable_sf,AU29))*(1+AV$16))</f>
        <v>41591.292807031241</v>
      </c>
      <c r="AW29" s="37">
        <f>IF(AW$11=0,0,IF(AW$8&lt;'Assumptions_&amp;_Inputs'!$I$46,WA_Curr_Rent*rentable_sf,IF(AW$8='Assumptions_&amp;_Inputs'!$I$46,'Assumptions_&amp;_Inputs'!$E$50*rentable_sf,AV29))*(1+AW$16))</f>
        <v>41591.292807031241</v>
      </c>
      <c r="AX29" s="37">
        <f>IF(AX$11=0,0,IF(AX$8&lt;'Assumptions_&amp;_Inputs'!$I$46,WA_Curr_Rent*rentable_sf,IF(AX$8='Assumptions_&amp;_Inputs'!$I$46,'Assumptions_&amp;_Inputs'!$E$50*rentable_sf,AW29))*(1+AX$16))</f>
        <v>41591.292807031241</v>
      </c>
      <c r="AY29" s="37">
        <f>IF(AY$11=0,0,IF(AY$8&lt;'Assumptions_&amp;_Inputs'!$I$46,WA_Curr_Rent*rentable_sf,IF(AY$8='Assumptions_&amp;_Inputs'!$I$46,'Assumptions_&amp;_Inputs'!$E$50*rentable_sf,AX29))*(1+AY$16))</f>
        <v>41591.292807031241</v>
      </c>
      <c r="AZ29" s="37">
        <f>IF(AZ$11=0,0,IF(AZ$8&lt;'Assumptions_&amp;_Inputs'!$I$46,WA_Curr_Rent*rentable_sf,IF(AZ$8='Assumptions_&amp;_Inputs'!$I$46,'Assumptions_&amp;_Inputs'!$E$50*rentable_sf,AY29))*(1+AZ$16))</f>
        <v>41591.292807031241</v>
      </c>
      <c r="BA29" s="37">
        <f>IF(BA$11=0,0,IF(BA$8&lt;'Assumptions_&amp;_Inputs'!$I$46,WA_Curr_Rent*rentable_sf,IF(BA$8='Assumptions_&amp;_Inputs'!$I$46,'Assumptions_&amp;_Inputs'!$E$50*rentable_sf,AZ29))*(1+BA$16))</f>
        <v>41591.292807031241</v>
      </c>
      <c r="BB29" s="37">
        <f>IF(BB$11=0,0,IF(BB$8&lt;'Assumptions_&amp;_Inputs'!$I$46,WA_Curr_Rent*rentable_sf,IF(BB$8='Assumptions_&amp;_Inputs'!$I$46,'Assumptions_&amp;_Inputs'!$E$50*rentable_sf,BA29))*(1+BB$16))</f>
        <v>41591.292807031241</v>
      </c>
      <c r="BC29" s="37">
        <f>IF(BC$11=0,0,IF(BC$8&lt;'Assumptions_&amp;_Inputs'!$I$46,WA_Curr_Rent*rentable_sf,IF(BC$8='Assumptions_&amp;_Inputs'!$I$46,'Assumptions_&amp;_Inputs'!$E$50*rentable_sf,BB29))*(1+BC$16))</f>
        <v>42631.075127207019</v>
      </c>
      <c r="BD29" s="37">
        <f>IF(BD$11=0,0,IF(BD$8&lt;'Assumptions_&amp;_Inputs'!$I$46,WA_Curr_Rent*rentable_sf,IF(BD$8='Assumptions_&amp;_Inputs'!$I$46,'Assumptions_&amp;_Inputs'!$E$50*rentable_sf,BC29))*(1+BD$16))</f>
        <v>42631.075127207019</v>
      </c>
      <c r="BE29" s="37">
        <f>IF(BE$11=0,0,IF(BE$8&lt;'Assumptions_&amp;_Inputs'!$I$46,WA_Curr_Rent*rentable_sf,IF(BE$8='Assumptions_&amp;_Inputs'!$I$46,'Assumptions_&amp;_Inputs'!$E$50*rentable_sf,BD29))*(1+BE$16))</f>
        <v>42631.075127207019</v>
      </c>
      <c r="BF29" s="37">
        <f>IF(BF$11=0,0,IF(BF$8&lt;'Assumptions_&amp;_Inputs'!$I$46,WA_Curr_Rent*rentable_sf,IF(BF$8='Assumptions_&amp;_Inputs'!$I$46,'Assumptions_&amp;_Inputs'!$E$50*rentable_sf,BE29))*(1+BF$16))</f>
        <v>42631.075127207019</v>
      </c>
      <c r="BG29" s="37">
        <f>IF(BG$11=0,0,IF(BG$8&lt;'Assumptions_&amp;_Inputs'!$I$46,WA_Curr_Rent*rentable_sf,IF(BG$8='Assumptions_&amp;_Inputs'!$I$46,'Assumptions_&amp;_Inputs'!$E$50*rentable_sf,BF29))*(1+BG$16))</f>
        <v>42631.075127207019</v>
      </c>
      <c r="BH29" s="37">
        <f>IF(BH$11=0,0,IF(BH$8&lt;'Assumptions_&amp;_Inputs'!$I$46,WA_Curr_Rent*rentable_sf,IF(BH$8='Assumptions_&amp;_Inputs'!$I$46,'Assumptions_&amp;_Inputs'!$E$50*rentable_sf,BG29))*(1+BH$16))</f>
        <v>42631.075127207019</v>
      </c>
      <c r="BI29" s="37">
        <f>IF(BI$11=0,0,IF(BI$8&lt;'Assumptions_&amp;_Inputs'!$I$46,WA_Curr_Rent*rentable_sf,IF(BI$8='Assumptions_&amp;_Inputs'!$I$46,'Assumptions_&amp;_Inputs'!$E$50*rentable_sf,BH29))*(1+BI$16))</f>
        <v>42631.075127207019</v>
      </c>
      <c r="BJ29" s="37">
        <f>IF(BJ$11=0,0,IF(BJ$8&lt;'Assumptions_&amp;_Inputs'!$I$46,WA_Curr_Rent*rentable_sf,IF(BJ$8='Assumptions_&amp;_Inputs'!$I$46,'Assumptions_&amp;_Inputs'!$E$50*rentable_sf,BI29))*(1+BJ$16))</f>
        <v>42631.075127207019</v>
      </c>
      <c r="BK29" s="37">
        <f>IF(BK$11=0,0,IF(BK$8&lt;'Assumptions_&amp;_Inputs'!$I$46,WA_Curr_Rent*rentable_sf,IF(BK$8='Assumptions_&amp;_Inputs'!$I$46,'Assumptions_&amp;_Inputs'!$E$50*rentable_sf,BJ29))*(1+BK$16))</f>
        <v>42631.075127207019</v>
      </c>
      <c r="BL29" s="37">
        <f>IF(BL$11=0,0,IF(BL$8&lt;'Assumptions_&amp;_Inputs'!$I$46,WA_Curr_Rent*rentable_sf,IF(BL$8='Assumptions_&amp;_Inputs'!$I$46,'Assumptions_&amp;_Inputs'!$E$50*rentable_sf,BK29))*(1+BL$16))</f>
        <v>42631.075127207019</v>
      </c>
      <c r="BM29" s="37">
        <f>IF(BM$11=0,0,IF(BM$8&lt;'Assumptions_&amp;_Inputs'!$I$46,WA_Curr_Rent*rentable_sf,IF(BM$8='Assumptions_&amp;_Inputs'!$I$46,'Assumptions_&amp;_Inputs'!$E$50*rentable_sf,BL29))*(1+BM$16))</f>
        <v>42631.075127207019</v>
      </c>
      <c r="BN29" s="37">
        <f>IF(BN$11=0,0,IF(BN$8&lt;'Assumptions_&amp;_Inputs'!$I$46,WA_Curr_Rent*rentable_sf,IF(BN$8='Assumptions_&amp;_Inputs'!$I$46,'Assumptions_&amp;_Inputs'!$E$50*rentable_sf,BM29))*(1+BN$16))</f>
        <v>42631.075127207019</v>
      </c>
      <c r="BO29" s="37">
        <f>IF(BO$11=0,0,IF(BO$8&lt;'Assumptions_&amp;_Inputs'!$I$46,WA_Curr_Rent*rentable_sf,IF(BO$8='Assumptions_&amp;_Inputs'!$I$46,'Assumptions_&amp;_Inputs'!$E$50*rentable_sf,BN29))*(1+BO$16))</f>
        <v>43696.852005387191</v>
      </c>
      <c r="BP29" s="37">
        <f>IF(BP$11=0,0,IF(BP$8&lt;'Assumptions_&amp;_Inputs'!$I$46,WA_Curr_Rent*rentable_sf,IF(BP$8='Assumptions_&amp;_Inputs'!$I$46,'Assumptions_&amp;_Inputs'!$E$50*rentable_sf,BO29))*(1+BP$16))</f>
        <v>43696.852005387191</v>
      </c>
      <c r="BQ29" s="37">
        <f>IF(BQ$11=0,0,IF(BQ$8&lt;'Assumptions_&amp;_Inputs'!$I$46,WA_Curr_Rent*rentable_sf,IF(BQ$8='Assumptions_&amp;_Inputs'!$I$46,'Assumptions_&amp;_Inputs'!$E$50*rentable_sf,BP29))*(1+BQ$16))</f>
        <v>43696.852005387191</v>
      </c>
      <c r="BR29" s="37">
        <f>IF(BR$11=0,0,IF(BR$8&lt;'Assumptions_&amp;_Inputs'!$I$46,WA_Curr_Rent*rentable_sf,IF(BR$8='Assumptions_&amp;_Inputs'!$I$46,'Assumptions_&amp;_Inputs'!$E$50*rentable_sf,BQ29))*(1+BR$16))</f>
        <v>43696.852005387191</v>
      </c>
      <c r="BS29" s="37">
        <f>IF(BS$11=0,0,IF(BS$8&lt;'Assumptions_&amp;_Inputs'!$I$46,WA_Curr_Rent*rentable_sf,IF(BS$8='Assumptions_&amp;_Inputs'!$I$46,'Assumptions_&amp;_Inputs'!$E$50*rentable_sf,BR29))*(1+BS$16))</f>
        <v>43696.852005387191</v>
      </c>
      <c r="BT29" s="37">
        <f>IF(BT$11=0,0,IF(BT$8&lt;'Assumptions_&amp;_Inputs'!$I$46,WA_Curr_Rent*rentable_sf,IF(BT$8='Assumptions_&amp;_Inputs'!$I$46,'Assumptions_&amp;_Inputs'!$E$50*rentable_sf,BS29))*(1+BT$16))</f>
        <v>43696.852005387191</v>
      </c>
      <c r="BU29" s="37">
        <f>IF(BU$11=0,0,IF(BU$8&lt;'Assumptions_&amp;_Inputs'!$I$46,WA_Curr_Rent*rentable_sf,IF(BU$8='Assumptions_&amp;_Inputs'!$I$46,'Assumptions_&amp;_Inputs'!$E$50*rentable_sf,BT29))*(1+BU$16))</f>
        <v>43696.852005387191</v>
      </c>
      <c r="BV29" s="37">
        <f>IF(BV$11=0,0,IF(BV$8&lt;'Assumptions_&amp;_Inputs'!$I$46,WA_Curr_Rent*rentable_sf,IF(BV$8='Assumptions_&amp;_Inputs'!$I$46,'Assumptions_&amp;_Inputs'!$E$50*rentable_sf,BU29))*(1+BV$16))</f>
        <v>43696.852005387191</v>
      </c>
      <c r="BW29" s="37">
        <f>IF(BW$11=0,0,IF(BW$8&lt;'Assumptions_&amp;_Inputs'!$I$46,WA_Curr_Rent*rentable_sf,IF(BW$8='Assumptions_&amp;_Inputs'!$I$46,'Assumptions_&amp;_Inputs'!$E$50*rentable_sf,BV29))*(1+BW$16))</f>
        <v>43696.852005387191</v>
      </c>
      <c r="BX29" s="37">
        <f>IF(BX$11=0,0,IF(BX$8&lt;'Assumptions_&amp;_Inputs'!$I$46,WA_Curr_Rent*rentable_sf,IF(BX$8='Assumptions_&amp;_Inputs'!$I$46,'Assumptions_&amp;_Inputs'!$E$50*rentable_sf,BW29))*(1+BX$16))</f>
        <v>43696.852005387191</v>
      </c>
      <c r="BY29" s="37">
        <f>IF(BY$11=0,0,IF(BY$8&lt;'Assumptions_&amp;_Inputs'!$I$46,WA_Curr_Rent*rentable_sf,IF(BY$8='Assumptions_&amp;_Inputs'!$I$46,'Assumptions_&amp;_Inputs'!$E$50*rentable_sf,BX29))*(1+BY$16))</f>
        <v>43696.852005387191</v>
      </c>
      <c r="BZ29" s="37">
        <f>IF(BZ$11=0,0,IF(BZ$8&lt;'Assumptions_&amp;_Inputs'!$I$46,WA_Curr_Rent*rentable_sf,IF(BZ$8='Assumptions_&amp;_Inputs'!$I$46,'Assumptions_&amp;_Inputs'!$E$50*rentable_sf,BY29))*(1+BZ$16))</f>
        <v>43696.852005387191</v>
      </c>
      <c r="CA29" s="37">
        <f>IF(CA$11=0,0,IF(CA$8&lt;'Assumptions_&amp;_Inputs'!$I$46,WA_Curr_Rent*rentable_sf,IF(CA$8='Assumptions_&amp;_Inputs'!$I$46,'Assumptions_&amp;_Inputs'!$E$50*rentable_sf,BZ29))*(1+CA$16))</f>
        <v>44789.273305521863</v>
      </c>
      <c r="CB29" s="37">
        <f>IF(CB$11=0,0,IF(CB$8&lt;'Assumptions_&amp;_Inputs'!$I$46,WA_Curr_Rent*rentable_sf,IF(CB$8='Assumptions_&amp;_Inputs'!$I$46,'Assumptions_&amp;_Inputs'!$E$50*rentable_sf,CA29))*(1+CB$16))</f>
        <v>44789.273305521863</v>
      </c>
      <c r="CC29" s="37">
        <f>IF(CC$11=0,0,IF(CC$8&lt;'Assumptions_&amp;_Inputs'!$I$46,WA_Curr_Rent*rentable_sf,IF(CC$8='Assumptions_&amp;_Inputs'!$I$46,'Assumptions_&amp;_Inputs'!$E$50*rentable_sf,CB29))*(1+CC$16))</f>
        <v>44789.273305521863</v>
      </c>
      <c r="CD29" s="37">
        <f>IF(CD$11=0,0,IF(CD$8&lt;'Assumptions_&amp;_Inputs'!$I$46,WA_Curr_Rent*rentable_sf,IF(CD$8='Assumptions_&amp;_Inputs'!$I$46,'Assumptions_&amp;_Inputs'!$E$50*rentable_sf,CC29))*(1+CD$16))</f>
        <v>44789.273305521863</v>
      </c>
      <c r="CE29" s="37">
        <f>IF(CE$11=0,0,IF(CE$8&lt;'Assumptions_&amp;_Inputs'!$I$46,WA_Curr_Rent*rentable_sf,IF(CE$8='Assumptions_&amp;_Inputs'!$I$46,'Assumptions_&amp;_Inputs'!$E$50*rentable_sf,CD29))*(1+CE$16))</f>
        <v>44789.273305521863</v>
      </c>
      <c r="CF29" s="37">
        <f>IF(CF$11=0,0,IF(CF$8&lt;'Assumptions_&amp;_Inputs'!$I$46,WA_Curr_Rent*rentable_sf,IF(CF$8='Assumptions_&amp;_Inputs'!$I$46,'Assumptions_&amp;_Inputs'!$E$50*rentable_sf,CE29))*(1+CF$16))</f>
        <v>44789.273305521863</v>
      </c>
      <c r="CG29" s="37">
        <f>IF(CG$11=0,0,IF(CG$8&lt;'Assumptions_&amp;_Inputs'!$I$46,WA_Curr_Rent*rentable_sf,IF(CG$8='Assumptions_&amp;_Inputs'!$I$46,'Assumptions_&amp;_Inputs'!$E$50*rentable_sf,CF29))*(1+CG$16))</f>
        <v>44789.273305521863</v>
      </c>
      <c r="CH29" s="37">
        <f>IF(CH$11=0,0,IF(CH$8&lt;'Assumptions_&amp;_Inputs'!$I$46,WA_Curr_Rent*rentable_sf,IF(CH$8='Assumptions_&amp;_Inputs'!$I$46,'Assumptions_&amp;_Inputs'!$E$50*rentable_sf,CG29))*(1+CH$16))</f>
        <v>44789.273305521863</v>
      </c>
      <c r="CI29" s="37">
        <f>IF(CI$11=0,0,IF(CI$8&lt;'Assumptions_&amp;_Inputs'!$I$46,WA_Curr_Rent*rentable_sf,IF(CI$8='Assumptions_&amp;_Inputs'!$I$46,'Assumptions_&amp;_Inputs'!$E$50*rentable_sf,CH29))*(1+CI$16))</f>
        <v>44789.273305521863</v>
      </c>
      <c r="CJ29" s="37">
        <f>IF(CJ$11=0,0,IF(CJ$8&lt;'Assumptions_&amp;_Inputs'!$I$46,WA_Curr_Rent*rentable_sf,IF(CJ$8='Assumptions_&amp;_Inputs'!$I$46,'Assumptions_&amp;_Inputs'!$E$50*rentable_sf,CI29))*(1+CJ$16))</f>
        <v>44789.273305521863</v>
      </c>
      <c r="CK29" s="37">
        <f>IF(CK$11=0,0,IF(CK$8&lt;'Assumptions_&amp;_Inputs'!$I$46,WA_Curr_Rent*rentable_sf,IF(CK$8='Assumptions_&amp;_Inputs'!$I$46,'Assumptions_&amp;_Inputs'!$E$50*rentable_sf,CJ29))*(1+CK$16))</f>
        <v>44789.273305521863</v>
      </c>
      <c r="CL29" s="37">
        <f>IF(CL$11=0,0,IF(CL$8&lt;'Assumptions_&amp;_Inputs'!$I$46,WA_Curr_Rent*rentable_sf,IF(CL$8='Assumptions_&amp;_Inputs'!$I$46,'Assumptions_&amp;_Inputs'!$E$50*rentable_sf,CK29))*(1+CL$16))</f>
        <v>44789.273305521863</v>
      </c>
      <c r="CM29" s="37">
        <f>IF(CM$11=0,0,IF(CM$8&lt;'Assumptions_&amp;_Inputs'!$I$46,WA_Curr_Rent*rentable_sf,IF(CM$8='Assumptions_&amp;_Inputs'!$I$46,'Assumptions_&amp;_Inputs'!$E$50*rentable_sf,CL29))*(1+CM$16))</f>
        <v>45909.005138159904</v>
      </c>
      <c r="CN29" s="37">
        <f>IF(CN$11=0,0,IF(CN$8&lt;'Assumptions_&amp;_Inputs'!$I$46,WA_Curr_Rent*rentable_sf,IF(CN$8='Assumptions_&amp;_Inputs'!$I$46,'Assumptions_&amp;_Inputs'!$E$50*rentable_sf,CM29))*(1+CN$16))</f>
        <v>45909.005138159904</v>
      </c>
      <c r="CO29" s="37">
        <f>IF(CO$11=0,0,IF(CO$8&lt;'Assumptions_&amp;_Inputs'!$I$46,WA_Curr_Rent*rentable_sf,IF(CO$8='Assumptions_&amp;_Inputs'!$I$46,'Assumptions_&amp;_Inputs'!$E$50*rentable_sf,CN29))*(1+CO$16))</f>
        <v>45909.005138159904</v>
      </c>
      <c r="CP29" s="37">
        <f>IF(CP$11=0,0,IF(CP$8&lt;'Assumptions_&amp;_Inputs'!$I$46,WA_Curr_Rent*rentable_sf,IF(CP$8='Assumptions_&amp;_Inputs'!$I$46,'Assumptions_&amp;_Inputs'!$E$50*rentable_sf,CO29))*(1+CP$16))</f>
        <v>45909.005138159904</v>
      </c>
      <c r="CQ29" s="37">
        <f>IF(CQ$11=0,0,IF(CQ$8&lt;'Assumptions_&amp;_Inputs'!$I$46,WA_Curr_Rent*rentable_sf,IF(CQ$8='Assumptions_&amp;_Inputs'!$I$46,'Assumptions_&amp;_Inputs'!$E$50*rentable_sf,CP29))*(1+CQ$16))</f>
        <v>45909.005138159904</v>
      </c>
      <c r="CR29" s="37">
        <f>IF(CR$11=0,0,IF(CR$8&lt;'Assumptions_&amp;_Inputs'!$I$46,WA_Curr_Rent*rentable_sf,IF(CR$8='Assumptions_&amp;_Inputs'!$I$46,'Assumptions_&amp;_Inputs'!$E$50*rentable_sf,CQ29))*(1+CR$16))</f>
        <v>45909.005138159904</v>
      </c>
      <c r="CS29" s="37">
        <f>IF(CS$11=0,0,IF(CS$8&lt;'Assumptions_&amp;_Inputs'!$I$46,WA_Curr_Rent*rentable_sf,IF(CS$8='Assumptions_&amp;_Inputs'!$I$46,'Assumptions_&amp;_Inputs'!$E$50*rentable_sf,CR29))*(1+CS$16))</f>
        <v>45909.005138159904</v>
      </c>
      <c r="CT29" s="37">
        <f>IF(CT$11=0,0,IF(CT$8&lt;'Assumptions_&amp;_Inputs'!$I$46,WA_Curr_Rent*rentable_sf,IF(CT$8='Assumptions_&amp;_Inputs'!$I$46,'Assumptions_&amp;_Inputs'!$E$50*rentable_sf,CS29))*(1+CT$16))</f>
        <v>45909.005138159904</v>
      </c>
      <c r="CU29" s="37">
        <f>IF(CU$11=0,0,IF(CU$8&lt;'Assumptions_&amp;_Inputs'!$I$46,WA_Curr_Rent*rentable_sf,IF(CU$8='Assumptions_&amp;_Inputs'!$I$46,'Assumptions_&amp;_Inputs'!$E$50*rentable_sf,CT29))*(1+CU$16))</f>
        <v>45909.005138159904</v>
      </c>
      <c r="CV29" s="37">
        <f>IF(CV$11=0,0,IF(CV$8&lt;'Assumptions_&amp;_Inputs'!$I$46,WA_Curr_Rent*rentable_sf,IF(CV$8='Assumptions_&amp;_Inputs'!$I$46,'Assumptions_&amp;_Inputs'!$E$50*rentable_sf,CU29))*(1+CV$16))</f>
        <v>45909.005138159904</v>
      </c>
      <c r="CW29" s="37">
        <f>IF(CW$11=0,0,IF(CW$8&lt;'Assumptions_&amp;_Inputs'!$I$46,WA_Curr_Rent*rentable_sf,IF(CW$8='Assumptions_&amp;_Inputs'!$I$46,'Assumptions_&amp;_Inputs'!$E$50*rentable_sf,CV29))*(1+CW$16))</f>
        <v>45909.005138159904</v>
      </c>
      <c r="CX29" s="37">
        <f>IF(CX$11=0,0,IF(CX$8&lt;'Assumptions_&amp;_Inputs'!$I$46,WA_Curr_Rent*rentable_sf,IF(CX$8='Assumptions_&amp;_Inputs'!$I$46,'Assumptions_&amp;_Inputs'!$E$50*rentable_sf,CW29))*(1+CX$16))</f>
        <v>45909.005138159904</v>
      </c>
      <c r="CY29" s="37">
        <f>IF(CY$11=0,0,IF(CY$8&lt;'Assumptions_&amp;_Inputs'!$I$46,WA_Curr_Rent*rentable_sf,IF(CY$8='Assumptions_&amp;_Inputs'!$I$46,'Assumptions_&amp;_Inputs'!$E$50*rentable_sf,CX29))*(1+CY$16))</f>
        <v>47056.7302666139</v>
      </c>
      <c r="CZ29" s="37">
        <f>IF(CZ$11=0,0,IF(CZ$8&lt;'Assumptions_&amp;_Inputs'!$I$46,WA_Curr_Rent*rentable_sf,IF(CZ$8='Assumptions_&amp;_Inputs'!$I$46,'Assumptions_&amp;_Inputs'!$E$50*rentable_sf,CY29))*(1+CZ$16))</f>
        <v>47056.7302666139</v>
      </c>
      <c r="DA29" s="37">
        <f>IF(DA$11=0,0,IF(DA$8&lt;'Assumptions_&amp;_Inputs'!$I$46,WA_Curr_Rent*rentable_sf,IF(DA$8='Assumptions_&amp;_Inputs'!$I$46,'Assumptions_&amp;_Inputs'!$E$50*rentable_sf,CZ29))*(1+DA$16))</f>
        <v>47056.7302666139</v>
      </c>
      <c r="DB29" s="37">
        <f>IF(DB$11=0,0,IF(DB$8&lt;'Assumptions_&amp;_Inputs'!$I$46,WA_Curr_Rent*rentable_sf,IF(DB$8='Assumptions_&amp;_Inputs'!$I$46,'Assumptions_&amp;_Inputs'!$E$50*rentable_sf,DA29))*(1+DB$16))</f>
        <v>47056.7302666139</v>
      </c>
      <c r="DC29" s="37">
        <f>IF(DC$11=0,0,IF(DC$8&lt;'Assumptions_&amp;_Inputs'!$I$46,WA_Curr_Rent*rentable_sf,IF(DC$8='Assumptions_&amp;_Inputs'!$I$46,'Assumptions_&amp;_Inputs'!$E$50*rentable_sf,DB29))*(1+DC$16))</f>
        <v>47056.7302666139</v>
      </c>
      <c r="DD29" s="37">
        <f>IF(DD$11=0,0,IF(DD$8&lt;'Assumptions_&amp;_Inputs'!$I$46,WA_Curr_Rent*rentable_sf,IF(DD$8='Assumptions_&amp;_Inputs'!$I$46,'Assumptions_&amp;_Inputs'!$E$50*rentable_sf,DC29))*(1+DD$16))</f>
        <v>47056.7302666139</v>
      </c>
      <c r="DE29" s="37">
        <f>IF(DE$11=0,0,IF(DE$8&lt;'Assumptions_&amp;_Inputs'!$I$46,WA_Curr_Rent*rentable_sf,IF(DE$8='Assumptions_&amp;_Inputs'!$I$46,'Assumptions_&amp;_Inputs'!$E$50*rentable_sf,DD29))*(1+DE$16))</f>
        <v>47056.7302666139</v>
      </c>
      <c r="DF29" s="37">
        <f>IF(DF$11=0,0,IF(DF$8&lt;'Assumptions_&amp;_Inputs'!$I$46,WA_Curr_Rent*rentable_sf,IF(DF$8='Assumptions_&amp;_Inputs'!$I$46,'Assumptions_&amp;_Inputs'!$E$50*rentable_sf,DE29))*(1+DF$16))</f>
        <v>47056.7302666139</v>
      </c>
      <c r="DG29" s="37">
        <f>IF(DG$11=0,0,IF(DG$8&lt;'Assumptions_&amp;_Inputs'!$I$46,WA_Curr_Rent*rentable_sf,IF(DG$8='Assumptions_&amp;_Inputs'!$I$46,'Assumptions_&amp;_Inputs'!$E$50*rentable_sf,DF29))*(1+DG$16))</f>
        <v>47056.7302666139</v>
      </c>
      <c r="DH29" s="37">
        <f>IF(DH$11=0,0,IF(DH$8&lt;'Assumptions_&amp;_Inputs'!$I$46,WA_Curr_Rent*rentable_sf,IF(DH$8='Assumptions_&amp;_Inputs'!$I$46,'Assumptions_&amp;_Inputs'!$E$50*rentable_sf,DG29))*(1+DH$16))</f>
        <v>47056.7302666139</v>
      </c>
      <c r="DI29" s="37">
        <f>IF(DI$11=0,0,IF(DI$8&lt;'Assumptions_&amp;_Inputs'!$I$46,WA_Curr_Rent*rentable_sf,IF(DI$8='Assumptions_&amp;_Inputs'!$I$46,'Assumptions_&amp;_Inputs'!$E$50*rentable_sf,DH29))*(1+DI$16))</f>
        <v>47056.7302666139</v>
      </c>
      <c r="DJ29" s="37">
        <f>IF(DJ$11=0,0,IF(DJ$8&lt;'Assumptions_&amp;_Inputs'!$I$46,WA_Curr_Rent*rentable_sf,IF(DJ$8='Assumptions_&amp;_Inputs'!$I$46,'Assumptions_&amp;_Inputs'!$E$50*rentable_sf,DI29))*(1+DJ$16))</f>
        <v>47056.7302666139</v>
      </c>
      <c r="DK29" s="37">
        <f>IF(DK$11=0,0,IF(DK$8&lt;'Assumptions_&amp;_Inputs'!$I$46,WA_Curr_Rent*rentable_sf,IF(DK$8='Assumptions_&amp;_Inputs'!$I$46,'Assumptions_&amp;_Inputs'!$E$50*rentable_sf,DJ29))*(1+DK$16))</f>
        <v>48233.14852327924</v>
      </c>
      <c r="DL29" s="37">
        <f>IF(DL$11=0,0,IF(DL$8&lt;'Assumptions_&amp;_Inputs'!$I$46,WA_Curr_Rent*rentable_sf,IF(DL$8='Assumptions_&amp;_Inputs'!$I$46,'Assumptions_&amp;_Inputs'!$E$50*rentable_sf,DK29))*(1+DL$16))</f>
        <v>48233.14852327924</v>
      </c>
      <c r="DM29" s="37">
        <f>IF(DM$11=0,0,IF(DM$8&lt;'Assumptions_&amp;_Inputs'!$I$46,WA_Curr_Rent*rentable_sf,IF(DM$8='Assumptions_&amp;_Inputs'!$I$46,'Assumptions_&amp;_Inputs'!$E$50*rentable_sf,DL29))*(1+DM$16))</f>
        <v>48233.14852327924</v>
      </c>
      <c r="DN29" s="37">
        <f>IF(DN$11=0,0,IF(DN$8&lt;'Assumptions_&amp;_Inputs'!$I$46,WA_Curr_Rent*rentable_sf,IF(DN$8='Assumptions_&amp;_Inputs'!$I$46,'Assumptions_&amp;_Inputs'!$E$50*rentable_sf,DM29))*(1+DN$16))</f>
        <v>48233.14852327924</v>
      </c>
      <c r="DO29" s="37">
        <f>IF(DO$11=0,0,IF(DO$8&lt;'Assumptions_&amp;_Inputs'!$I$46,WA_Curr_Rent*rentable_sf,IF(DO$8='Assumptions_&amp;_Inputs'!$I$46,'Assumptions_&amp;_Inputs'!$E$50*rentable_sf,DN29))*(1+DO$16))</f>
        <v>48233.14852327924</v>
      </c>
      <c r="DP29" s="37">
        <f>IF(DP$11=0,0,IF(DP$8&lt;'Assumptions_&amp;_Inputs'!$I$46,WA_Curr_Rent*rentable_sf,IF(DP$8='Assumptions_&amp;_Inputs'!$I$46,'Assumptions_&amp;_Inputs'!$E$50*rentable_sf,DO29))*(1+DP$16))</f>
        <v>48233.14852327924</v>
      </c>
      <c r="DQ29" s="37">
        <f>IF(DQ$11=0,0,IF(DQ$8&lt;'Assumptions_&amp;_Inputs'!$I$46,WA_Curr_Rent*rentable_sf,IF(DQ$8='Assumptions_&amp;_Inputs'!$I$46,'Assumptions_&amp;_Inputs'!$E$50*rentable_sf,DP29))*(1+DQ$16))</f>
        <v>48233.14852327924</v>
      </c>
      <c r="DR29" s="37">
        <f>IF(DR$11=0,0,IF(DR$8&lt;'Assumptions_&amp;_Inputs'!$I$46,WA_Curr_Rent*rentable_sf,IF(DR$8='Assumptions_&amp;_Inputs'!$I$46,'Assumptions_&amp;_Inputs'!$E$50*rentable_sf,DQ29))*(1+DR$16))</f>
        <v>48233.14852327924</v>
      </c>
      <c r="DS29" s="37">
        <f>IF(DS$11=0,0,IF(DS$8&lt;'Assumptions_&amp;_Inputs'!$I$46,WA_Curr_Rent*rentable_sf,IF(DS$8='Assumptions_&amp;_Inputs'!$I$46,'Assumptions_&amp;_Inputs'!$E$50*rentable_sf,DR29))*(1+DS$16))</f>
        <v>48233.14852327924</v>
      </c>
      <c r="DT29" s="37">
        <f>IF(DT$11=0,0,IF(DT$8&lt;'Assumptions_&amp;_Inputs'!$I$46,WA_Curr_Rent*rentable_sf,IF(DT$8='Assumptions_&amp;_Inputs'!$I$46,'Assumptions_&amp;_Inputs'!$E$50*rentable_sf,DS29))*(1+DT$16))</f>
        <v>48233.14852327924</v>
      </c>
      <c r="DU29" s="37">
        <f>IF(DU$11=0,0,IF(DU$8&lt;'Assumptions_&amp;_Inputs'!$I$46,WA_Curr_Rent*rentable_sf,IF(DU$8='Assumptions_&amp;_Inputs'!$I$46,'Assumptions_&amp;_Inputs'!$E$50*rentable_sf,DT29))*(1+DU$16))</f>
        <v>48233.14852327924</v>
      </c>
      <c r="DV29" s="37">
        <f>IF(DV$11=0,0,IF(DV$8&lt;'Assumptions_&amp;_Inputs'!$I$46,WA_Curr_Rent*rentable_sf,IF(DV$8='Assumptions_&amp;_Inputs'!$I$46,'Assumptions_&amp;_Inputs'!$E$50*rentable_sf,DU29))*(1+DV$16))</f>
        <v>48233.14852327924</v>
      </c>
      <c r="DW29" s="37">
        <f>IF(DW$11=0,0,IF(DW$8&lt;'Assumptions_&amp;_Inputs'!$I$46,WA_Curr_Rent*rentable_sf,IF(DW$8='Assumptions_&amp;_Inputs'!$I$46,'Assumptions_&amp;_Inputs'!$E$50*rentable_sf,DV29))*(1+DW$16))</f>
        <v>49438.977236361214</v>
      </c>
      <c r="DX29" s="37">
        <f>IF(DX$11=0,0,IF(DX$8&lt;'Assumptions_&amp;_Inputs'!$I$46,WA_Curr_Rent*rentable_sf,IF(DX$8='Assumptions_&amp;_Inputs'!$I$46,'Assumptions_&amp;_Inputs'!$E$50*rentable_sf,DW29))*(1+DX$16))</f>
        <v>49438.977236361214</v>
      </c>
      <c r="DY29" s="37">
        <f>IF(DY$11=0,0,IF(DY$8&lt;'Assumptions_&amp;_Inputs'!$I$46,WA_Curr_Rent*rentable_sf,IF(DY$8='Assumptions_&amp;_Inputs'!$I$46,'Assumptions_&amp;_Inputs'!$E$50*rentable_sf,DX29))*(1+DY$16))</f>
        <v>49438.977236361214</v>
      </c>
      <c r="DZ29" s="37">
        <f>IF(DZ$11=0,0,IF(DZ$8&lt;'Assumptions_&amp;_Inputs'!$I$46,WA_Curr_Rent*rentable_sf,IF(DZ$8='Assumptions_&amp;_Inputs'!$I$46,'Assumptions_&amp;_Inputs'!$E$50*rentable_sf,DY29))*(1+DZ$16))</f>
        <v>49438.977236361214</v>
      </c>
      <c r="EA29" s="37">
        <f>IF(EA$11=0,0,IF(EA$8&lt;'Assumptions_&amp;_Inputs'!$I$46,WA_Curr_Rent*rentable_sf,IF(EA$8='Assumptions_&amp;_Inputs'!$I$46,'Assumptions_&amp;_Inputs'!$E$50*rentable_sf,DZ29))*(1+EA$16))</f>
        <v>49438.977236361214</v>
      </c>
      <c r="EB29" s="37">
        <f>IF(EB$11=0,0,IF(EB$8&lt;'Assumptions_&amp;_Inputs'!$I$46,WA_Curr_Rent*rentable_sf,IF(EB$8='Assumptions_&amp;_Inputs'!$I$46,'Assumptions_&amp;_Inputs'!$E$50*rentable_sf,EA29))*(1+EB$16))</f>
        <v>49438.977236361214</v>
      </c>
      <c r="EC29" s="37">
        <f>IF(EC$11=0,0,IF(EC$8&lt;'Assumptions_&amp;_Inputs'!$I$46,WA_Curr_Rent*rentable_sf,IF(EC$8='Assumptions_&amp;_Inputs'!$I$46,'Assumptions_&amp;_Inputs'!$E$50*rentable_sf,EB29))*(1+EC$16))</f>
        <v>49438.977236361214</v>
      </c>
      <c r="ED29" s="37">
        <f>IF(ED$11=0,0,IF(ED$8&lt;'Assumptions_&amp;_Inputs'!$I$46,WA_Curr_Rent*rentable_sf,IF(ED$8='Assumptions_&amp;_Inputs'!$I$46,'Assumptions_&amp;_Inputs'!$E$50*rentable_sf,EC29))*(1+ED$16))</f>
        <v>49438.977236361214</v>
      </c>
      <c r="EE29" s="37">
        <f>IF(EE$11=0,0,IF(EE$8&lt;'Assumptions_&amp;_Inputs'!$I$46,WA_Curr_Rent*rentable_sf,IF(EE$8='Assumptions_&amp;_Inputs'!$I$46,'Assumptions_&amp;_Inputs'!$E$50*rentable_sf,ED29))*(1+EE$16))</f>
        <v>49438.977236361214</v>
      </c>
      <c r="EF29" s="37">
        <f>IF(EF$11=0,0,IF(EF$8&lt;'Assumptions_&amp;_Inputs'!$I$46,WA_Curr_Rent*rentable_sf,IF(EF$8='Assumptions_&amp;_Inputs'!$I$46,'Assumptions_&amp;_Inputs'!$E$50*rentable_sf,EE29))*(1+EF$16))</f>
        <v>49438.977236361214</v>
      </c>
      <c r="EG29" s="37">
        <f>IF(EG$11=0,0,IF(EG$8&lt;'Assumptions_&amp;_Inputs'!$I$46,WA_Curr_Rent*rentable_sf,IF(EG$8='Assumptions_&amp;_Inputs'!$I$46,'Assumptions_&amp;_Inputs'!$E$50*rentable_sf,EF29))*(1+EG$16))</f>
        <v>49438.977236361214</v>
      </c>
      <c r="EH29" s="37">
        <f>IF(EH$11=0,0,IF(EH$8&lt;'Assumptions_&amp;_Inputs'!$I$46,WA_Curr_Rent*rentable_sf,IF(EH$8='Assumptions_&amp;_Inputs'!$I$46,'Assumptions_&amp;_Inputs'!$E$50*rentable_sf,EG29))*(1+EH$16))</f>
        <v>49438.977236361214</v>
      </c>
      <c r="EI29" s="37">
        <f>IF(EI$11=0,0,IF(EI$8&lt;'Assumptions_&amp;_Inputs'!$I$46,WA_Curr_Rent*rentable_sf,IF(EI$8='Assumptions_&amp;_Inputs'!$I$46,'Assumptions_&amp;_Inputs'!$E$50*rentable_sf,EH29))*(1+EI$16))</f>
        <v>50674.951667270238</v>
      </c>
      <c r="EJ29" s="37">
        <f>IF(EJ$11=0,0,IF(EJ$8&lt;'Assumptions_&amp;_Inputs'!$I$46,WA_Curr_Rent*rentable_sf,IF(EJ$8='Assumptions_&amp;_Inputs'!$I$46,'Assumptions_&amp;_Inputs'!$E$50*rentable_sf,EI29))*(1+EJ$16))</f>
        <v>50674.951667270238</v>
      </c>
      <c r="EK29" s="37">
        <f>IF(EK$11=0,0,IF(EK$8&lt;'Assumptions_&amp;_Inputs'!$I$46,WA_Curr_Rent*rentable_sf,IF(EK$8='Assumptions_&amp;_Inputs'!$I$46,'Assumptions_&amp;_Inputs'!$E$50*rentable_sf,EJ29))*(1+EK$16))</f>
        <v>50674.951667270238</v>
      </c>
      <c r="EL29" s="37">
        <f>IF(EL$11=0,0,IF(EL$8&lt;'Assumptions_&amp;_Inputs'!$I$46,WA_Curr_Rent*rentable_sf,IF(EL$8='Assumptions_&amp;_Inputs'!$I$46,'Assumptions_&amp;_Inputs'!$E$50*rentable_sf,EK29))*(1+EL$16))</f>
        <v>50674.951667270238</v>
      </c>
      <c r="EM29" s="37">
        <f>IF(EM$11=0,0,IF(EM$8&lt;'Assumptions_&amp;_Inputs'!$I$46,WA_Curr_Rent*rentable_sf,IF(EM$8='Assumptions_&amp;_Inputs'!$I$46,'Assumptions_&amp;_Inputs'!$E$50*rentable_sf,EL29))*(1+EM$16))</f>
        <v>50674.951667270238</v>
      </c>
      <c r="EN29" s="37">
        <f>IF(EN$11=0,0,IF(EN$8&lt;'Assumptions_&amp;_Inputs'!$I$46,WA_Curr_Rent*rentable_sf,IF(EN$8='Assumptions_&amp;_Inputs'!$I$46,'Assumptions_&amp;_Inputs'!$E$50*rentable_sf,EM29))*(1+EN$16))</f>
        <v>50674.951667270238</v>
      </c>
      <c r="EO29" s="37">
        <f>IF(EO$11=0,0,IF(EO$8&lt;'Assumptions_&amp;_Inputs'!$I$46,WA_Curr_Rent*rentable_sf,IF(EO$8='Assumptions_&amp;_Inputs'!$I$46,'Assumptions_&amp;_Inputs'!$E$50*rentable_sf,EN29))*(1+EO$16))</f>
        <v>50674.951667270238</v>
      </c>
      <c r="EP29" s="37">
        <f>IF(EP$11=0,0,IF(EP$8&lt;'Assumptions_&amp;_Inputs'!$I$46,WA_Curr_Rent*rentable_sf,IF(EP$8='Assumptions_&amp;_Inputs'!$I$46,'Assumptions_&amp;_Inputs'!$E$50*rentable_sf,EO29))*(1+EP$16))</f>
        <v>50674.951667270238</v>
      </c>
      <c r="EQ29" s="37">
        <f>IF(EQ$11=0,0,IF(EQ$8&lt;'Assumptions_&amp;_Inputs'!$I$46,WA_Curr_Rent*rentable_sf,IF(EQ$8='Assumptions_&amp;_Inputs'!$I$46,'Assumptions_&amp;_Inputs'!$E$50*rentable_sf,EP29))*(1+EQ$16))</f>
        <v>50674.951667270238</v>
      </c>
      <c r="ER29" s="37">
        <f>IF(ER$11=0,0,IF(ER$8&lt;'Assumptions_&amp;_Inputs'!$I$46,WA_Curr_Rent*rentable_sf,IF(ER$8='Assumptions_&amp;_Inputs'!$I$46,'Assumptions_&amp;_Inputs'!$E$50*rentable_sf,EQ29))*(1+ER$16))</f>
        <v>50674.951667270238</v>
      </c>
      <c r="ES29" s="37">
        <f>IF(ES$11=0,0,IF(ES$8&lt;'Assumptions_&amp;_Inputs'!$I$46,WA_Curr_Rent*rentable_sf,IF(ES$8='Assumptions_&amp;_Inputs'!$I$46,'Assumptions_&amp;_Inputs'!$E$50*rentable_sf,ER29))*(1+ES$16))</f>
        <v>50674.951667270238</v>
      </c>
      <c r="ET29" s="37">
        <f>IF(ET$11=0,0,IF(ET$8&lt;'Assumptions_&amp;_Inputs'!$I$46,WA_Curr_Rent*rentable_sf,IF(ET$8='Assumptions_&amp;_Inputs'!$I$46,'Assumptions_&amp;_Inputs'!$E$50*rentable_sf,ES29))*(1+ET$16))</f>
        <v>50674.951667270238</v>
      </c>
      <c r="EU29" s="37">
        <f>IF(EU$11=0,0,IF(EU$8&lt;'Assumptions_&amp;_Inputs'!$I$46,WA_Curr_Rent*rentable_sf,IF(EU$8='Assumptions_&amp;_Inputs'!$I$46,'Assumptions_&amp;_Inputs'!$E$50*rentable_sf,ET29))*(1+EU$16))</f>
        <v>51941.825458951986</v>
      </c>
      <c r="EV29" s="37">
        <f>IF(EV$11=0,0,IF(EV$8&lt;'Assumptions_&amp;_Inputs'!$I$46,WA_Curr_Rent*rentable_sf,IF(EV$8='Assumptions_&amp;_Inputs'!$I$46,'Assumptions_&amp;_Inputs'!$E$50*rentable_sf,EU29))*(1+EV$16))</f>
        <v>51941.825458951986</v>
      </c>
      <c r="EW29" s="37">
        <f>IF(EW$11=0,0,IF(EW$8&lt;'Assumptions_&amp;_Inputs'!$I$46,WA_Curr_Rent*rentable_sf,IF(EW$8='Assumptions_&amp;_Inputs'!$I$46,'Assumptions_&amp;_Inputs'!$E$50*rentable_sf,EV29))*(1+EW$16))</f>
        <v>51941.825458951986</v>
      </c>
      <c r="EX29" s="37">
        <f>IF(EX$11=0,0,IF(EX$8&lt;'Assumptions_&amp;_Inputs'!$I$46,WA_Curr_Rent*rentable_sf,IF(EX$8='Assumptions_&amp;_Inputs'!$I$46,'Assumptions_&amp;_Inputs'!$E$50*rentable_sf,EW29))*(1+EX$16))</f>
        <v>51941.825458951986</v>
      </c>
      <c r="EY29" s="37">
        <f>IF(EY$11=0,0,IF(EY$8&lt;'Assumptions_&amp;_Inputs'!$I$46,WA_Curr_Rent*rentable_sf,IF(EY$8='Assumptions_&amp;_Inputs'!$I$46,'Assumptions_&amp;_Inputs'!$E$50*rentable_sf,EX29))*(1+EY$16))</f>
        <v>51941.825458951986</v>
      </c>
      <c r="EZ29" s="37">
        <f>IF(EZ$11=0,0,IF(EZ$8&lt;'Assumptions_&amp;_Inputs'!$I$46,WA_Curr_Rent*rentable_sf,IF(EZ$8='Assumptions_&amp;_Inputs'!$I$46,'Assumptions_&amp;_Inputs'!$E$50*rentable_sf,EY29))*(1+EZ$16))</f>
        <v>51941.825458951986</v>
      </c>
      <c r="FA29" s="37">
        <f>IF(FA$11=0,0,IF(FA$8&lt;'Assumptions_&amp;_Inputs'!$I$46,WA_Curr_Rent*rentable_sf,IF(FA$8='Assumptions_&amp;_Inputs'!$I$46,'Assumptions_&amp;_Inputs'!$E$50*rentable_sf,EZ29))*(1+FA$16))</f>
        <v>51941.825458951986</v>
      </c>
      <c r="FB29" s="37">
        <f>IF(FB$11=0,0,IF(FB$8&lt;'Assumptions_&amp;_Inputs'!$I$46,WA_Curr_Rent*rentable_sf,IF(FB$8='Assumptions_&amp;_Inputs'!$I$46,'Assumptions_&amp;_Inputs'!$E$50*rentable_sf,FA29))*(1+FB$16))</f>
        <v>51941.825458951986</v>
      </c>
      <c r="FC29" s="37">
        <f>IF(FC$11=0,0,IF(FC$8&lt;'Assumptions_&amp;_Inputs'!$I$46,WA_Curr_Rent*rentable_sf,IF(FC$8='Assumptions_&amp;_Inputs'!$I$46,'Assumptions_&amp;_Inputs'!$E$50*rentable_sf,FB29))*(1+FC$16))</f>
        <v>51941.825458951986</v>
      </c>
      <c r="FD29" s="37">
        <f>IF(FD$11=0,0,IF(FD$8&lt;'Assumptions_&amp;_Inputs'!$I$46,WA_Curr_Rent*rentable_sf,IF(FD$8='Assumptions_&amp;_Inputs'!$I$46,'Assumptions_&amp;_Inputs'!$E$50*rentable_sf,FC29))*(1+FD$16))</f>
        <v>51941.825458951986</v>
      </c>
      <c r="FE29" s="37">
        <f>IF(FE$11=0,0,IF(FE$8&lt;'Assumptions_&amp;_Inputs'!$I$46,WA_Curr_Rent*rentable_sf,IF(FE$8='Assumptions_&amp;_Inputs'!$I$46,'Assumptions_&amp;_Inputs'!$E$50*rentable_sf,FD29))*(1+FE$16))</f>
        <v>51941.825458951986</v>
      </c>
      <c r="FF29" s="37">
        <f>IF(FF$11=0,0,IF(FF$8&lt;'Assumptions_&amp;_Inputs'!$I$46,WA_Curr_Rent*rentable_sf,IF(FF$8='Assumptions_&amp;_Inputs'!$I$46,'Assumptions_&amp;_Inputs'!$E$50*rentable_sf,FE29))*(1+FF$16))</f>
        <v>51941.825458951986</v>
      </c>
      <c r="FG29" s="37">
        <f>IF(FG$11=0,0,IF(FG$8&lt;'Assumptions_&amp;_Inputs'!$I$46,WA_Curr_Rent*rentable_sf,IF(FG$8='Assumptions_&amp;_Inputs'!$I$46,'Assumptions_&amp;_Inputs'!$E$50*rentable_sf,FF29))*(1+FG$16))</f>
        <v>53240.371095425784</v>
      </c>
      <c r="FH29" s="37">
        <f>IF(FH$11=0,0,IF(FH$8&lt;'Assumptions_&amp;_Inputs'!$I$46,WA_Curr_Rent*rentable_sf,IF(FH$8='Assumptions_&amp;_Inputs'!$I$46,'Assumptions_&amp;_Inputs'!$E$50*rentable_sf,FG29))*(1+FH$16))</f>
        <v>53240.371095425784</v>
      </c>
      <c r="FI29" s="37">
        <f>IF(FI$11=0,0,IF(FI$8&lt;'Assumptions_&amp;_Inputs'!$I$46,WA_Curr_Rent*rentable_sf,IF(FI$8='Assumptions_&amp;_Inputs'!$I$46,'Assumptions_&amp;_Inputs'!$E$50*rentable_sf,FH29))*(1+FI$16))</f>
        <v>53240.371095425784</v>
      </c>
      <c r="FJ29" s="37">
        <f>IF(FJ$11=0,0,IF(FJ$8&lt;'Assumptions_&amp;_Inputs'!$I$46,WA_Curr_Rent*rentable_sf,IF(FJ$8='Assumptions_&amp;_Inputs'!$I$46,'Assumptions_&amp;_Inputs'!$E$50*rentable_sf,FI29))*(1+FJ$16))</f>
        <v>53240.371095425784</v>
      </c>
      <c r="FK29" s="37">
        <f>IF(FK$11=0,0,IF(FK$8&lt;'Assumptions_&amp;_Inputs'!$I$46,WA_Curr_Rent*rentable_sf,IF(FK$8='Assumptions_&amp;_Inputs'!$I$46,'Assumptions_&amp;_Inputs'!$E$50*rentable_sf,FJ29))*(1+FK$16))</f>
        <v>53240.371095425784</v>
      </c>
      <c r="FL29" s="37">
        <f>IF(FL$11=0,0,IF(FL$8&lt;'Assumptions_&amp;_Inputs'!$I$46,WA_Curr_Rent*rentable_sf,IF(FL$8='Assumptions_&amp;_Inputs'!$I$46,'Assumptions_&amp;_Inputs'!$E$50*rentable_sf,FK29))*(1+FL$16))</f>
        <v>53240.371095425784</v>
      </c>
      <c r="FM29" s="37">
        <f>IF(FM$11=0,0,IF(FM$8&lt;'Assumptions_&amp;_Inputs'!$I$46,WA_Curr_Rent*rentable_sf,IF(FM$8='Assumptions_&amp;_Inputs'!$I$46,'Assumptions_&amp;_Inputs'!$E$50*rentable_sf,FL29))*(1+FM$16))</f>
        <v>53240.371095425784</v>
      </c>
      <c r="FN29" s="37">
        <f>IF(FN$11=0,0,IF(FN$8&lt;'Assumptions_&amp;_Inputs'!$I$46,WA_Curr_Rent*rentable_sf,IF(FN$8='Assumptions_&amp;_Inputs'!$I$46,'Assumptions_&amp;_Inputs'!$E$50*rentable_sf,FM29))*(1+FN$16))</f>
        <v>53240.371095425784</v>
      </c>
      <c r="FO29" s="37">
        <f>IF(FO$11=0,0,IF(FO$8&lt;'Assumptions_&amp;_Inputs'!$I$46,WA_Curr_Rent*rentable_sf,IF(FO$8='Assumptions_&amp;_Inputs'!$I$46,'Assumptions_&amp;_Inputs'!$E$50*rentable_sf,FN29))*(1+FO$16))</f>
        <v>53240.371095425784</v>
      </c>
      <c r="FP29" s="37">
        <f>IF(FP$11=0,0,IF(FP$8&lt;'Assumptions_&amp;_Inputs'!$I$46,WA_Curr_Rent*rentable_sf,IF(FP$8='Assumptions_&amp;_Inputs'!$I$46,'Assumptions_&amp;_Inputs'!$E$50*rentable_sf,FO29))*(1+FP$16))</f>
        <v>53240.371095425784</v>
      </c>
      <c r="FQ29" s="37">
        <f>IF(FQ$11=0,0,IF(FQ$8&lt;'Assumptions_&amp;_Inputs'!$I$46,WA_Curr_Rent*rentable_sf,IF(FQ$8='Assumptions_&amp;_Inputs'!$I$46,'Assumptions_&amp;_Inputs'!$E$50*rentable_sf,FP29))*(1+FQ$16))</f>
        <v>53240.371095425784</v>
      </c>
      <c r="FR29" s="37">
        <f>IF(FR$11=0,0,IF(FR$8&lt;'Assumptions_&amp;_Inputs'!$I$46,WA_Curr_Rent*rentable_sf,IF(FR$8='Assumptions_&amp;_Inputs'!$I$46,'Assumptions_&amp;_Inputs'!$E$50*rentable_sf,FQ29))*(1+FR$16))</f>
        <v>53240.371095425784</v>
      </c>
      <c r="FS29" s="37">
        <f>IF(FS$11=0,0,IF(FS$8&lt;'Assumptions_&amp;_Inputs'!$I$46,WA_Curr_Rent*rentable_sf,IF(FS$8='Assumptions_&amp;_Inputs'!$I$46,'Assumptions_&amp;_Inputs'!$E$50*rentable_sf,FR29))*(1+FS$16))</f>
        <v>54571.380372811422</v>
      </c>
      <c r="FT29" s="37">
        <f>IF(FT$11=0,0,IF(FT$8&lt;'Assumptions_&amp;_Inputs'!$I$46,WA_Curr_Rent*rentable_sf,IF(FT$8='Assumptions_&amp;_Inputs'!$I$46,'Assumptions_&amp;_Inputs'!$E$50*rentable_sf,FS29))*(1+FT$16))</f>
        <v>54571.380372811422</v>
      </c>
      <c r="FU29" s="37">
        <f>IF(FU$11=0,0,IF(FU$8&lt;'Assumptions_&amp;_Inputs'!$I$46,WA_Curr_Rent*rentable_sf,IF(FU$8='Assumptions_&amp;_Inputs'!$I$46,'Assumptions_&amp;_Inputs'!$E$50*rentable_sf,FT29))*(1+FU$16))</f>
        <v>54571.380372811422</v>
      </c>
      <c r="FV29" s="37">
        <f>IF(FV$11=0,0,IF(FV$8&lt;'Assumptions_&amp;_Inputs'!$I$46,WA_Curr_Rent*rentable_sf,IF(FV$8='Assumptions_&amp;_Inputs'!$I$46,'Assumptions_&amp;_Inputs'!$E$50*rentable_sf,FU29))*(1+FV$16))</f>
        <v>54571.380372811422</v>
      </c>
      <c r="FW29" s="37">
        <f>IF(FW$11=0,0,IF(FW$8&lt;'Assumptions_&amp;_Inputs'!$I$46,WA_Curr_Rent*rentable_sf,IF(FW$8='Assumptions_&amp;_Inputs'!$I$46,'Assumptions_&amp;_Inputs'!$E$50*rentable_sf,FV29))*(1+FW$16))</f>
        <v>54571.380372811422</v>
      </c>
      <c r="FX29" s="37">
        <f>IF(FX$11=0,0,IF(FX$8&lt;'Assumptions_&amp;_Inputs'!$I$46,WA_Curr_Rent*rentable_sf,IF(FX$8='Assumptions_&amp;_Inputs'!$I$46,'Assumptions_&amp;_Inputs'!$E$50*rentable_sf,FW29))*(1+FX$16))</f>
        <v>54571.380372811422</v>
      </c>
      <c r="FY29" s="37">
        <f>IF(FY$11=0,0,IF(FY$8&lt;'Assumptions_&amp;_Inputs'!$I$46,WA_Curr_Rent*rentable_sf,IF(FY$8='Assumptions_&amp;_Inputs'!$I$46,'Assumptions_&amp;_Inputs'!$E$50*rentable_sf,FX29))*(1+FY$16))</f>
        <v>54571.380372811422</v>
      </c>
      <c r="FZ29" s="37">
        <f>IF(FZ$11=0,0,IF(FZ$8&lt;'Assumptions_&amp;_Inputs'!$I$46,WA_Curr_Rent*rentable_sf,IF(FZ$8='Assumptions_&amp;_Inputs'!$I$46,'Assumptions_&amp;_Inputs'!$E$50*rentable_sf,FY29))*(1+FZ$16))</f>
        <v>54571.380372811422</v>
      </c>
      <c r="GA29" s="37">
        <f>IF(GA$11=0,0,IF(GA$8&lt;'Assumptions_&amp;_Inputs'!$I$46,WA_Curr_Rent*rentable_sf,IF(GA$8='Assumptions_&amp;_Inputs'!$I$46,'Assumptions_&amp;_Inputs'!$E$50*rentable_sf,FZ29))*(1+GA$16))</f>
        <v>54571.380372811422</v>
      </c>
      <c r="GB29" s="37">
        <f>IF(GB$11=0,0,IF(GB$8&lt;'Assumptions_&amp;_Inputs'!$I$46,WA_Curr_Rent*rentable_sf,IF(GB$8='Assumptions_&amp;_Inputs'!$I$46,'Assumptions_&amp;_Inputs'!$E$50*rentable_sf,GA29))*(1+GB$16))</f>
        <v>54571.380372811422</v>
      </c>
      <c r="GC29" s="37">
        <f>IF(GC$11=0,0,IF(GC$8&lt;'Assumptions_&amp;_Inputs'!$I$46,WA_Curr_Rent*rentable_sf,IF(GC$8='Assumptions_&amp;_Inputs'!$I$46,'Assumptions_&amp;_Inputs'!$E$50*rentable_sf,GB29))*(1+GC$16))</f>
        <v>54571.380372811422</v>
      </c>
      <c r="GD29" s="37">
        <f>IF(GD$11=0,0,IF(GD$8&lt;'Assumptions_&amp;_Inputs'!$I$46,WA_Curr_Rent*rentable_sf,IF(GD$8='Assumptions_&amp;_Inputs'!$I$46,'Assumptions_&amp;_Inputs'!$E$50*rentable_sf,GC29))*(1+GD$16))</f>
        <v>54571.380372811422</v>
      </c>
      <c r="GE29" s="37">
        <f>IF(GE$11=0,0,IF(GE$8&lt;'Assumptions_&amp;_Inputs'!$I$46,WA_Curr_Rent*rentable_sf,IF(GE$8='Assumptions_&amp;_Inputs'!$I$46,'Assumptions_&amp;_Inputs'!$E$50*rentable_sf,GD29))*(1+GE$16))</f>
        <v>55935.664882131699</v>
      </c>
      <c r="GF29" s="37">
        <f>IF(GF$11=0,0,IF(GF$8&lt;'Assumptions_&amp;_Inputs'!$I$46,WA_Curr_Rent*rentable_sf,IF(GF$8='Assumptions_&amp;_Inputs'!$I$46,'Assumptions_&amp;_Inputs'!$E$50*rentable_sf,GE29))*(1+GF$16))</f>
        <v>55935.664882131699</v>
      </c>
      <c r="GG29" s="37">
        <f>IF(GG$11=0,0,IF(GG$8&lt;'Assumptions_&amp;_Inputs'!$I$46,WA_Curr_Rent*rentable_sf,IF(GG$8='Assumptions_&amp;_Inputs'!$I$46,'Assumptions_&amp;_Inputs'!$E$50*rentable_sf,GF29))*(1+GG$16))</f>
        <v>55935.664882131699</v>
      </c>
      <c r="GH29" s="37">
        <f>IF(GH$11=0,0,IF(GH$8&lt;'Assumptions_&amp;_Inputs'!$I$46,WA_Curr_Rent*rentable_sf,IF(GH$8='Assumptions_&amp;_Inputs'!$I$46,'Assumptions_&amp;_Inputs'!$E$50*rentable_sf,GG29))*(1+GH$16))</f>
        <v>55935.664882131699</v>
      </c>
      <c r="GI29" s="37">
        <f>IF(GI$11=0,0,IF(GI$8&lt;'Assumptions_&amp;_Inputs'!$I$46,WA_Curr_Rent*rentable_sf,IF(GI$8='Assumptions_&amp;_Inputs'!$I$46,'Assumptions_&amp;_Inputs'!$E$50*rentable_sf,GH29))*(1+GI$16))</f>
        <v>55935.664882131699</v>
      </c>
      <c r="GJ29" s="37">
        <f>IF(GJ$11=0,0,IF(GJ$8&lt;'Assumptions_&amp;_Inputs'!$I$46,WA_Curr_Rent*rentable_sf,IF(GJ$8='Assumptions_&amp;_Inputs'!$I$46,'Assumptions_&amp;_Inputs'!$E$50*rentable_sf,GI29))*(1+GJ$16))</f>
        <v>55935.664882131699</v>
      </c>
      <c r="GK29" s="37">
        <f>IF(GK$11=0,0,IF(GK$8&lt;'Assumptions_&amp;_Inputs'!$I$46,WA_Curr_Rent*rentable_sf,IF(GK$8='Assumptions_&amp;_Inputs'!$I$46,'Assumptions_&amp;_Inputs'!$E$50*rentable_sf,GJ29))*(1+GK$16))</f>
        <v>55935.664882131699</v>
      </c>
      <c r="GL29" s="37">
        <f>IF(GL$11=0,0,IF(GL$8&lt;'Assumptions_&amp;_Inputs'!$I$46,WA_Curr_Rent*rentable_sf,IF(GL$8='Assumptions_&amp;_Inputs'!$I$46,'Assumptions_&amp;_Inputs'!$E$50*rentable_sf,GK29))*(1+GL$16))</f>
        <v>55935.664882131699</v>
      </c>
      <c r="GM29" s="37">
        <f>IF(GM$11=0,0,IF(GM$8&lt;'Assumptions_&amp;_Inputs'!$I$46,WA_Curr_Rent*rentable_sf,IF(GM$8='Assumptions_&amp;_Inputs'!$I$46,'Assumptions_&amp;_Inputs'!$E$50*rentable_sf,GL29))*(1+GM$16))</f>
        <v>55935.664882131699</v>
      </c>
      <c r="GN29" s="63"/>
      <c r="GO29" s="63"/>
      <c r="GP29" s="63"/>
      <c r="GQ29" s="63"/>
      <c r="GR29" s="63"/>
      <c r="GS29" s="63"/>
      <c r="GT29" s="63"/>
      <c r="GU29" s="63"/>
      <c r="GV29" s="63"/>
      <c r="GW29" s="63"/>
      <c r="GX29" s="63"/>
      <c r="GY29" s="63"/>
      <c r="GZ29" s="63"/>
      <c r="HA29" s="63"/>
      <c r="HB29" s="63"/>
      <c r="HC29" s="63"/>
      <c r="HD29" s="63"/>
      <c r="HE29" s="63"/>
      <c r="HF29" s="63"/>
      <c r="HG29" s="63"/>
      <c r="HH29" s="63"/>
      <c r="HI29" s="63"/>
      <c r="HJ29" s="63"/>
      <c r="HK29" s="63"/>
      <c r="HL29" s="63"/>
      <c r="HM29" s="63"/>
      <c r="HN29" s="63"/>
      <c r="HO29" s="63"/>
      <c r="HP29" s="63"/>
      <c r="HQ29" s="63"/>
      <c r="HR29" s="63"/>
      <c r="HS29" s="63"/>
      <c r="HT29" s="63"/>
      <c r="HU29" s="63"/>
      <c r="HV29" s="63"/>
      <c r="HW29" s="63"/>
      <c r="HX29" s="63"/>
      <c r="HY29" s="63"/>
      <c r="HZ29" s="63"/>
      <c r="IA29" s="63"/>
      <c r="IB29" s="63"/>
      <c r="IC29" s="63"/>
      <c r="ID29" s="63"/>
      <c r="IE29" s="63"/>
      <c r="IF29" s="63"/>
      <c r="IG29" s="63"/>
      <c r="IH29" s="63"/>
      <c r="II29" s="63"/>
      <c r="IJ29" s="63"/>
      <c r="IK29" s="63"/>
      <c r="IL29" s="63"/>
      <c r="IM29" s="63"/>
      <c r="IN29" s="63"/>
      <c r="IO29" s="63"/>
      <c r="IP29" s="63"/>
      <c r="IQ29" s="63"/>
      <c r="IR29" s="63"/>
      <c r="IS29" s="63"/>
      <c r="IT29" s="63"/>
      <c r="IU29" s="63"/>
      <c r="IV29" s="63"/>
      <c r="IW29" s="63"/>
      <c r="IX29" s="63"/>
      <c r="IY29" s="63"/>
      <c r="IZ29" s="63"/>
      <c r="JA29" s="63"/>
      <c r="JB29" s="63"/>
      <c r="JC29" s="63"/>
      <c r="JD29" s="63"/>
      <c r="JE29" s="63"/>
      <c r="JF29" s="63"/>
      <c r="JG29" s="63"/>
      <c r="JH29" s="63"/>
      <c r="JI29" s="63"/>
      <c r="JJ29" s="63"/>
      <c r="JK29" s="63"/>
      <c r="JL29" s="63"/>
      <c r="JM29" s="63"/>
      <c r="JN29" s="63"/>
      <c r="JO29" s="63"/>
      <c r="JP29" s="63"/>
      <c r="JQ29" s="63"/>
      <c r="JR29" s="63"/>
      <c r="JS29" s="63"/>
      <c r="JT29" s="63"/>
      <c r="JU29" s="63"/>
      <c r="JV29" s="63"/>
      <c r="JW29" s="63"/>
      <c r="JX29" s="63"/>
      <c r="JY29" s="63"/>
      <c r="JZ29" s="63"/>
      <c r="KA29" s="63"/>
      <c r="KB29" s="63"/>
      <c r="KC29" s="63"/>
      <c r="KD29" s="63"/>
      <c r="KE29" s="63"/>
      <c r="KF29" s="63"/>
      <c r="KG29" s="63"/>
      <c r="KH29" s="63"/>
      <c r="KI29" s="63"/>
      <c r="KJ29" s="63"/>
      <c r="KK29" s="63"/>
      <c r="KL29" s="63"/>
      <c r="KM29" s="63"/>
      <c r="KN29" s="63"/>
      <c r="KO29" s="63"/>
      <c r="KP29" s="63"/>
      <c r="KQ29" s="63"/>
      <c r="KR29" s="63"/>
      <c r="KS29" s="63"/>
      <c r="KT29" s="63"/>
      <c r="KU29" s="63"/>
      <c r="KV29" s="63"/>
      <c r="KW29" s="63"/>
      <c r="KX29" s="63"/>
      <c r="KY29" s="63"/>
      <c r="KZ29" s="63"/>
      <c r="LA29" s="63"/>
      <c r="LB29" s="63"/>
      <c r="LC29" s="63"/>
      <c r="LD29" s="63"/>
      <c r="LE29" s="63"/>
      <c r="LF29" s="63"/>
      <c r="LG29" s="63"/>
      <c r="LH29" s="63"/>
      <c r="LI29" s="63"/>
      <c r="LJ29" s="63"/>
      <c r="LK29" s="63"/>
      <c r="LL29" s="63"/>
      <c r="LM29" s="63"/>
      <c r="LN29" s="63"/>
      <c r="LO29" s="63"/>
      <c r="LP29" s="63"/>
      <c r="LQ29" s="63"/>
      <c r="LR29" s="63"/>
      <c r="LS29" s="63"/>
      <c r="LT29" s="63"/>
      <c r="LU29" s="63"/>
      <c r="LV29" s="63"/>
      <c r="LW29" s="63"/>
      <c r="LX29" s="63"/>
      <c r="LY29" s="63"/>
      <c r="LZ29" s="63"/>
      <c r="MA29" s="63"/>
      <c r="MB29" s="63"/>
      <c r="MC29" s="63"/>
      <c r="MD29" s="63"/>
      <c r="ME29" s="63"/>
      <c r="MF29" s="63"/>
      <c r="MG29" s="63"/>
      <c r="MH29" s="63"/>
      <c r="MI29" s="63"/>
      <c r="MJ29" s="63"/>
      <c r="MK29" s="63"/>
      <c r="ML29" s="63"/>
      <c r="MM29" s="63"/>
      <c r="MN29" s="63"/>
      <c r="MO29" s="63"/>
      <c r="MP29" s="63"/>
      <c r="MQ29" s="63"/>
      <c r="MR29" s="63"/>
      <c r="MS29" s="63"/>
      <c r="MT29" s="63"/>
      <c r="MU29" s="63"/>
      <c r="MV29" s="63"/>
      <c r="MW29" s="63"/>
      <c r="MX29" s="63"/>
      <c r="MY29" s="63"/>
      <c r="MZ29" s="63"/>
      <c r="NA29" s="63"/>
      <c r="NB29" s="63"/>
    </row>
    <row r="30" spans="1:366" ht="16" customHeight="1" x14ac:dyDescent="0.15">
      <c r="B30" s="373" t="s">
        <v>285</v>
      </c>
      <c r="C30" s="314" t="s">
        <v>150</v>
      </c>
      <c r="D30" s="5"/>
      <c r="E30" s="24"/>
      <c r="F30" s="35">
        <v>0</v>
      </c>
      <c r="G30" s="35">
        <f>+'Assumptions_&amp;_Inputs'!$E$56</f>
        <v>500</v>
      </c>
      <c r="H30" s="35">
        <f>+G$30*(1+H$17)</f>
        <v>500</v>
      </c>
      <c r="I30" s="35">
        <f t="shared" ref="I30:BT30" si="68">+H$30*(1+I$17)</f>
        <v>500</v>
      </c>
      <c r="J30" s="35">
        <f t="shared" si="68"/>
        <v>500</v>
      </c>
      <c r="K30" s="35">
        <f t="shared" si="68"/>
        <v>500</v>
      </c>
      <c r="L30" s="317">
        <f t="shared" si="68"/>
        <v>500</v>
      </c>
      <c r="M30" s="35">
        <f t="shared" si="68"/>
        <v>500</v>
      </c>
      <c r="N30" s="35">
        <f t="shared" si="68"/>
        <v>500</v>
      </c>
      <c r="O30" s="35">
        <f t="shared" si="68"/>
        <v>500</v>
      </c>
      <c r="P30" s="35">
        <f t="shared" si="68"/>
        <v>500</v>
      </c>
      <c r="Q30" s="35">
        <f t="shared" si="68"/>
        <v>500</v>
      </c>
      <c r="R30" s="35">
        <f t="shared" si="68"/>
        <v>500</v>
      </c>
      <c r="S30" s="35">
        <f t="shared" si="68"/>
        <v>512.5</v>
      </c>
      <c r="T30" s="35">
        <f t="shared" si="68"/>
        <v>512.5</v>
      </c>
      <c r="U30" s="35">
        <f t="shared" si="68"/>
        <v>512.5</v>
      </c>
      <c r="V30" s="35">
        <f t="shared" si="68"/>
        <v>512.5</v>
      </c>
      <c r="W30" s="35">
        <f t="shared" si="68"/>
        <v>512.5</v>
      </c>
      <c r="X30" s="35">
        <f t="shared" si="68"/>
        <v>512.5</v>
      </c>
      <c r="Y30" s="35">
        <f t="shared" si="68"/>
        <v>512.5</v>
      </c>
      <c r="Z30" s="35">
        <f t="shared" si="68"/>
        <v>512.5</v>
      </c>
      <c r="AA30" s="35">
        <f t="shared" si="68"/>
        <v>512.5</v>
      </c>
      <c r="AB30" s="35">
        <f t="shared" si="68"/>
        <v>512.5</v>
      </c>
      <c r="AC30" s="35">
        <f t="shared" si="68"/>
        <v>512.5</v>
      </c>
      <c r="AD30" s="35">
        <f t="shared" si="68"/>
        <v>512.5</v>
      </c>
      <c r="AE30" s="35">
        <f t="shared" si="68"/>
        <v>525.3125</v>
      </c>
      <c r="AF30" s="35">
        <f t="shared" si="68"/>
        <v>525.3125</v>
      </c>
      <c r="AG30" s="35">
        <f t="shared" si="68"/>
        <v>525.3125</v>
      </c>
      <c r="AH30" s="35">
        <f t="shared" si="68"/>
        <v>525.3125</v>
      </c>
      <c r="AI30" s="35">
        <f t="shared" si="68"/>
        <v>525.3125</v>
      </c>
      <c r="AJ30" s="35">
        <f t="shared" si="68"/>
        <v>525.3125</v>
      </c>
      <c r="AK30" s="35">
        <f t="shared" si="68"/>
        <v>525.3125</v>
      </c>
      <c r="AL30" s="35">
        <f t="shared" si="68"/>
        <v>525.3125</v>
      </c>
      <c r="AM30" s="35">
        <f t="shared" si="68"/>
        <v>525.3125</v>
      </c>
      <c r="AN30" s="35">
        <f t="shared" si="68"/>
        <v>525.3125</v>
      </c>
      <c r="AO30" s="35">
        <f t="shared" si="68"/>
        <v>525.3125</v>
      </c>
      <c r="AP30" s="35">
        <f t="shared" si="68"/>
        <v>525.3125</v>
      </c>
      <c r="AQ30" s="35">
        <f t="shared" si="68"/>
        <v>538.4453125</v>
      </c>
      <c r="AR30" s="35">
        <f t="shared" si="68"/>
        <v>538.4453125</v>
      </c>
      <c r="AS30" s="35">
        <f t="shared" si="68"/>
        <v>538.4453125</v>
      </c>
      <c r="AT30" s="35">
        <f t="shared" si="68"/>
        <v>538.4453125</v>
      </c>
      <c r="AU30" s="35">
        <f t="shared" si="68"/>
        <v>538.4453125</v>
      </c>
      <c r="AV30" s="35">
        <f t="shared" si="68"/>
        <v>538.4453125</v>
      </c>
      <c r="AW30" s="35">
        <f t="shared" si="68"/>
        <v>538.4453125</v>
      </c>
      <c r="AX30" s="35">
        <f t="shared" si="68"/>
        <v>538.4453125</v>
      </c>
      <c r="AY30" s="35">
        <f t="shared" si="68"/>
        <v>538.4453125</v>
      </c>
      <c r="AZ30" s="35">
        <f t="shared" si="68"/>
        <v>538.4453125</v>
      </c>
      <c r="BA30" s="35">
        <f t="shared" si="68"/>
        <v>538.4453125</v>
      </c>
      <c r="BB30" s="35">
        <f t="shared" si="68"/>
        <v>538.4453125</v>
      </c>
      <c r="BC30" s="35">
        <f t="shared" si="68"/>
        <v>551.90644531249995</v>
      </c>
      <c r="BD30" s="35">
        <f t="shared" si="68"/>
        <v>551.90644531249995</v>
      </c>
      <c r="BE30" s="35">
        <f t="shared" si="68"/>
        <v>551.90644531249995</v>
      </c>
      <c r="BF30" s="35">
        <f t="shared" si="68"/>
        <v>551.90644531249995</v>
      </c>
      <c r="BG30" s="35">
        <f t="shared" si="68"/>
        <v>551.90644531249995</v>
      </c>
      <c r="BH30" s="35">
        <f t="shared" si="68"/>
        <v>551.90644531249995</v>
      </c>
      <c r="BI30" s="35">
        <f t="shared" si="68"/>
        <v>551.90644531249995</v>
      </c>
      <c r="BJ30" s="35">
        <f t="shared" si="68"/>
        <v>551.90644531249995</v>
      </c>
      <c r="BK30" s="35">
        <f t="shared" si="68"/>
        <v>551.90644531249995</v>
      </c>
      <c r="BL30" s="35">
        <f t="shared" si="68"/>
        <v>551.90644531249995</v>
      </c>
      <c r="BM30" s="35">
        <f t="shared" si="68"/>
        <v>551.90644531249995</v>
      </c>
      <c r="BN30" s="35">
        <f t="shared" si="68"/>
        <v>551.90644531249995</v>
      </c>
      <c r="BO30" s="35">
        <f t="shared" si="68"/>
        <v>565.70410644531239</v>
      </c>
      <c r="BP30" s="35">
        <f t="shared" si="68"/>
        <v>565.70410644531239</v>
      </c>
      <c r="BQ30" s="35">
        <f t="shared" si="68"/>
        <v>565.70410644531239</v>
      </c>
      <c r="BR30" s="35">
        <f t="shared" si="68"/>
        <v>565.70410644531239</v>
      </c>
      <c r="BS30" s="35">
        <f t="shared" si="68"/>
        <v>565.70410644531239</v>
      </c>
      <c r="BT30" s="35">
        <f t="shared" si="68"/>
        <v>565.70410644531239</v>
      </c>
      <c r="BU30" s="35">
        <f t="shared" ref="BU30:EF30" si="69">+BT$30*(1+BU$17)</f>
        <v>565.70410644531239</v>
      </c>
      <c r="BV30" s="35">
        <f t="shared" si="69"/>
        <v>565.70410644531239</v>
      </c>
      <c r="BW30" s="35">
        <f t="shared" si="69"/>
        <v>565.70410644531239</v>
      </c>
      <c r="BX30" s="35">
        <f t="shared" si="69"/>
        <v>565.70410644531239</v>
      </c>
      <c r="BY30" s="35">
        <f t="shared" si="69"/>
        <v>565.70410644531239</v>
      </c>
      <c r="BZ30" s="35">
        <f t="shared" si="69"/>
        <v>565.70410644531239</v>
      </c>
      <c r="CA30" s="35">
        <f t="shared" si="69"/>
        <v>579.84670910644513</v>
      </c>
      <c r="CB30" s="35">
        <f t="shared" si="69"/>
        <v>579.84670910644513</v>
      </c>
      <c r="CC30" s="35">
        <f t="shared" si="69"/>
        <v>579.84670910644513</v>
      </c>
      <c r="CD30" s="35">
        <f t="shared" si="69"/>
        <v>579.84670910644513</v>
      </c>
      <c r="CE30" s="35">
        <f t="shared" si="69"/>
        <v>579.84670910644513</v>
      </c>
      <c r="CF30" s="35">
        <f t="shared" si="69"/>
        <v>579.84670910644513</v>
      </c>
      <c r="CG30" s="35">
        <f t="shared" si="69"/>
        <v>579.84670910644513</v>
      </c>
      <c r="CH30" s="35">
        <f t="shared" si="69"/>
        <v>579.84670910644513</v>
      </c>
      <c r="CI30" s="35">
        <f t="shared" si="69"/>
        <v>579.84670910644513</v>
      </c>
      <c r="CJ30" s="35">
        <f t="shared" si="69"/>
        <v>579.84670910644513</v>
      </c>
      <c r="CK30" s="35">
        <f t="shared" si="69"/>
        <v>579.84670910644513</v>
      </c>
      <c r="CL30" s="35">
        <f t="shared" si="69"/>
        <v>579.84670910644513</v>
      </c>
      <c r="CM30" s="35">
        <f t="shared" si="69"/>
        <v>594.34287683410616</v>
      </c>
      <c r="CN30" s="35">
        <f t="shared" si="69"/>
        <v>594.34287683410616</v>
      </c>
      <c r="CO30" s="35">
        <f t="shared" si="69"/>
        <v>594.34287683410616</v>
      </c>
      <c r="CP30" s="35">
        <f t="shared" si="69"/>
        <v>594.34287683410616</v>
      </c>
      <c r="CQ30" s="35">
        <f t="shared" si="69"/>
        <v>594.34287683410616</v>
      </c>
      <c r="CR30" s="35">
        <f t="shared" si="69"/>
        <v>594.34287683410616</v>
      </c>
      <c r="CS30" s="35">
        <f t="shared" si="69"/>
        <v>594.34287683410616</v>
      </c>
      <c r="CT30" s="35">
        <f t="shared" si="69"/>
        <v>594.34287683410616</v>
      </c>
      <c r="CU30" s="35">
        <f t="shared" si="69"/>
        <v>594.34287683410616</v>
      </c>
      <c r="CV30" s="35">
        <f t="shared" si="69"/>
        <v>594.34287683410616</v>
      </c>
      <c r="CW30" s="35">
        <f t="shared" si="69"/>
        <v>594.34287683410616</v>
      </c>
      <c r="CX30" s="35">
        <f t="shared" si="69"/>
        <v>594.34287683410616</v>
      </c>
      <c r="CY30" s="35">
        <f t="shared" si="69"/>
        <v>609.20144875495873</v>
      </c>
      <c r="CZ30" s="35">
        <f t="shared" si="69"/>
        <v>609.20144875495873</v>
      </c>
      <c r="DA30" s="35">
        <f t="shared" si="69"/>
        <v>609.20144875495873</v>
      </c>
      <c r="DB30" s="35">
        <f t="shared" si="69"/>
        <v>609.20144875495873</v>
      </c>
      <c r="DC30" s="35">
        <f t="shared" si="69"/>
        <v>609.20144875495873</v>
      </c>
      <c r="DD30" s="35">
        <f t="shared" si="69"/>
        <v>609.20144875495873</v>
      </c>
      <c r="DE30" s="35">
        <f t="shared" si="69"/>
        <v>609.20144875495873</v>
      </c>
      <c r="DF30" s="35">
        <f t="shared" si="69"/>
        <v>609.20144875495873</v>
      </c>
      <c r="DG30" s="35">
        <f t="shared" si="69"/>
        <v>609.20144875495873</v>
      </c>
      <c r="DH30" s="35">
        <f t="shared" si="69"/>
        <v>609.20144875495873</v>
      </c>
      <c r="DI30" s="35">
        <f t="shared" si="69"/>
        <v>609.20144875495873</v>
      </c>
      <c r="DJ30" s="35">
        <f t="shared" si="69"/>
        <v>609.20144875495873</v>
      </c>
      <c r="DK30" s="35">
        <f t="shared" si="69"/>
        <v>624.43148497383265</v>
      </c>
      <c r="DL30" s="35">
        <f t="shared" si="69"/>
        <v>624.43148497383265</v>
      </c>
      <c r="DM30" s="35">
        <f t="shared" si="69"/>
        <v>624.43148497383265</v>
      </c>
      <c r="DN30" s="35">
        <f t="shared" si="69"/>
        <v>624.43148497383265</v>
      </c>
      <c r="DO30" s="35">
        <f t="shared" si="69"/>
        <v>624.43148497383265</v>
      </c>
      <c r="DP30" s="35">
        <f t="shared" si="69"/>
        <v>624.43148497383265</v>
      </c>
      <c r="DQ30" s="35">
        <f t="shared" si="69"/>
        <v>624.43148497383265</v>
      </c>
      <c r="DR30" s="35">
        <f t="shared" si="69"/>
        <v>624.43148497383265</v>
      </c>
      <c r="DS30" s="35">
        <f t="shared" si="69"/>
        <v>624.43148497383265</v>
      </c>
      <c r="DT30" s="35">
        <f t="shared" si="69"/>
        <v>624.43148497383265</v>
      </c>
      <c r="DU30" s="35">
        <f t="shared" si="69"/>
        <v>624.43148497383265</v>
      </c>
      <c r="DV30" s="35">
        <f t="shared" si="69"/>
        <v>624.43148497383265</v>
      </c>
      <c r="DW30" s="35">
        <f t="shared" si="69"/>
        <v>640.04227209817839</v>
      </c>
      <c r="DX30" s="35">
        <f t="shared" si="69"/>
        <v>640.04227209817839</v>
      </c>
      <c r="DY30" s="35">
        <f t="shared" si="69"/>
        <v>640.04227209817839</v>
      </c>
      <c r="DZ30" s="35">
        <f t="shared" si="69"/>
        <v>640.04227209817839</v>
      </c>
      <c r="EA30" s="35">
        <f t="shared" si="69"/>
        <v>640.04227209817839</v>
      </c>
      <c r="EB30" s="35">
        <f t="shared" si="69"/>
        <v>640.04227209817839</v>
      </c>
      <c r="EC30" s="35">
        <f t="shared" si="69"/>
        <v>640.04227209817839</v>
      </c>
      <c r="ED30" s="35">
        <f t="shared" si="69"/>
        <v>640.04227209817839</v>
      </c>
      <c r="EE30" s="35">
        <f t="shared" si="69"/>
        <v>640.04227209817839</v>
      </c>
      <c r="EF30" s="35">
        <f t="shared" si="69"/>
        <v>640.04227209817839</v>
      </c>
      <c r="EG30" s="35">
        <f t="shared" ref="EG30:GD30" si="70">+EF$30*(1+EG$17)</f>
        <v>640.04227209817839</v>
      </c>
      <c r="EH30" s="35">
        <f t="shared" si="70"/>
        <v>640.04227209817839</v>
      </c>
      <c r="EI30" s="35">
        <f t="shared" si="70"/>
        <v>656.04332890063279</v>
      </c>
      <c r="EJ30" s="35">
        <f t="shared" si="70"/>
        <v>656.04332890063279</v>
      </c>
      <c r="EK30" s="35">
        <f t="shared" si="70"/>
        <v>656.04332890063279</v>
      </c>
      <c r="EL30" s="35">
        <f t="shared" si="70"/>
        <v>656.04332890063279</v>
      </c>
      <c r="EM30" s="35">
        <f t="shared" si="70"/>
        <v>656.04332890063279</v>
      </c>
      <c r="EN30" s="35">
        <f t="shared" si="70"/>
        <v>656.04332890063279</v>
      </c>
      <c r="EO30" s="35">
        <f t="shared" si="70"/>
        <v>656.04332890063279</v>
      </c>
      <c r="EP30" s="35">
        <f t="shared" si="70"/>
        <v>656.04332890063279</v>
      </c>
      <c r="EQ30" s="35">
        <f t="shared" si="70"/>
        <v>656.04332890063279</v>
      </c>
      <c r="ER30" s="35">
        <f t="shared" si="70"/>
        <v>656.04332890063279</v>
      </c>
      <c r="ES30" s="35">
        <f t="shared" si="70"/>
        <v>656.04332890063279</v>
      </c>
      <c r="ET30" s="35">
        <f t="shared" si="70"/>
        <v>656.04332890063279</v>
      </c>
      <c r="EU30" s="35">
        <f t="shared" si="70"/>
        <v>672.4444121231486</v>
      </c>
      <c r="EV30" s="35">
        <f t="shared" si="70"/>
        <v>672.4444121231486</v>
      </c>
      <c r="EW30" s="35">
        <f t="shared" si="70"/>
        <v>672.4444121231486</v>
      </c>
      <c r="EX30" s="35">
        <f t="shared" si="70"/>
        <v>672.4444121231486</v>
      </c>
      <c r="EY30" s="35">
        <f t="shared" si="70"/>
        <v>672.4444121231486</v>
      </c>
      <c r="EZ30" s="35">
        <f t="shared" si="70"/>
        <v>672.4444121231486</v>
      </c>
      <c r="FA30" s="35">
        <f t="shared" si="70"/>
        <v>672.4444121231486</v>
      </c>
      <c r="FB30" s="35">
        <f t="shared" si="70"/>
        <v>672.4444121231486</v>
      </c>
      <c r="FC30" s="35">
        <f t="shared" si="70"/>
        <v>672.4444121231486</v>
      </c>
      <c r="FD30" s="35">
        <f t="shared" si="70"/>
        <v>672.4444121231486</v>
      </c>
      <c r="FE30" s="35">
        <f t="shared" si="70"/>
        <v>672.4444121231486</v>
      </c>
      <c r="FF30" s="35">
        <f t="shared" si="70"/>
        <v>672.4444121231486</v>
      </c>
      <c r="FG30" s="35">
        <f t="shared" si="70"/>
        <v>689.25552242622723</v>
      </c>
      <c r="FH30" s="35">
        <f t="shared" si="70"/>
        <v>689.25552242622723</v>
      </c>
      <c r="FI30" s="35">
        <f t="shared" si="70"/>
        <v>689.25552242622723</v>
      </c>
      <c r="FJ30" s="35">
        <f t="shared" si="70"/>
        <v>689.25552242622723</v>
      </c>
      <c r="FK30" s="35">
        <f t="shared" si="70"/>
        <v>689.25552242622723</v>
      </c>
      <c r="FL30" s="35">
        <f t="shared" si="70"/>
        <v>689.25552242622723</v>
      </c>
      <c r="FM30" s="35">
        <f t="shared" si="70"/>
        <v>689.25552242622723</v>
      </c>
      <c r="FN30" s="35">
        <f t="shared" si="70"/>
        <v>689.25552242622723</v>
      </c>
      <c r="FO30" s="35">
        <f t="shared" si="70"/>
        <v>689.25552242622723</v>
      </c>
      <c r="FP30" s="35">
        <f t="shared" si="70"/>
        <v>689.25552242622723</v>
      </c>
      <c r="FQ30" s="35">
        <f t="shared" si="70"/>
        <v>689.25552242622723</v>
      </c>
      <c r="FR30" s="35">
        <f t="shared" si="70"/>
        <v>689.25552242622723</v>
      </c>
      <c r="FS30" s="35">
        <f t="shared" si="70"/>
        <v>706.48691048688283</v>
      </c>
      <c r="FT30" s="35">
        <f t="shared" si="70"/>
        <v>706.48691048688283</v>
      </c>
      <c r="FU30" s="35">
        <f t="shared" si="70"/>
        <v>706.48691048688283</v>
      </c>
      <c r="FV30" s="35">
        <f t="shared" si="70"/>
        <v>706.48691048688283</v>
      </c>
      <c r="FW30" s="35">
        <f t="shared" si="70"/>
        <v>706.48691048688283</v>
      </c>
      <c r="FX30" s="35">
        <f t="shared" si="70"/>
        <v>706.48691048688283</v>
      </c>
      <c r="FY30" s="35">
        <f t="shared" si="70"/>
        <v>706.48691048688283</v>
      </c>
      <c r="FZ30" s="35">
        <f t="shared" si="70"/>
        <v>706.48691048688283</v>
      </c>
      <c r="GA30" s="35">
        <f t="shared" si="70"/>
        <v>706.48691048688283</v>
      </c>
      <c r="GB30" s="35">
        <f t="shared" si="70"/>
        <v>706.48691048688283</v>
      </c>
      <c r="GC30" s="35">
        <f t="shared" si="70"/>
        <v>706.48691048688283</v>
      </c>
      <c r="GD30" s="35">
        <f t="shared" si="70"/>
        <v>706.48691048688283</v>
      </c>
      <c r="GE30" s="35">
        <f t="shared" ref="GE30:GM30" si="71">+GD$30*(1+GE$17)</f>
        <v>724.1490832490548</v>
      </c>
      <c r="GF30" s="35">
        <f t="shared" si="71"/>
        <v>724.1490832490548</v>
      </c>
      <c r="GG30" s="35">
        <f t="shared" si="71"/>
        <v>724.1490832490548</v>
      </c>
      <c r="GH30" s="35">
        <f t="shared" si="71"/>
        <v>724.1490832490548</v>
      </c>
      <c r="GI30" s="35">
        <f t="shared" si="71"/>
        <v>724.1490832490548</v>
      </c>
      <c r="GJ30" s="35">
        <f t="shared" si="71"/>
        <v>724.1490832490548</v>
      </c>
      <c r="GK30" s="35">
        <f t="shared" si="71"/>
        <v>724.1490832490548</v>
      </c>
      <c r="GL30" s="35">
        <f t="shared" si="71"/>
        <v>724.1490832490548</v>
      </c>
      <c r="GM30" s="35">
        <f t="shared" si="71"/>
        <v>724.1490832490548</v>
      </c>
      <c r="GN30" s="609"/>
      <c r="GO30" s="609"/>
      <c r="GP30" s="609"/>
      <c r="GQ30" s="63"/>
      <c r="GR30" s="63"/>
      <c r="GS30" s="63"/>
      <c r="GT30" s="63"/>
      <c r="GU30" s="63"/>
      <c r="GV30" s="63"/>
      <c r="GW30" s="63"/>
      <c r="GX30" s="63"/>
      <c r="GY30" s="63"/>
      <c r="GZ30" s="63"/>
      <c r="HA30" s="63"/>
      <c r="HB30" s="63"/>
      <c r="HC30" s="63"/>
      <c r="HD30" s="63"/>
      <c r="HE30" s="63"/>
      <c r="HF30" s="63"/>
      <c r="HG30" s="63"/>
      <c r="HH30" s="63"/>
      <c r="HI30" s="63"/>
      <c r="HJ30" s="63"/>
      <c r="HK30" s="63"/>
      <c r="HL30" s="63"/>
      <c r="HM30" s="63"/>
      <c r="HN30" s="63"/>
      <c r="HO30" s="63"/>
      <c r="HP30" s="63"/>
      <c r="HQ30" s="63"/>
      <c r="HR30" s="63"/>
      <c r="HS30" s="63"/>
      <c r="HT30" s="63"/>
      <c r="HU30" s="63"/>
      <c r="HV30" s="63"/>
      <c r="HW30" s="63"/>
      <c r="HX30" s="63"/>
      <c r="HY30" s="63"/>
      <c r="HZ30" s="63"/>
      <c r="IA30" s="63"/>
      <c r="IB30" s="63"/>
      <c r="IC30" s="63"/>
      <c r="ID30" s="63"/>
      <c r="IE30" s="63"/>
      <c r="IF30" s="63"/>
      <c r="IG30" s="63"/>
      <c r="IH30" s="63"/>
      <c r="II30" s="63"/>
      <c r="IJ30" s="63"/>
      <c r="IK30" s="63"/>
      <c r="IL30" s="63"/>
      <c r="IM30" s="63"/>
      <c r="IN30" s="63"/>
      <c r="IO30" s="63"/>
      <c r="IP30" s="63"/>
      <c r="IQ30" s="63"/>
      <c r="IR30" s="63"/>
      <c r="IS30" s="63"/>
      <c r="IT30" s="63"/>
      <c r="IU30" s="63"/>
      <c r="IV30" s="63"/>
      <c r="IW30" s="63"/>
      <c r="IX30" s="63"/>
      <c r="IY30" s="63"/>
      <c r="IZ30" s="63"/>
      <c r="JA30" s="63"/>
      <c r="JB30" s="63"/>
      <c r="JC30" s="63"/>
      <c r="JD30" s="63"/>
      <c r="JE30" s="63"/>
      <c r="JF30" s="63"/>
      <c r="JG30" s="63"/>
      <c r="JH30" s="63"/>
      <c r="JI30" s="63"/>
      <c r="JJ30" s="63"/>
      <c r="JK30" s="63"/>
      <c r="JL30" s="63"/>
      <c r="JM30" s="63"/>
      <c r="JN30" s="63"/>
      <c r="JO30" s="63"/>
      <c r="JP30" s="63"/>
      <c r="JQ30" s="63"/>
      <c r="JR30" s="63"/>
      <c r="JS30" s="63"/>
      <c r="JT30" s="63"/>
      <c r="JU30" s="63"/>
      <c r="JV30" s="63"/>
      <c r="JW30" s="63"/>
      <c r="JX30" s="63"/>
      <c r="JY30" s="63"/>
      <c r="JZ30" s="63"/>
      <c r="KA30" s="63"/>
      <c r="KB30" s="63"/>
      <c r="KC30" s="63"/>
      <c r="KD30" s="63"/>
      <c r="KE30" s="63"/>
      <c r="KF30" s="63"/>
      <c r="KG30" s="63"/>
      <c r="KH30" s="63"/>
      <c r="KI30" s="63"/>
      <c r="KJ30" s="63"/>
      <c r="KK30" s="63"/>
      <c r="KL30" s="63"/>
      <c r="KM30" s="63"/>
      <c r="KN30" s="63"/>
      <c r="KO30" s="63"/>
      <c r="KP30" s="63"/>
      <c r="KQ30" s="63"/>
      <c r="KR30" s="63"/>
      <c r="KS30" s="63"/>
      <c r="KT30" s="63"/>
      <c r="KU30" s="63"/>
      <c r="KV30" s="63"/>
      <c r="KW30" s="63"/>
      <c r="KX30" s="63"/>
      <c r="KY30" s="63"/>
      <c r="KZ30" s="63"/>
      <c r="LA30" s="63"/>
      <c r="LB30" s="63"/>
      <c r="LC30" s="63"/>
      <c r="LD30" s="63"/>
      <c r="LE30" s="63"/>
      <c r="LF30" s="63"/>
      <c r="LG30" s="63"/>
      <c r="LH30" s="63"/>
      <c r="LI30" s="63"/>
      <c r="LJ30" s="63"/>
      <c r="LK30" s="63"/>
      <c r="LL30" s="63"/>
      <c r="LM30" s="63"/>
      <c r="LN30" s="63"/>
      <c r="LO30" s="63"/>
      <c r="LP30" s="63"/>
      <c r="LQ30" s="63"/>
      <c r="LR30" s="63"/>
      <c r="LS30" s="63"/>
      <c r="LT30" s="63"/>
      <c r="LU30" s="63"/>
      <c r="LV30" s="63"/>
      <c r="LW30" s="63"/>
      <c r="LX30" s="63"/>
      <c r="LY30" s="63"/>
      <c r="LZ30" s="63"/>
      <c r="MA30" s="63"/>
      <c r="MB30" s="63"/>
      <c r="MC30" s="63"/>
      <c r="MD30" s="63"/>
      <c r="ME30" s="63"/>
      <c r="MF30" s="63"/>
      <c r="MG30" s="63"/>
      <c r="MH30" s="63"/>
      <c r="MI30" s="63"/>
      <c r="MJ30" s="63"/>
      <c r="MK30" s="63"/>
      <c r="ML30" s="63"/>
      <c r="MM30" s="63"/>
      <c r="MN30" s="63"/>
      <c r="MO30" s="63"/>
      <c r="MP30" s="63"/>
      <c r="MQ30" s="63"/>
      <c r="MR30" s="63"/>
      <c r="MS30" s="63"/>
      <c r="MT30" s="63"/>
      <c r="MU30" s="63"/>
      <c r="MV30" s="63"/>
      <c r="MW30" s="63"/>
      <c r="MX30" s="63"/>
      <c r="MY30" s="63"/>
      <c r="MZ30" s="63"/>
      <c r="NA30" s="63"/>
      <c r="NB30" s="63"/>
    </row>
    <row r="31" spans="1:366" ht="16" customHeight="1" x14ac:dyDescent="0.15">
      <c r="B31" s="3" t="s">
        <v>112</v>
      </c>
      <c r="C31" s="96"/>
      <c r="D31" s="3"/>
      <c r="E31" s="101"/>
      <c r="F31" s="95">
        <f>SUM(F29:F30)</f>
        <v>0</v>
      </c>
      <c r="G31" s="95">
        <f t="shared" ref="G31:BR31" si="72">SUM(G29:G30)</f>
        <v>37259.379999999997</v>
      </c>
      <c r="H31" s="95">
        <f t="shared" si="72"/>
        <v>37259.379999999997</v>
      </c>
      <c r="I31" s="95">
        <f t="shared" si="72"/>
        <v>37259.379999999997</v>
      </c>
      <c r="J31" s="95">
        <f t="shared" si="72"/>
        <v>37259.379999999997</v>
      </c>
      <c r="K31" s="95">
        <f t="shared" si="72"/>
        <v>37259.379999999997</v>
      </c>
      <c r="L31" s="95">
        <f t="shared" si="72"/>
        <v>37259.379999999997</v>
      </c>
      <c r="M31" s="95">
        <f t="shared" si="72"/>
        <v>37259.379999999997</v>
      </c>
      <c r="N31" s="95">
        <f t="shared" si="72"/>
        <v>37259.379999999997</v>
      </c>
      <c r="O31" s="95">
        <f t="shared" si="72"/>
        <v>39121.650000000009</v>
      </c>
      <c r="P31" s="95">
        <f t="shared" si="72"/>
        <v>39121.650000000009</v>
      </c>
      <c r="Q31" s="95">
        <f t="shared" si="72"/>
        <v>39121.650000000009</v>
      </c>
      <c r="R31" s="95">
        <f t="shared" si="72"/>
        <v>39121.650000000009</v>
      </c>
      <c r="S31" s="95">
        <f t="shared" si="72"/>
        <v>40099.691250000003</v>
      </c>
      <c r="T31" s="95">
        <f t="shared" si="72"/>
        <v>40099.691250000003</v>
      </c>
      <c r="U31" s="95">
        <f t="shared" si="72"/>
        <v>40099.691250000003</v>
      </c>
      <c r="V31" s="95">
        <f t="shared" si="72"/>
        <v>40099.691250000003</v>
      </c>
      <c r="W31" s="95">
        <f t="shared" si="72"/>
        <v>40099.691250000003</v>
      </c>
      <c r="X31" s="95">
        <f t="shared" si="72"/>
        <v>40099.691250000003</v>
      </c>
      <c r="Y31" s="95">
        <f t="shared" si="72"/>
        <v>40099.691250000003</v>
      </c>
      <c r="Z31" s="95">
        <f t="shared" si="72"/>
        <v>40099.691250000003</v>
      </c>
      <c r="AA31" s="95">
        <f t="shared" si="72"/>
        <v>40099.691250000003</v>
      </c>
      <c r="AB31" s="95">
        <f t="shared" si="72"/>
        <v>40099.691250000003</v>
      </c>
      <c r="AC31" s="95">
        <f t="shared" si="72"/>
        <v>40099.691250000003</v>
      </c>
      <c r="AD31" s="95">
        <f t="shared" si="72"/>
        <v>40099.691250000003</v>
      </c>
      <c r="AE31" s="95">
        <f t="shared" si="72"/>
        <v>41102.183531249997</v>
      </c>
      <c r="AF31" s="95">
        <f t="shared" si="72"/>
        <v>41102.183531249997</v>
      </c>
      <c r="AG31" s="95">
        <f t="shared" si="72"/>
        <v>41102.183531249997</v>
      </c>
      <c r="AH31" s="95">
        <f t="shared" si="72"/>
        <v>41102.183531249997</v>
      </c>
      <c r="AI31" s="95">
        <f t="shared" si="72"/>
        <v>41102.183531249997</v>
      </c>
      <c r="AJ31" s="95">
        <f t="shared" si="72"/>
        <v>41102.183531249997</v>
      </c>
      <c r="AK31" s="95">
        <f t="shared" si="72"/>
        <v>41102.183531249997</v>
      </c>
      <c r="AL31" s="95">
        <f t="shared" si="72"/>
        <v>41102.183531249997</v>
      </c>
      <c r="AM31" s="95">
        <f t="shared" si="72"/>
        <v>41102.183531249997</v>
      </c>
      <c r="AN31" s="95">
        <f t="shared" si="72"/>
        <v>41102.183531249997</v>
      </c>
      <c r="AO31" s="95">
        <f t="shared" si="72"/>
        <v>41102.183531249997</v>
      </c>
      <c r="AP31" s="95">
        <f t="shared" si="72"/>
        <v>41102.183531249997</v>
      </c>
      <c r="AQ31" s="95">
        <f t="shared" si="72"/>
        <v>42129.738119531241</v>
      </c>
      <c r="AR31" s="95">
        <f t="shared" si="72"/>
        <v>42129.738119531241</v>
      </c>
      <c r="AS31" s="95">
        <f t="shared" si="72"/>
        <v>42129.738119531241</v>
      </c>
      <c r="AT31" s="95">
        <f t="shared" si="72"/>
        <v>42129.738119531241</v>
      </c>
      <c r="AU31" s="95">
        <f t="shared" si="72"/>
        <v>42129.738119531241</v>
      </c>
      <c r="AV31" s="95">
        <f t="shared" si="72"/>
        <v>42129.738119531241</v>
      </c>
      <c r="AW31" s="95">
        <f t="shared" si="72"/>
        <v>42129.738119531241</v>
      </c>
      <c r="AX31" s="95">
        <f t="shared" si="72"/>
        <v>42129.738119531241</v>
      </c>
      <c r="AY31" s="95">
        <f t="shared" si="72"/>
        <v>42129.738119531241</v>
      </c>
      <c r="AZ31" s="95">
        <f t="shared" si="72"/>
        <v>42129.738119531241</v>
      </c>
      <c r="BA31" s="95">
        <f t="shared" si="72"/>
        <v>42129.738119531241</v>
      </c>
      <c r="BB31" s="95">
        <f t="shared" si="72"/>
        <v>42129.738119531241</v>
      </c>
      <c r="BC31" s="95">
        <f t="shared" si="72"/>
        <v>43182.981572519522</v>
      </c>
      <c r="BD31" s="95">
        <f t="shared" si="72"/>
        <v>43182.981572519522</v>
      </c>
      <c r="BE31" s="95">
        <f t="shared" si="72"/>
        <v>43182.981572519522</v>
      </c>
      <c r="BF31" s="95">
        <f t="shared" si="72"/>
        <v>43182.981572519522</v>
      </c>
      <c r="BG31" s="95">
        <f t="shared" si="72"/>
        <v>43182.981572519522</v>
      </c>
      <c r="BH31" s="95">
        <f t="shared" si="72"/>
        <v>43182.981572519522</v>
      </c>
      <c r="BI31" s="95">
        <f t="shared" si="72"/>
        <v>43182.981572519522</v>
      </c>
      <c r="BJ31" s="95">
        <f t="shared" si="72"/>
        <v>43182.981572519522</v>
      </c>
      <c r="BK31" s="95">
        <f t="shared" si="72"/>
        <v>43182.981572519522</v>
      </c>
      <c r="BL31" s="95">
        <f t="shared" si="72"/>
        <v>43182.981572519522</v>
      </c>
      <c r="BM31" s="95">
        <f t="shared" si="72"/>
        <v>43182.981572519522</v>
      </c>
      <c r="BN31" s="95">
        <f t="shared" si="72"/>
        <v>43182.981572519522</v>
      </c>
      <c r="BO31" s="95">
        <f t="shared" si="72"/>
        <v>44262.556111832506</v>
      </c>
      <c r="BP31" s="95">
        <f t="shared" si="72"/>
        <v>44262.556111832506</v>
      </c>
      <c r="BQ31" s="95">
        <f t="shared" si="72"/>
        <v>44262.556111832506</v>
      </c>
      <c r="BR31" s="95">
        <f t="shared" si="72"/>
        <v>44262.556111832506</v>
      </c>
      <c r="BS31" s="95">
        <f t="shared" ref="BS31:ED31" si="73">SUM(BS29:BS30)</f>
        <v>44262.556111832506</v>
      </c>
      <c r="BT31" s="95">
        <f t="shared" si="73"/>
        <v>44262.556111832506</v>
      </c>
      <c r="BU31" s="95">
        <f t="shared" si="73"/>
        <v>44262.556111832506</v>
      </c>
      <c r="BV31" s="95">
        <f t="shared" si="73"/>
        <v>44262.556111832506</v>
      </c>
      <c r="BW31" s="95">
        <f t="shared" si="73"/>
        <v>44262.556111832506</v>
      </c>
      <c r="BX31" s="95">
        <f t="shared" si="73"/>
        <v>44262.556111832506</v>
      </c>
      <c r="BY31" s="95">
        <f t="shared" si="73"/>
        <v>44262.556111832506</v>
      </c>
      <c r="BZ31" s="95">
        <f t="shared" si="73"/>
        <v>44262.556111832506</v>
      </c>
      <c r="CA31" s="95">
        <f t="shared" si="73"/>
        <v>45369.120014628308</v>
      </c>
      <c r="CB31" s="95">
        <f t="shared" si="73"/>
        <v>45369.120014628308</v>
      </c>
      <c r="CC31" s="95">
        <f t="shared" si="73"/>
        <v>45369.120014628308</v>
      </c>
      <c r="CD31" s="95">
        <f t="shared" si="73"/>
        <v>45369.120014628308</v>
      </c>
      <c r="CE31" s="95">
        <f t="shared" si="73"/>
        <v>45369.120014628308</v>
      </c>
      <c r="CF31" s="95">
        <f t="shared" si="73"/>
        <v>45369.120014628308</v>
      </c>
      <c r="CG31" s="95">
        <f t="shared" si="73"/>
        <v>45369.120014628308</v>
      </c>
      <c r="CH31" s="95">
        <f t="shared" si="73"/>
        <v>45369.120014628308</v>
      </c>
      <c r="CI31" s="95">
        <f t="shared" si="73"/>
        <v>45369.120014628308</v>
      </c>
      <c r="CJ31" s="95">
        <f t="shared" si="73"/>
        <v>45369.120014628308</v>
      </c>
      <c r="CK31" s="95">
        <f t="shared" si="73"/>
        <v>45369.120014628308</v>
      </c>
      <c r="CL31" s="95">
        <f t="shared" si="73"/>
        <v>45369.120014628308</v>
      </c>
      <c r="CM31" s="95">
        <f t="shared" si="73"/>
        <v>46503.348014994008</v>
      </c>
      <c r="CN31" s="95">
        <f t="shared" si="73"/>
        <v>46503.348014994008</v>
      </c>
      <c r="CO31" s="95">
        <f t="shared" si="73"/>
        <v>46503.348014994008</v>
      </c>
      <c r="CP31" s="95">
        <f t="shared" si="73"/>
        <v>46503.348014994008</v>
      </c>
      <c r="CQ31" s="95">
        <f t="shared" si="73"/>
        <v>46503.348014994008</v>
      </c>
      <c r="CR31" s="95">
        <f t="shared" si="73"/>
        <v>46503.348014994008</v>
      </c>
      <c r="CS31" s="95">
        <f t="shared" si="73"/>
        <v>46503.348014994008</v>
      </c>
      <c r="CT31" s="95">
        <f t="shared" si="73"/>
        <v>46503.348014994008</v>
      </c>
      <c r="CU31" s="95">
        <f t="shared" si="73"/>
        <v>46503.348014994008</v>
      </c>
      <c r="CV31" s="95">
        <f t="shared" si="73"/>
        <v>46503.348014994008</v>
      </c>
      <c r="CW31" s="95">
        <f t="shared" si="73"/>
        <v>46503.348014994008</v>
      </c>
      <c r="CX31" s="95">
        <f t="shared" si="73"/>
        <v>46503.348014994008</v>
      </c>
      <c r="CY31" s="95">
        <f t="shared" si="73"/>
        <v>47665.931715368861</v>
      </c>
      <c r="CZ31" s="95">
        <f t="shared" si="73"/>
        <v>47665.931715368861</v>
      </c>
      <c r="DA31" s="95">
        <f t="shared" si="73"/>
        <v>47665.931715368861</v>
      </c>
      <c r="DB31" s="95">
        <f t="shared" si="73"/>
        <v>47665.931715368861</v>
      </c>
      <c r="DC31" s="95">
        <f t="shared" si="73"/>
        <v>47665.931715368861</v>
      </c>
      <c r="DD31" s="95">
        <f t="shared" si="73"/>
        <v>47665.931715368861</v>
      </c>
      <c r="DE31" s="95">
        <f t="shared" si="73"/>
        <v>47665.931715368861</v>
      </c>
      <c r="DF31" s="95">
        <f t="shared" si="73"/>
        <v>47665.931715368861</v>
      </c>
      <c r="DG31" s="95">
        <f t="shared" si="73"/>
        <v>47665.931715368861</v>
      </c>
      <c r="DH31" s="95">
        <f t="shared" si="73"/>
        <v>47665.931715368861</v>
      </c>
      <c r="DI31" s="95">
        <f t="shared" si="73"/>
        <v>47665.931715368861</v>
      </c>
      <c r="DJ31" s="95">
        <f t="shared" si="73"/>
        <v>47665.931715368861</v>
      </c>
      <c r="DK31" s="95">
        <f t="shared" si="73"/>
        <v>48857.58000825307</v>
      </c>
      <c r="DL31" s="95">
        <f t="shared" si="73"/>
        <v>48857.58000825307</v>
      </c>
      <c r="DM31" s="95">
        <f t="shared" si="73"/>
        <v>48857.58000825307</v>
      </c>
      <c r="DN31" s="95">
        <f t="shared" si="73"/>
        <v>48857.58000825307</v>
      </c>
      <c r="DO31" s="95">
        <f t="shared" si="73"/>
        <v>48857.58000825307</v>
      </c>
      <c r="DP31" s="95">
        <f t="shared" si="73"/>
        <v>48857.58000825307</v>
      </c>
      <c r="DQ31" s="95">
        <f t="shared" si="73"/>
        <v>48857.58000825307</v>
      </c>
      <c r="DR31" s="95">
        <f t="shared" si="73"/>
        <v>48857.58000825307</v>
      </c>
      <c r="DS31" s="95">
        <f t="shared" si="73"/>
        <v>48857.58000825307</v>
      </c>
      <c r="DT31" s="95">
        <f t="shared" si="73"/>
        <v>48857.58000825307</v>
      </c>
      <c r="DU31" s="95">
        <f t="shared" si="73"/>
        <v>48857.58000825307</v>
      </c>
      <c r="DV31" s="95">
        <f t="shared" si="73"/>
        <v>48857.58000825307</v>
      </c>
      <c r="DW31" s="95">
        <f t="shared" si="73"/>
        <v>50079.019508459394</v>
      </c>
      <c r="DX31" s="95">
        <f t="shared" si="73"/>
        <v>50079.019508459394</v>
      </c>
      <c r="DY31" s="95">
        <f t="shared" si="73"/>
        <v>50079.019508459394</v>
      </c>
      <c r="DZ31" s="95">
        <f t="shared" si="73"/>
        <v>50079.019508459394</v>
      </c>
      <c r="EA31" s="95">
        <f t="shared" si="73"/>
        <v>50079.019508459394</v>
      </c>
      <c r="EB31" s="95">
        <f t="shared" si="73"/>
        <v>50079.019508459394</v>
      </c>
      <c r="EC31" s="95">
        <f t="shared" si="73"/>
        <v>50079.019508459394</v>
      </c>
      <c r="ED31" s="95">
        <f t="shared" si="73"/>
        <v>50079.019508459394</v>
      </c>
      <c r="EE31" s="95">
        <f t="shared" ref="EE31:GD31" si="74">SUM(EE29:EE30)</f>
        <v>50079.019508459394</v>
      </c>
      <c r="EF31" s="95">
        <f t="shared" si="74"/>
        <v>50079.019508459394</v>
      </c>
      <c r="EG31" s="95">
        <f t="shared" si="74"/>
        <v>50079.019508459394</v>
      </c>
      <c r="EH31" s="95">
        <f t="shared" si="74"/>
        <v>50079.019508459394</v>
      </c>
      <c r="EI31" s="95">
        <f t="shared" si="74"/>
        <v>51330.99499617087</v>
      </c>
      <c r="EJ31" s="95">
        <f t="shared" si="74"/>
        <v>51330.99499617087</v>
      </c>
      <c r="EK31" s="95">
        <f t="shared" si="74"/>
        <v>51330.99499617087</v>
      </c>
      <c r="EL31" s="95">
        <f t="shared" si="74"/>
        <v>51330.99499617087</v>
      </c>
      <c r="EM31" s="95">
        <f t="shared" si="74"/>
        <v>51330.99499617087</v>
      </c>
      <c r="EN31" s="95">
        <f t="shared" si="74"/>
        <v>51330.99499617087</v>
      </c>
      <c r="EO31" s="95">
        <f t="shared" si="74"/>
        <v>51330.99499617087</v>
      </c>
      <c r="EP31" s="95">
        <f t="shared" si="74"/>
        <v>51330.99499617087</v>
      </c>
      <c r="EQ31" s="95">
        <f t="shared" si="74"/>
        <v>51330.99499617087</v>
      </c>
      <c r="ER31" s="95">
        <f t="shared" si="74"/>
        <v>51330.99499617087</v>
      </c>
      <c r="ES31" s="95">
        <f t="shared" si="74"/>
        <v>51330.99499617087</v>
      </c>
      <c r="ET31" s="95">
        <f t="shared" si="74"/>
        <v>51330.99499617087</v>
      </c>
      <c r="EU31" s="95">
        <f t="shared" si="74"/>
        <v>52614.269871075136</v>
      </c>
      <c r="EV31" s="95">
        <f t="shared" si="74"/>
        <v>52614.269871075136</v>
      </c>
      <c r="EW31" s="95">
        <f t="shared" si="74"/>
        <v>52614.269871075136</v>
      </c>
      <c r="EX31" s="95">
        <f t="shared" si="74"/>
        <v>52614.269871075136</v>
      </c>
      <c r="EY31" s="95">
        <f t="shared" si="74"/>
        <v>52614.269871075136</v>
      </c>
      <c r="EZ31" s="95">
        <f t="shared" si="74"/>
        <v>52614.269871075136</v>
      </c>
      <c r="FA31" s="95">
        <f t="shared" si="74"/>
        <v>52614.269871075136</v>
      </c>
      <c r="FB31" s="95">
        <f t="shared" si="74"/>
        <v>52614.269871075136</v>
      </c>
      <c r="FC31" s="95">
        <f t="shared" si="74"/>
        <v>52614.269871075136</v>
      </c>
      <c r="FD31" s="95">
        <f t="shared" si="74"/>
        <v>52614.269871075136</v>
      </c>
      <c r="FE31" s="95">
        <f t="shared" si="74"/>
        <v>52614.269871075136</v>
      </c>
      <c r="FF31" s="95">
        <f t="shared" si="74"/>
        <v>52614.269871075136</v>
      </c>
      <c r="FG31" s="95">
        <f t="shared" si="74"/>
        <v>53929.626617852009</v>
      </c>
      <c r="FH31" s="95">
        <f t="shared" si="74"/>
        <v>53929.626617852009</v>
      </c>
      <c r="FI31" s="95">
        <f t="shared" si="74"/>
        <v>53929.626617852009</v>
      </c>
      <c r="FJ31" s="95">
        <f t="shared" si="74"/>
        <v>53929.626617852009</v>
      </c>
      <c r="FK31" s="95">
        <f t="shared" si="74"/>
        <v>53929.626617852009</v>
      </c>
      <c r="FL31" s="95">
        <f t="shared" si="74"/>
        <v>53929.626617852009</v>
      </c>
      <c r="FM31" s="95">
        <f t="shared" si="74"/>
        <v>53929.626617852009</v>
      </c>
      <c r="FN31" s="95">
        <f t="shared" si="74"/>
        <v>53929.626617852009</v>
      </c>
      <c r="FO31" s="95">
        <f t="shared" si="74"/>
        <v>53929.626617852009</v>
      </c>
      <c r="FP31" s="95">
        <f t="shared" si="74"/>
        <v>53929.626617852009</v>
      </c>
      <c r="FQ31" s="95">
        <f t="shared" si="74"/>
        <v>53929.626617852009</v>
      </c>
      <c r="FR31" s="95">
        <f t="shared" si="74"/>
        <v>53929.626617852009</v>
      </c>
      <c r="FS31" s="95">
        <f t="shared" si="74"/>
        <v>55277.867283298307</v>
      </c>
      <c r="FT31" s="95">
        <f t="shared" si="74"/>
        <v>55277.867283298307</v>
      </c>
      <c r="FU31" s="95">
        <f t="shared" si="74"/>
        <v>55277.867283298307</v>
      </c>
      <c r="FV31" s="95">
        <f t="shared" si="74"/>
        <v>55277.867283298307</v>
      </c>
      <c r="FW31" s="95">
        <f t="shared" si="74"/>
        <v>55277.867283298307</v>
      </c>
      <c r="FX31" s="95">
        <f t="shared" si="74"/>
        <v>55277.867283298307</v>
      </c>
      <c r="FY31" s="95">
        <f t="shared" si="74"/>
        <v>55277.867283298307</v>
      </c>
      <c r="FZ31" s="95">
        <f t="shared" si="74"/>
        <v>55277.867283298307</v>
      </c>
      <c r="GA31" s="95">
        <f t="shared" si="74"/>
        <v>55277.867283298307</v>
      </c>
      <c r="GB31" s="95">
        <f t="shared" si="74"/>
        <v>55277.867283298307</v>
      </c>
      <c r="GC31" s="95">
        <f t="shared" si="74"/>
        <v>55277.867283298307</v>
      </c>
      <c r="GD31" s="95">
        <f t="shared" si="74"/>
        <v>55277.867283298307</v>
      </c>
      <c r="GE31" s="95">
        <f t="shared" ref="GE31:GM31" si="75">SUM(GE29:GE30)</f>
        <v>56659.813965380752</v>
      </c>
      <c r="GF31" s="95">
        <f t="shared" si="75"/>
        <v>56659.813965380752</v>
      </c>
      <c r="GG31" s="95">
        <f t="shared" si="75"/>
        <v>56659.813965380752</v>
      </c>
      <c r="GH31" s="95">
        <f t="shared" si="75"/>
        <v>56659.813965380752</v>
      </c>
      <c r="GI31" s="95">
        <f t="shared" si="75"/>
        <v>56659.813965380752</v>
      </c>
      <c r="GJ31" s="95">
        <f t="shared" si="75"/>
        <v>56659.813965380752</v>
      </c>
      <c r="GK31" s="95">
        <f t="shared" si="75"/>
        <v>56659.813965380752</v>
      </c>
      <c r="GL31" s="95">
        <f t="shared" si="75"/>
        <v>56659.813965380752</v>
      </c>
      <c r="GM31" s="95">
        <f t="shared" si="75"/>
        <v>56659.813965380752</v>
      </c>
      <c r="GN31" s="279"/>
      <c r="GO31" s="279"/>
      <c r="GP31" s="279"/>
      <c r="GQ31" s="279"/>
      <c r="GR31" s="279"/>
      <c r="GS31" s="279"/>
      <c r="GT31" s="279"/>
      <c r="GU31" s="279"/>
      <c r="GV31" s="279"/>
      <c r="GW31" s="279"/>
      <c r="GX31" s="279"/>
      <c r="GY31" s="279"/>
      <c r="GZ31" s="279"/>
      <c r="HA31" s="279"/>
      <c r="HB31" s="279"/>
      <c r="HC31" s="279"/>
      <c r="HD31" s="279"/>
      <c r="HE31" s="279"/>
      <c r="HF31" s="279"/>
      <c r="HG31" s="279"/>
      <c r="HH31" s="279"/>
      <c r="HI31" s="279"/>
      <c r="HJ31" s="279"/>
      <c r="HK31" s="279"/>
      <c r="HL31" s="279"/>
      <c r="HM31" s="279"/>
      <c r="HN31" s="279"/>
      <c r="HO31" s="279"/>
      <c r="HP31" s="279"/>
      <c r="HQ31" s="279"/>
      <c r="HR31" s="279"/>
      <c r="HS31" s="279"/>
      <c r="HT31" s="279"/>
      <c r="HU31" s="279"/>
      <c r="HV31" s="279"/>
      <c r="HW31" s="279"/>
      <c r="HX31" s="279"/>
      <c r="HY31" s="279"/>
      <c r="HZ31" s="279"/>
      <c r="IA31" s="279"/>
      <c r="IB31" s="279"/>
      <c r="IC31" s="279"/>
      <c r="ID31" s="279"/>
      <c r="IE31" s="279"/>
      <c r="IF31" s="279"/>
      <c r="IG31" s="279"/>
      <c r="IH31" s="279"/>
      <c r="II31" s="279"/>
      <c r="IJ31" s="279"/>
      <c r="IK31" s="279"/>
      <c r="IL31" s="279"/>
      <c r="IM31" s="279"/>
      <c r="IN31" s="279"/>
      <c r="IO31" s="279"/>
      <c r="IP31" s="279"/>
      <c r="IQ31" s="279"/>
      <c r="IR31" s="279"/>
      <c r="IS31" s="279"/>
      <c r="IT31" s="279"/>
      <c r="IU31" s="279"/>
      <c r="IV31" s="279"/>
      <c r="IW31" s="279"/>
      <c r="IX31" s="279"/>
      <c r="IY31" s="279"/>
      <c r="IZ31" s="279"/>
      <c r="JA31" s="279"/>
      <c r="JB31" s="279"/>
      <c r="JC31" s="279"/>
      <c r="JD31" s="279"/>
      <c r="JE31" s="279"/>
      <c r="JF31" s="279"/>
      <c r="JG31" s="279"/>
      <c r="JH31" s="279"/>
      <c r="JI31" s="279"/>
      <c r="JJ31" s="279"/>
      <c r="JK31" s="279"/>
      <c r="JL31" s="279"/>
      <c r="JM31" s="279"/>
      <c r="JN31" s="279"/>
      <c r="JO31" s="279"/>
      <c r="JP31" s="279"/>
      <c r="JQ31" s="279"/>
      <c r="JR31" s="279"/>
      <c r="JS31" s="279"/>
      <c r="JT31" s="279"/>
      <c r="JU31" s="279"/>
      <c r="JV31" s="279"/>
      <c r="JW31" s="279"/>
      <c r="JX31" s="279"/>
      <c r="JY31" s="279"/>
      <c r="JZ31" s="279"/>
      <c r="KA31" s="279"/>
      <c r="KB31" s="279"/>
      <c r="KC31" s="279"/>
      <c r="KD31" s="279"/>
      <c r="KE31" s="279"/>
      <c r="KF31" s="279"/>
      <c r="KG31" s="279"/>
      <c r="KH31" s="279"/>
      <c r="KI31" s="279"/>
      <c r="KJ31" s="279"/>
      <c r="KK31" s="279"/>
      <c r="KL31" s="279"/>
      <c r="KM31" s="279"/>
      <c r="KN31" s="279"/>
      <c r="KO31" s="279"/>
      <c r="KP31" s="279"/>
      <c r="KQ31" s="279"/>
      <c r="KR31" s="279"/>
      <c r="KS31" s="279"/>
      <c r="KT31" s="279"/>
      <c r="KU31" s="279"/>
      <c r="KV31" s="279"/>
      <c r="KW31" s="279"/>
      <c r="KX31" s="279"/>
      <c r="KY31" s="279"/>
      <c r="KZ31" s="279"/>
      <c r="LA31" s="279"/>
      <c r="LB31" s="279"/>
      <c r="LC31" s="279"/>
      <c r="LD31" s="279"/>
      <c r="LE31" s="279"/>
      <c r="LF31" s="279"/>
      <c r="LG31" s="279"/>
      <c r="LH31" s="279"/>
      <c r="LI31" s="279"/>
      <c r="LJ31" s="279"/>
      <c r="LK31" s="279"/>
      <c r="LL31" s="279"/>
      <c r="LM31" s="279"/>
      <c r="LN31" s="279"/>
      <c r="LO31" s="279"/>
      <c r="LP31" s="279"/>
      <c r="LQ31" s="279"/>
      <c r="LR31" s="279"/>
      <c r="LS31" s="279"/>
      <c r="LT31" s="279"/>
      <c r="LU31" s="279"/>
      <c r="LV31" s="279"/>
      <c r="LW31" s="279"/>
      <c r="LX31" s="279"/>
      <c r="LY31" s="279"/>
      <c r="LZ31" s="279"/>
      <c r="MA31" s="279"/>
      <c r="MB31" s="279"/>
      <c r="MC31" s="279"/>
      <c r="MD31" s="279"/>
      <c r="ME31" s="279"/>
      <c r="MF31" s="279"/>
      <c r="MG31" s="279"/>
      <c r="MH31" s="279"/>
      <c r="MI31" s="279"/>
      <c r="MJ31" s="279"/>
      <c r="MK31" s="279"/>
      <c r="ML31" s="279"/>
      <c r="MM31" s="279"/>
      <c r="MN31" s="279"/>
      <c r="MO31" s="279"/>
      <c r="MP31" s="279"/>
      <c r="MQ31" s="279"/>
      <c r="MR31" s="279"/>
      <c r="MS31" s="279"/>
      <c r="MT31" s="279"/>
      <c r="MU31" s="279"/>
      <c r="MV31" s="279"/>
      <c r="MW31" s="279"/>
      <c r="MX31" s="279"/>
      <c r="MY31" s="279"/>
      <c r="MZ31" s="279"/>
      <c r="NA31" s="279"/>
      <c r="NB31" s="279"/>
    </row>
    <row r="32" spans="1:366" ht="16" customHeight="1" x14ac:dyDescent="0.15">
      <c r="B32" s="71" t="s">
        <v>274</v>
      </c>
      <c r="C32" s="312" t="s">
        <v>150</v>
      </c>
      <c r="D32" s="369">
        <f>vacancy_allowance</f>
        <v>0.03</v>
      </c>
      <c r="E32"/>
      <c r="F32" s="37">
        <f>-F$29*IF(F$7&gt;='Assumptions_&amp;_Inputs'!$I$47,MAX($D$32,'Assumptions_&amp;_Inputs'!$I$65-'Assumptions_&amp;_Inputs'!$I$69*(F$7-'Assumptions_&amp;_Inputs'!$I$47)),$D$32)</f>
        <v>0</v>
      </c>
      <c r="G32" s="37">
        <f>-G$29*IF(G$7&gt;='Assumptions_&amp;_Inputs'!$I$47,MAX($D$32,'Assumptions_&amp;_Inputs'!$I$65-'Assumptions_&amp;_Inputs'!$I$69*(G$7-'Assumptions_&amp;_Inputs'!$I$47)),$D$32)</f>
        <v>-1102.7813999999998</v>
      </c>
      <c r="H32" s="37">
        <f>-H$29*IF(H$7&gt;='Assumptions_&amp;_Inputs'!$I$47,MAX($D$32,'Assumptions_&amp;_Inputs'!$I$65-'Assumptions_&amp;_Inputs'!$I$69*(H$7-'Assumptions_&amp;_Inputs'!$I$47)),$D$32)</f>
        <v>-1102.7813999999998</v>
      </c>
      <c r="I32" s="37">
        <f>-I$29*IF(I$7&gt;='Assumptions_&amp;_Inputs'!$I$47,MAX($D$32,'Assumptions_&amp;_Inputs'!$I$65-'Assumptions_&amp;_Inputs'!$I$69*(I$7-'Assumptions_&amp;_Inputs'!$I$47)),$D$32)</f>
        <v>-1102.7813999999998</v>
      </c>
      <c r="J32" s="37">
        <f>-J$29*IF(J$7&gt;='Assumptions_&amp;_Inputs'!$I$47,MAX($D$32,'Assumptions_&amp;_Inputs'!$I$65-'Assumptions_&amp;_Inputs'!$I$69*(J$7-'Assumptions_&amp;_Inputs'!$I$47)),$D$32)</f>
        <v>-1102.7813999999998</v>
      </c>
      <c r="K32" s="37">
        <f>-K$29*IF(K$7&gt;='Assumptions_&amp;_Inputs'!$I$47,MAX($D$32,'Assumptions_&amp;_Inputs'!$I$65-'Assumptions_&amp;_Inputs'!$I$69*(K$7-'Assumptions_&amp;_Inputs'!$I$47)),$D$32)</f>
        <v>-1102.7813999999998</v>
      </c>
      <c r="L32" s="37">
        <f>-L$29*IF(L$7&gt;='Assumptions_&amp;_Inputs'!$I$47,MAX($D$32,'Assumptions_&amp;_Inputs'!$I$65-'Assumptions_&amp;_Inputs'!$I$69*(L$7-'Assumptions_&amp;_Inputs'!$I$47)),$D$32)</f>
        <v>-1102.7813999999998</v>
      </c>
      <c r="M32" s="37">
        <f>-M$29*IF(M$7&gt;='Assumptions_&amp;_Inputs'!$I$47,MAX($D$32,'Assumptions_&amp;_Inputs'!$I$65-'Assumptions_&amp;_Inputs'!$I$69*(M$7-'Assumptions_&amp;_Inputs'!$I$47)),$D$32)</f>
        <v>-1102.7813999999998</v>
      </c>
      <c r="N32" s="37">
        <f>-N$29*IF(N$7&gt;='Assumptions_&amp;_Inputs'!$I$47,MAX($D$32,'Assumptions_&amp;_Inputs'!$I$65-'Assumptions_&amp;_Inputs'!$I$69*(N$7-'Assumptions_&amp;_Inputs'!$I$47)),$D$32)</f>
        <v>-1102.7813999999998</v>
      </c>
      <c r="O32" s="37">
        <f>-O$29*IF(O$7&gt;='Assumptions_&amp;_Inputs'!$I$47,MAX($D$32,'Assumptions_&amp;_Inputs'!$I$65-'Assumptions_&amp;_Inputs'!$I$69*(O$7-'Assumptions_&amp;_Inputs'!$I$47)),$D$32)</f>
        <v>-1158.6495000000002</v>
      </c>
      <c r="P32" s="37">
        <f>-P$29*IF(P$7&gt;='Assumptions_&amp;_Inputs'!$I$47,MAX($D$32,'Assumptions_&amp;_Inputs'!$I$65-'Assumptions_&amp;_Inputs'!$I$69*(P$7-'Assumptions_&amp;_Inputs'!$I$47)),$D$32)</f>
        <v>-1158.6495000000002</v>
      </c>
      <c r="Q32" s="37">
        <f>-Q$29*IF(Q$7&gt;='Assumptions_&amp;_Inputs'!$I$47,MAX($D$32,'Assumptions_&amp;_Inputs'!$I$65-'Assumptions_&amp;_Inputs'!$I$69*(Q$7-'Assumptions_&amp;_Inputs'!$I$47)),$D$32)</f>
        <v>-1158.6495000000002</v>
      </c>
      <c r="R32" s="37">
        <f>-R$29*IF(R$7&gt;='Assumptions_&amp;_Inputs'!$I$47,MAX($D$32,'Assumptions_&amp;_Inputs'!$I$65-'Assumptions_&amp;_Inputs'!$I$69*(R$7-'Assumptions_&amp;_Inputs'!$I$47)),$D$32)</f>
        <v>-1158.6495000000002</v>
      </c>
      <c r="S32" s="37">
        <f>-S$29*IF(S$7&gt;='Assumptions_&amp;_Inputs'!$I$47,MAX($D$32,'Assumptions_&amp;_Inputs'!$I$65-'Assumptions_&amp;_Inputs'!$I$69*(S$7-'Assumptions_&amp;_Inputs'!$I$47)),$D$32)</f>
        <v>-1187.6157375</v>
      </c>
      <c r="T32" s="37">
        <f>-T$29*IF(T$7&gt;='Assumptions_&amp;_Inputs'!$I$47,MAX($D$32,'Assumptions_&amp;_Inputs'!$I$65-'Assumptions_&amp;_Inputs'!$I$69*(T$7-'Assumptions_&amp;_Inputs'!$I$47)),$D$32)</f>
        <v>-1187.6157375</v>
      </c>
      <c r="U32" s="37">
        <f>-U$29*IF(U$7&gt;='Assumptions_&amp;_Inputs'!$I$47,MAX($D$32,'Assumptions_&amp;_Inputs'!$I$65-'Assumptions_&amp;_Inputs'!$I$69*(U$7-'Assumptions_&amp;_Inputs'!$I$47)),$D$32)</f>
        <v>-1187.6157375</v>
      </c>
      <c r="V32" s="37">
        <f>-V$29*IF(V$7&gt;='Assumptions_&amp;_Inputs'!$I$47,MAX($D$32,'Assumptions_&amp;_Inputs'!$I$65-'Assumptions_&amp;_Inputs'!$I$69*(V$7-'Assumptions_&amp;_Inputs'!$I$47)),$D$32)</f>
        <v>-1187.6157375</v>
      </c>
      <c r="W32" s="37">
        <f>-W$29*IF(W$7&gt;='Assumptions_&amp;_Inputs'!$I$47,MAX($D$32,'Assumptions_&amp;_Inputs'!$I$65-'Assumptions_&amp;_Inputs'!$I$69*(W$7-'Assumptions_&amp;_Inputs'!$I$47)),$D$32)</f>
        <v>-1187.6157375</v>
      </c>
      <c r="X32" s="37">
        <f>-X$29*IF(X$7&gt;='Assumptions_&amp;_Inputs'!$I$47,MAX($D$32,'Assumptions_&amp;_Inputs'!$I$65-'Assumptions_&amp;_Inputs'!$I$69*(X$7-'Assumptions_&amp;_Inputs'!$I$47)),$D$32)</f>
        <v>-1187.6157375</v>
      </c>
      <c r="Y32" s="37">
        <f>-Y$29*IF(Y$7&gt;='Assumptions_&amp;_Inputs'!$I$47,MAX($D$32,'Assumptions_&amp;_Inputs'!$I$65-'Assumptions_&amp;_Inputs'!$I$69*(Y$7-'Assumptions_&amp;_Inputs'!$I$47)),$D$32)</f>
        <v>-1187.6157375</v>
      </c>
      <c r="Z32" s="37">
        <f>-Z$29*IF(Z$7&gt;='Assumptions_&amp;_Inputs'!$I$47,MAX($D$32,'Assumptions_&amp;_Inputs'!$I$65-'Assumptions_&amp;_Inputs'!$I$69*(Z$7-'Assumptions_&amp;_Inputs'!$I$47)),$D$32)</f>
        <v>-1187.6157375</v>
      </c>
      <c r="AA32" s="37">
        <f>-AA$29*IF(AA$7&gt;='Assumptions_&amp;_Inputs'!$I$47,MAX($D$32,'Assumptions_&amp;_Inputs'!$I$65-'Assumptions_&amp;_Inputs'!$I$69*(AA$7-'Assumptions_&amp;_Inputs'!$I$47)),$D$32)</f>
        <v>-1187.6157375</v>
      </c>
      <c r="AB32" s="37">
        <f>-AB$29*IF(AB$7&gt;='Assumptions_&amp;_Inputs'!$I$47,MAX($D$32,'Assumptions_&amp;_Inputs'!$I$65-'Assumptions_&amp;_Inputs'!$I$69*(AB$7-'Assumptions_&amp;_Inputs'!$I$47)),$D$32)</f>
        <v>-1187.6157375</v>
      </c>
      <c r="AC32" s="37">
        <f>-AC$29*IF(AC$7&gt;='Assumptions_&amp;_Inputs'!$I$47,MAX($D$32,'Assumptions_&amp;_Inputs'!$I$65-'Assumptions_&amp;_Inputs'!$I$69*(AC$7-'Assumptions_&amp;_Inputs'!$I$47)),$D$32)</f>
        <v>-1187.6157375</v>
      </c>
      <c r="AD32" s="37">
        <f>-AD$29*IF(AD$7&gt;='Assumptions_&amp;_Inputs'!$I$47,MAX($D$32,'Assumptions_&amp;_Inputs'!$I$65-'Assumptions_&amp;_Inputs'!$I$69*(AD$7-'Assumptions_&amp;_Inputs'!$I$47)),$D$32)</f>
        <v>-1187.6157375</v>
      </c>
      <c r="AE32" s="37">
        <f>-AE$29*IF(AE$7&gt;='Assumptions_&amp;_Inputs'!$I$47,MAX($D$32,'Assumptions_&amp;_Inputs'!$I$65-'Assumptions_&amp;_Inputs'!$I$69*(AE$7-'Assumptions_&amp;_Inputs'!$I$47)),$D$32)</f>
        <v>-1217.3061309374998</v>
      </c>
      <c r="AF32" s="37">
        <f>-AF$29*IF(AF$7&gt;='Assumptions_&amp;_Inputs'!$I$47,MAX($D$32,'Assumptions_&amp;_Inputs'!$I$65-'Assumptions_&amp;_Inputs'!$I$69*(AF$7-'Assumptions_&amp;_Inputs'!$I$47)),$D$32)</f>
        <v>-1217.3061309374998</v>
      </c>
      <c r="AG32" s="37">
        <f>-AG$29*IF(AG$7&gt;='Assumptions_&amp;_Inputs'!$I$47,MAX($D$32,'Assumptions_&amp;_Inputs'!$I$65-'Assumptions_&amp;_Inputs'!$I$69*(AG$7-'Assumptions_&amp;_Inputs'!$I$47)),$D$32)</f>
        <v>-1217.3061309374998</v>
      </c>
      <c r="AH32" s="37">
        <f>-AH$29*IF(AH$7&gt;='Assumptions_&amp;_Inputs'!$I$47,MAX($D$32,'Assumptions_&amp;_Inputs'!$I$65-'Assumptions_&amp;_Inputs'!$I$69*(AH$7-'Assumptions_&amp;_Inputs'!$I$47)),$D$32)</f>
        <v>-1217.3061309374998</v>
      </c>
      <c r="AI32" s="37">
        <f>-AI$29*IF(AI$7&gt;='Assumptions_&amp;_Inputs'!$I$47,MAX($D$32,'Assumptions_&amp;_Inputs'!$I$65-'Assumptions_&amp;_Inputs'!$I$69*(AI$7-'Assumptions_&amp;_Inputs'!$I$47)),$D$32)</f>
        <v>-1217.3061309374998</v>
      </c>
      <c r="AJ32" s="37">
        <f>-AJ$29*IF(AJ$7&gt;='Assumptions_&amp;_Inputs'!$I$47,MAX($D$32,'Assumptions_&amp;_Inputs'!$I$65-'Assumptions_&amp;_Inputs'!$I$69*(AJ$7-'Assumptions_&amp;_Inputs'!$I$47)),$D$32)</f>
        <v>-1217.3061309374998</v>
      </c>
      <c r="AK32" s="37">
        <f>-AK$29*IF(AK$7&gt;='Assumptions_&amp;_Inputs'!$I$47,MAX($D$32,'Assumptions_&amp;_Inputs'!$I$65-'Assumptions_&amp;_Inputs'!$I$69*(AK$7-'Assumptions_&amp;_Inputs'!$I$47)),$D$32)</f>
        <v>-1217.3061309374998</v>
      </c>
      <c r="AL32" s="37">
        <f>-AL$29*IF(AL$7&gt;='Assumptions_&amp;_Inputs'!$I$47,MAX($D$32,'Assumptions_&amp;_Inputs'!$I$65-'Assumptions_&amp;_Inputs'!$I$69*(AL$7-'Assumptions_&amp;_Inputs'!$I$47)),$D$32)</f>
        <v>-1217.3061309374998</v>
      </c>
      <c r="AM32" s="37">
        <f>-AM$29*IF(AM$7&gt;='Assumptions_&amp;_Inputs'!$I$47,MAX($D$32,'Assumptions_&amp;_Inputs'!$I$65-'Assumptions_&amp;_Inputs'!$I$69*(AM$7-'Assumptions_&amp;_Inputs'!$I$47)),$D$32)</f>
        <v>-1217.3061309374998</v>
      </c>
      <c r="AN32" s="37">
        <f>-AN$29*IF(AN$7&gt;='Assumptions_&amp;_Inputs'!$I$47,MAX($D$32,'Assumptions_&amp;_Inputs'!$I$65-'Assumptions_&amp;_Inputs'!$I$69*(AN$7-'Assumptions_&amp;_Inputs'!$I$47)),$D$32)</f>
        <v>-1217.3061309374998</v>
      </c>
      <c r="AO32" s="37">
        <f>-AO$29*IF(AO$7&gt;='Assumptions_&amp;_Inputs'!$I$47,MAX($D$32,'Assumptions_&amp;_Inputs'!$I$65-'Assumptions_&amp;_Inputs'!$I$69*(AO$7-'Assumptions_&amp;_Inputs'!$I$47)),$D$32)</f>
        <v>-1217.3061309374998</v>
      </c>
      <c r="AP32" s="37">
        <f>-AP$29*IF(AP$7&gt;='Assumptions_&amp;_Inputs'!$I$47,MAX($D$32,'Assumptions_&amp;_Inputs'!$I$65-'Assumptions_&amp;_Inputs'!$I$69*(AP$7-'Assumptions_&amp;_Inputs'!$I$47)),$D$32)</f>
        <v>-1217.3061309374998</v>
      </c>
      <c r="AQ32" s="37">
        <f>-AQ$29*IF(AQ$7&gt;='Assumptions_&amp;_Inputs'!$I$47,MAX($D$32,'Assumptions_&amp;_Inputs'!$I$65-'Assumptions_&amp;_Inputs'!$I$69*(AQ$7-'Assumptions_&amp;_Inputs'!$I$47)),$D$32)</f>
        <v>-1247.7387842109372</v>
      </c>
      <c r="AR32" s="37">
        <f>-AR$29*IF(AR$7&gt;='Assumptions_&amp;_Inputs'!$I$47,MAX($D$32,'Assumptions_&amp;_Inputs'!$I$65-'Assumptions_&amp;_Inputs'!$I$69*(AR$7-'Assumptions_&amp;_Inputs'!$I$47)),$D$32)</f>
        <v>-1247.7387842109372</v>
      </c>
      <c r="AS32" s="37">
        <f>-AS$29*IF(AS$7&gt;='Assumptions_&amp;_Inputs'!$I$47,MAX($D$32,'Assumptions_&amp;_Inputs'!$I$65-'Assumptions_&amp;_Inputs'!$I$69*(AS$7-'Assumptions_&amp;_Inputs'!$I$47)),$D$32)</f>
        <v>-1247.7387842109372</v>
      </c>
      <c r="AT32" s="37">
        <f>-AT$29*IF(AT$7&gt;='Assumptions_&amp;_Inputs'!$I$47,MAX($D$32,'Assumptions_&amp;_Inputs'!$I$65-'Assumptions_&amp;_Inputs'!$I$69*(AT$7-'Assumptions_&amp;_Inputs'!$I$47)),$D$32)</f>
        <v>-1247.7387842109372</v>
      </c>
      <c r="AU32" s="37">
        <f>-AU$29*IF(AU$7&gt;='Assumptions_&amp;_Inputs'!$I$47,MAX($D$32,'Assumptions_&amp;_Inputs'!$I$65-'Assumptions_&amp;_Inputs'!$I$69*(AU$7-'Assumptions_&amp;_Inputs'!$I$47)),$D$32)</f>
        <v>-1247.7387842109372</v>
      </c>
      <c r="AV32" s="37">
        <f>-AV$29*IF(AV$7&gt;='Assumptions_&amp;_Inputs'!$I$47,MAX($D$32,'Assumptions_&amp;_Inputs'!$I$65-'Assumptions_&amp;_Inputs'!$I$69*(AV$7-'Assumptions_&amp;_Inputs'!$I$47)),$D$32)</f>
        <v>-1247.7387842109372</v>
      </c>
      <c r="AW32" s="37">
        <f>-AW$29*IF(AW$7&gt;='Assumptions_&amp;_Inputs'!$I$47,MAX($D$32,'Assumptions_&amp;_Inputs'!$I$65-'Assumptions_&amp;_Inputs'!$I$69*(AW$7-'Assumptions_&amp;_Inputs'!$I$47)),$D$32)</f>
        <v>-1247.7387842109372</v>
      </c>
      <c r="AX32" s="37">
        <f>-AX$29*IF(AX$7&gt;='Assumptions_&amp;_Inputs'!$I$47,MAX($D$32,'Assumptions_&amp;_Inputs'!$I$65-'Assumptions_&amp;_Inputs'!$I$69*(AX$7-'Assumptions_&amp;_Inputs'!$I$47)),$D$32)</f>
        <v>-1247.7387842109372</v>
      </c>
      <c r="AY32" s="37">
        <f>-AY$29*IF(AY$7&gt;='Assumptions_&amp;_Inputs'!$I$47,MAX($D$32,'Assumptions_&amp;_Inputs'!$I$65-'Assumptions_&amp;_Inputs'!$I$69*(AY$7-'Assumptions_&amp;_Inputs'!$I$47)),$D$32)</f>
        <v>-1247.7387842109372</v>
      </c>
      <c r="AZ32" s="37">
        <f>-AZ$29*IF(AZ$7&gt;='Assumptions_&amp;_Inputs'!$I$47,MAX($D$32,'Assumptions_&amp;_Inputs'!$I$65-'Assumptions_&amp;_Inputs'!$I$69*(AZ$7-'Assumptions_&amp;_Inputs'!$I$47)),$D$32)</f>
        <v>-1247.7387842109372</v>
      </c>
      <c r="BA32" s="37">
        <f>-BA$29*IF(BA$7&gt;='Assumptions_&amp;_Inputs'!$I$47,MAX($D$32,'Assumptions_&amp;_Inputs'!$I$65-'Assumptions_&amp;_Inputs'!$I$69*(BA$7-'Assumptions_&amp;_Inputs'!$I$47)),$D$32)</f>
        <v>-1247.7387842109372</v>
      </c>
      <c r="BB32" s="37">
        <f>-BB$29*IF(BB$7&gt;='Assumptions_&amp;_Inputs'!$I$47,MAX($D$32,'Assumptions_&amp;_Inputs'!$I$65-'Assumptions_&amp;_Inputs'!$I$69*(BB$7-'Assumptions_&amp;_Inputs'!$I$47)),$D$32)</f>
        <v>-1247.7387842109372</v>
      </c>
      <c r="BC32" s="37">
        <f>-BC$29*IF(BC$7&gt;='Assumptions_&amp;_Inputs'!$I$47,MAX($D$32,'Assumptions_&amp;_Inputs'!$I$65-'Assumptions_&amp;_Inputs'!$I$69*(BC$7-'Assumptions_&amp;_Inputs'!$I$47)),$D$32)</f>
        <v>-1278.9322538162105</v>
      </c>
      <c r="BD32" s="37">
        <f>-BD$29*IF(BD$7&gt;='Assumptions_&amp;_Inputs'!$I$47,MAX($D$32,'Assumptions_&amp;_Inputs'!$I$65-'Assumptions_&amp;_Inputs'!$I$69*(BD$7-'Assumptions_&amp;_Inputs'!$I$47)),$D$32)</f>
        <v>-1278.9322538162105</v>
      </c>
      <c r="BE32" s="37">
        <f>-BE$29*IF(BE$7&gt;='Assumptions_&amp;_Inputs'!$I$47,MAX($D$32,'Assumptions_&amp;_Inputs'!$I$65-'Assumptions_&amp;_Inputs'!$I$69*(BE$7-'Assumptions_&amp;_Inputs'!$I$47)),$D$32)</f>
        <v>-1278.9322538162105</v>
      </c>
      <c r="BF32" s="37">
        <f>-BF$29*IF(BF$7&gt;='Assumptions_&amp;_Inputs'!$I$47,MAX($D$32,'Assumptions_&amp;_Inputs'!$I$65-'Assumptions_&amp;_Inputs'!$I$69*(BF$7-'Assumptions_&amp;_Inputs'!$I$47)),$D$32)</f>
        <v>-1278.9322538162105</v>
      </c>
      <c r="BG32" s="37">
        <f>-BG$29*IF(BG$7&gt;='Assumptions_&amp;_Inputs'!$I$47,MAX($D$32,'Assumptions_&amp;_Inputs'!$I$65-'Assumptions_&amp;_Inputs'!$I$69*(BG$7-'Assumptions_&amp;_Inputs'!$I$47)),$D$32)</f>
        <v>-1278.9322538162105</v>
      </c>
      <c r="BH32" s="37">
        <f>-BH$29*IF(BH$7&gt;='Assumptions_&amp;_Inputs'!$I$47,MAX($D$32,'Assumptions_&amp;_Inputs'!$I$65-'Assumptions_&amp;_Inputs'!$I$69*(BH$7-'Assumptions_&amp;_Inputs'!$I$47)),$D$32)</f>
        <v>-1278.9322538162105</v>
      </c>
      <c r="BI32" s="37">
        <f>-BI$29*IF(BI$7&gt;='Assumptions_&amp;_Inputs'!$I$47,MAX($D$32,'Assumptions_&amp;_Inputs'!$I$65-'Assumptions_&amp;_Inputs'!$I$69*(BI$7-'Assumptions_&amp;_Inputs'!$I$47)),$D$32)</f>
        <v>-1278.9322538162105</v>
      </c>
      <c r="BJ32" s="37">
        <f>-BJ$29*IF(BJ$7&gt;='Assumptions_&amp;_Inputs'!$I$47,MAX($D$32,'Assumptions_&amp;_Inputs'!$I$65-'Assumptions_&amp;_Inputs'!$I$69*(BJ$7-'Assumptions_&amp;_Inputs'!$I$47)),$D$32)</f>
        <v>-1278.9322538162105</v>
      </c>
      <c r="BK32" s="37">
        <f>-BK$29*IF(BK$7&gt;='Assumptions_&amp;_Inputs'!$I$47,MAX($D$32,'Assumptions_&amp;_Inputs'!$I$65-'Assumptions_&amp;_Inputs'!$I$69*(BK$7-'Assumptions_&amp;_Inputs'!$I$47)),$D$32)</f>
        <v>-1278.9322538162105</v>
      </c>
      <c r="BL32" s="37">
        <f>-BL$29*IF(BL$7&gt;='Assumptions_&amp;_Inputs'!$I$47,MAX($D$32,'Assumptions_&amp;_Inputs'!$I$65-'Assumptions_&amp;_Inputs'!$I$69*(BL$7-'Assumptions_&amp;_Inputs'!$I$47)),$D$32)</f>
        <v>-1278.9322538162105</v>
      </c>
      <c r="BM32" s="37">
        <f>-BM$29*IF(BM$7&gt;='Assumptions_&amp;_Inputs'!$I$47,MAX($D$32,'Assumptions_&amp;_Inputs'!$I$65-'Assumptions_&amp;_Inputs'!$I$69*(BM$7-'Assumptions_&amp;_Inputs'!$I$47)),$D$32)</f>
        <v>-1278.9322538162105</v>
      </c>
      <c r="BN32" s="37">
        <f>-BN$29*IF(BN$7&gt;='Assumptions_&amp;_Inputs'!$I$47,MAX($D$32,'Assumptions_&amp;_Inputs'!$I$65-'Assumptions_&amp;_Inputs'!$I$69*(BN$7-'Assumptions_&amp;_Inputs'!$I$47)),$D$32)</f>
        <v>-1278.9322538162105</v>
      </c>
      <c r="BO32" s="37">
        <f>-BO$29*IF(BO$7&gt;='Assumptions_&amp;_Inputs'!$I$47,MAX($D$32,'Assumptions_&amp;_Inputs'!$I$65-'Assumptions_&amp;_Inputs'!$I$69*(BO$7-'Assumptions_&amp;_Inputs'!$I$47)),$D$32)</f>
        <v>-1310.9055601616158</v>
      </c>
      <c r="BP32" s="37">
        <f>-BP$29*IF(BP$7&gt;='Assumptions_&amp;_Inputs'!$I$47,MAX($D$32,'Assumptions_&amp;_Inputs'!$I$65-'Assumptions_&amp;_Inputs'!$I$69*(BP$7-'Assumptions_&amp;_Inputs'!$I$47)),$D$32)</f>
        <v>-1310.9055601616158</v>
      </c>
      <c r="BQ32" s="37">
        <f>-BQ$29*IF(BQ$7&gt;='Assumptions_&amp;_Inputs'!$I$47,MAX($D$32,'Assumptions_&amp;_Inputs'!$I$65-'Assumptions_&amp;_Inputs'!$I$69*(BQ$7-'Assumptions_&amp;_Inputs'!$I$47)),$D$32)</f>
        <v>-1310.9055601616158</v>
      </c>
      <c r="BR32" s="37">
        <f>-BR$29*IF(BR$7&gt;='Assumptions_&amp;_Inputs'!$I$47,MAX($D$32,'Assumptions_&amp;_Inputs'!$I$65-'Assumptions_&amp;_Inputs'!$I$69*(BR$7-'Assumptions_&amp;_Inputs'!$I$47)),$D$32)</f>
        <v>-1310.9055601616158</v>
      </c>
      <c r="BS32" s="37">
        <f>-BS$29*IF(BS$7&gt;='Assumptions_&amp;_Inputs'!$I$47,MAX($D$32,'Assumptions_&amp;_Inputs'!$I$65-'Assumptions_&amp;_Inputs'!$I$69*(BS$7-'Assumptions_&amp;_Inputs'!$I$47)),$D$32)</f>
        <v>-1310.9055601616158</v>
      </c>
      <c r="BT32" s="37">
        <f>-BT$29*IF(BT$7&gt;='Assumptions_&amp;_Inputs'!$I$47,MAX($D$32,'Assumptions_&amp;_Inputs'!$I$65-'Assumptions_&amp;_Inputs'!$I$69*(BT$7-'Assumptions_&amp;_Inputs'!$I$47)),$D$32)</f>
        <v>-1310.9055601616158</v>
      </c>
      <c r="BU32" s="37">
        <f>-BU$29*IF(BU$7&gt;='Assumptions_&amp;_Inputs'!$I$47,MAX($D$32,'Assumptions_&amp;_Inputs'!$I$65-'Assumptions_&amp;_Inputs'!$I$69*(BU$7-'Assumptions_&amp;_Inputs'!$I$47)),$D$32)</f>
        <v>-1310.9055601616158</v>
      </c>
      <c r="BV32" s="37">
        <f>-BV$29*IF(BV$7&gt;='Assumptions_&amp;_Inputs'!$I$47,MAX($D$32,'Assumptions_&amp;_Inputs'!$I$65-'Assumptions_&amp;_Inputs'!$I$69*(BV$7-'Assumptions_&amp;_Inputs'!$I$47)),$D$32)</f>
        <v>-1310.9055601616158</v>
      </c>
      <c r="BW32" s="37">
        <f>-BW$29*IF(BW$7&gt;='Assumptions_&amp;_Inputs'!$I$47,MAX($D$32,'Assumptions_&amp;_Inputs'!$I$65-'Assumptions_&amp;_Inputs'!$I$69*(BW$7-'Assumptions_&amp;_Inputs'!$I$47)),$D$32)</f>
        <v>-1310.9055601616158</v>
      </c>
      <c r="BX32" s="37">
        <f>-BX$29*IF(BX$7&gt;='Assumptions_&amp;_Inputs'!$I$47,MAX($D$32,'Assumptions_&amp;_Inputs'!$I$65-'Assumptions_&amp;_Inputs'!$I$69*(BX$7-'Assumptions_&amp;_Inputs'!$I$47)),$D$32)</f>
        <v>-1310.9055601616158</v>
      </c>
      <c r="BY32" s="37">
        <f>-BY$29*IF(BY$7&gt;='Assumptions_&amp;_Inputs'!$I$47,MAX($D$32,'Assumptions_&amp;_Inputs'!$I$65-'Assumptions_&amp;_Inputs'!$I$69*(BY$7-'Assumptions_&amp;_Inputs'!$I$47)),$D$32)</f>
        <v>-1310.9055601616158</v>
      </c>
      <c r="BZ32" s="37">
        <f>-BZ$29*IF(BZ$7&gt;='Assumptions_&amp;_Inputs'!$I$47,MAX($D$32,'Assumptions_&amp;_Inputs'!$I$65-'Assumptions_&amp;_Inputs'!$I$69*(BZ$7-'Assumptions_&amp;_Inputs'!$I$47)),$D$32)</f>
        <v>-1310.9055601616158</v>
      </c>
      <c r="CA32" s="37">
        <f>-CA$29*IF(CA$7&gt;='Assumptions_&amp;_Inputs'!$I$47,MAX($D$32,'Assumptions_&amp;_Inputs'!$I$65-'Assumptions_&amp;_Inputs'!$I$69*(CA$7-'Assumptions_&amp;_Inputs'!$I$47)),$D$32)</f>
        <v>-1343.6781991656558</v>
      </c>
      <c r="CB32" s="37">
        <f>-CB$29*IF(CB$7&gt;='Assumptions_&amp;_Inputs'!$I$47,MAX($D$32,'Assumptions_&amp;_Inputs'!$I$65-'Assumptions_&amp;_Inputs'!$I$69*(CB$7-'Assumptions_&amp;_Inputs'!$I$47)),$D$32)</f>
        <v>-1343.6781991656558</v>
      </c>
      <c r="CC32" s="37">
        <f>-CC$29*IF(CC$7&gt;='Assumptions_&amp;_Inputs'!$I$47,MAX($D$32,'Assumptions_&amp;_Inputs'!$I$65-'Assumptions_&amp;_Inputs'!$I$69*(CC$7-'Assumptions_&amp;_Inputs'!$I$47)),$D$32)</f>
        <v>-1343.6781991656558</v>
      </c>
      <c r="CD32" s="37">
        <f>-CD$29*IF(CD$7&gt;='Assumptions_&amp;_Inputs'!$I$47,MAX($D$32,'Assumptions_&amp;_Inputs'!$I$65-'Assumptions_&amp;_Inputs'!$I$69*(CD$7-'Assumptions_&amp;_Inputs'!$I$47)),$D$32)</f>
        <v>-1343.6781991656558</v>
      </c>
      <c r="CE32" s="37">
        <f>-CE$29*IF(CE$7&gt;='Assumptions_&amp;_Inputs'!$I$47,MAX($D$32,'Assumptions_&amp;_Inputs'!$I$65-'Assumptions_&amp;_Inputs'!$I$69*(CE$7-'Assumptions_&amp;_Inputs'!$I$47)),$D$32)</f>
        <v>-1343.6781991656558</v>
      </c>
      <c r="CF32" s="37">
        <f>-CF$29*IF(CF$7&gt;='Assumptions_&amp;_Inputs'!$I$47,MAX($D$32,'Assumptions_&amp;_Inputs'!$I$65-'Assumptions_&amp;_Inputs'!$I$69*(CF$7-'Assumptions_&amp;_Inputs'!$I$47)),$D$32)</f>
        <v>-1343.6781991656558</v>
      </c>
      <c r="CG32" s="37">
        <f>-CG$29*IF(CG$7&gt;='Assumptions_&amp;_Inputs'!$I$47,MAX($D$32,'Assumptions_&amp;_Inputs'!$I$65-'Assumptions_&amp;_Inputs'!$I$69*(CG$7-'Assumptions_&amp;_Inputs'!$I$47)),$D$32)</f>
        <v>-1343.6781991656558</v>
      </c>
      <c r="CH32" s="37">
        <f>-CH$29*IF(CH$7&gt;='Assumptions_&amp;_Inputs'!$I$47,MAX($D$32,'Assumptions_&amp;_Inputs'!$I$65-'Assumptions_&amp;_Inputs'!$I$69*(CH$7-'Assumptions_&amp;_Inputs'!$I$47)),$D$32)</f>
        <v>-1343.6781991656558</v>
      </c>
      <c r="CI32" s="37">
        <f>-CI$29*IF(CI$7&gt;='Assumptions_&amp;_Inputs'!$I$47,MAX($D$32,'Assumptions_&amp;_Inputs'!$I$65-'Assumptions_&amp;_Inputs'!$I$69*(CI$7-'Assumptions_&amp;_Inputs'!$I$47)),$D$32)</f>
        <v>-1343.6781991656558</v>
      </c>
      <c r="CJ32" s="37">
        <f>-CJ$29*IF(CJ$7&gt;='Assumptions_&amp;_Inputs'!$I$47,MAX($D$32,'Assumptions_&amp;_Inputs'!$I$65-'Assumptions_&amp;_Inputs'!$I$69*(CJ$7-'Assumptions_&amp;_Inputs'!$I$47)),$D$32)</f>
        <v>-1343.6781991656558</v>
      </c>
      <c r="CK32" s="37">
        <f>-CK$29*IF(CK$7&gt;='Assumptions_&amp;_Inputs'!$I$47,MAX($D$32,'Assumptions_&amp;_Inputs'!$I$65-'Assumptions_&amp;_Inputs'!$I$69*(CK$7-'Assumptions_&amp;_Inputs'!$I$47)),$D$32)</f>
        <v>-1343.6781991656558</v>
      </c>
      <c r="CL32" s="37">
        <f>-CL$29*IF(CL$7&gt;='Assumptions_&amp;_Inputs'!$I$47,MAX($D$32,'Assumptions_&amp;_Inputs'!$I$65-'Assumptions_&amp;_Inputs'!$I$69*(CL$7-'Assumptions_&amp;_Inputs'!$I$47)),$D$32)</f>
        <v>-1343.6781991656558</v>
      </c>
      <c r="CM32" s="37">
        <f>-CM$29*IF(CM$7&gt;='Assumptions_&amp;_Inputs'!$I$47,MAX($D$32,'Assumptions_&amp;_Inputs'!$I$65-'Assumptions_&amp;_Inputs'!$I$69*(CM$7-'Assumptions_&amp;_Inputs'!$I$47)),$D$32)</f>
        <v>-1377.2701541447971</v>
      </c>
      <c r="CN32" s="37">
        <f>-CN$29*IF(CN$7&gt;='Assumptions_&amp;_Inputs'!$I$47,MAX($D$32,'Assumptions_&amp;_Inputs'!$I$65-'Assumptions_&amp;_Inputs'!$I$69*(CN$7-'Assumptions_&amp;_Inputs'!$I$47)),$D$32)</f>
        <v>-1377.2701541447971</v>
      </c>
      <c r="CO32" s="37">
        <f>-CO$29*IF(CO$7&gt;='Assumptions_&amp;_Inputs'!$I$47,MAX($D$32,'Assumptions_&amp;_Inputs'!$I$65-'Assumptions_&amp;_Inputs'!$I$69*(CO$7-'Assumptions_&amp;_Inputs'!$I$47)),$D$32)</f>
        <v>-1377.2701541447971</v>
      </c>
      <c r="CP32" s="37">
        <f>-CP$29*IF(CP$7&gt;='Assumptions_&amp;_Inputs'!$I$47,MAX($D$32,'Assumptions_&amp;_Inputs'!$I$65-'Assumptions_&amp;_Inputs'!$I$69*(CP$7-'Assumptions_&amp;_Inputs'!$I$47)),$D$32)</f>
        <v>-1377.2701541447971</v>
      </c>
      <c r="CQ32" s="37">
        <f>-CQ$29*IF(CQ$7&gt;='Assumptions_&amp;_Inputs'!$I$47,MAX($D$32,'Assumptions_&amp;_Inputs'!$I$65-'Assumptions_&amp;_Inputs'!$I$69*(CQ$7-'Assumptions_&amp;_Inputs'!$I$47)),$D$32)</f>
        <v>-1377.2701541447971</v>
      </c>
      <c r="CR32" s="37">
        <f>-CR$29*IF(CR$7&gt;='Assumptions_&amp;_Inputs'!$I$47,MAX($D$32,'Assumptions_&amp;_Inputs'!$I$65-'Assumptions_&amp;_Inputs'!$I$69*(CR$7-'Assumptions_&amp;_Inputs'!$I$47)),$D$32)</f>
        <v>-1377.2701541447971</v>
      </c>
      <c r="CS32" s="37">
        <f>-CS$29*IF(CS$7&gt;='Assumptions_&amp;_Inputs'!$I$47,MAX($D$32,'Assumptions_&amp;_Inputs'!$I$65-'Assumptions_&amp;_Inputs'!$I$69*(CS$7-'Assumptions_&amp;_Inputs'!$I$47)),$D$32)</f>
        <v>-1377.2701541447971</v>
      </c>
      <c r="CT32" s="37">
        <f>-CT$29*IF(CT$7&gt;='Assumptions_&amp;_Inputs'!$I$47,MAX($D$32,'Assumptions_&amp;_Inputs'!$I$65-'Assumptions_&amp;_Inputs'!$I$69*(CT$7-'Assumptions_&amp;_Inputs'!$I$47)),$D$32)</f>
        <v>-1377.2701541447971</v>
      </c>
      <c r="CU32" s="37">
        <f>-CU$29*IF(CU$7&gt;='Assumptions_&amp;_Inputs'!$I$47,MAX($D$32,'Assumptions_&amp;_Inputs'!$I$65-'Assumptions_&amp;_Inputs'!$I$69*(CU$7-'Assumptions_&amp;_Inputs'!$I$47)),$D$32)</f>
        <v>-1377.2701541447971</v>
      </c>
      <c r="CV32" s="37">
        <f>-CV$29*IF(CV$7&gt;='Assumptions_&amp;_Inputs'!$I$47,MAX($D$32,'Assumptions_&amp;_Inputs'!$I$65-'Assumptions_&amp;_Inputs'!$I$69*(CV$7-'Assumptions_&amp;_Inputs'!$I$47)),$D$32)</f>
        <v>-1377.2701541447971</v>
      </c>
      <c r="CW32" s="37">
        <f>-CW$29*IF(CW$7&gt;='Assumptions_&amp;_Inputs'!$I$47,MAX($D$32,'Assumptions_&amp;_Inputs'!$I$65-'Assumptions_&amp;_Inputs'!$I$69*(CW$7-'Assumptions_&amp;_Inputs'!$I$47)),$D$32)</f>
        <v>-1377.2701541447971</v>
      </c>
      <c r="CX32" s="37">
        <f>-CX$29*IF(CX$7&gt;='Assumptions_&amp;_Inputs'!$I$47,MAX($D$32,'Assumptions_&amp;_Inputs'!$I$65-'Assumptions_&amp;_Inputs'!$I$69*(CX$7-'Assumptions_&amp;_Inputs'!$I$47)),$D$32)</f>
        <v>-1377.2701541447971</v>
      </c>
      <c r="CY32" s="37">
        <f>-CY$29*IF(CY$7&gt;='Assumptions_&amp;_Inputs'!$I$47,MAX($D$32,'Assumptions_&amp;_Inputs'!$I$65-'Assumptions_&amp;_Inputs'!$I$69*(CY$7-'Assumptions_&amp;_Inputs'!$I$47)),$D$32)</f>
        <v>-1411.701907998417</v>
      </c>
      <c r="CZ32" s="37">
        <f>-CZ$29*IF(CZ$7&gt;='Assumptions_&amp;_Inputs'!$I$47,MAX($D$32,'Assumptions_&amp;_Inputs'!$I$65-'Assumptions_&amp;_Inputs'!$I$69*(CZ$7-'Assumptions_&amp;_Inputs'!$I$47)),$D$32)</f>
        <v>-1411.701907998417</v>
      </c>
      <c r="DA32" s="37">
        <f>-DA$29*IF(DA$7&gt;='Assumptions_&amp;_Inputs'!$I$47,MAX($D$32,'Assumptions_&amp;_Inputs'!$I$65-'Assumptions_&amp;_Inputs'!$I$69*(DA$7-'Assumptions_&amp;_Inputs'!$I$47)),$D$32)</f>
        <v>-1411.701907998417</v>
      </c>
      <c r="DB32" s="37">
        <f>-DB$29*IF(DB$7&gt;='Assumptions_&amp;_Inputs'!$I$47,MAX($D$32,'Assumptions_&amp;_Inputs'!$I$65-'Assumptions_&amp;_Inputs'!$I$69*(DB$7-'Assumptions_&amp;_Inputs'!$I$47)),$D$32)</f>
        <v>-1411.701907998417</v>
      </c>
      <c r="DC32" s="37">
        <f>-DC$29*IF(DC$7&gt;='Assumptions_&amp;_Inputs'!$I$47,MAX($D$32,'Assumptions_&amp;_Inputs'!$I$65-'Assumptions_&amp;_Inputs'!$I$69*(DC$7-'Assumptions_&amp;_Inputs'!$I$47)),$D$32)</f>
        <v>-1411.701907998417</v>
      </c>
      <c r="DD32" s="37">
        <f>-DD$29*IF(DD$7&gt;='Assumptions_&amp;_Inputs'!$I$47,MAX($D$32,'Assumptions_&amp;_Inputs'!$I$65-'Assumptions_&amp;_Inputs'!$I$69*(DD$7-'Assumptions_&amp;_Inputs'!$I$47)),$D$32)</f>
        <v>-1411.701907998417</v>
      </c>
      <c r="DE32" s="37">
        <f>-DE$29*IF(DE$7&gt;='Assumptions_&amp;_Inputs'!$I$47,MAX($D$32,'Assumptions_&amp;_Inputs'!$I$65-'Assumptions_&amp;_Inputs'!$I$69*(DE$7-'Assumptions_&amp;_Inputs'!$I$47)),$D$32)</f>
        <v>-1411.701907998417</v>
      </c>
      <c r="DF32" s="37">
        <f>-DF$29*IF(DF$7&gt;='Assumptions_&amp;_Inputs'!$I$47,MAX($D$32,'Assumptions_&amp;_Inputs'!$I$65-'Assumptions_&amp;_Inputs'!$I$69*(DF$7-'Assumptions_&amp;_Inputs'!$I$47)),$D$32)</f>
        <v>-1411.701907998417</v>
      </c>
      <c r="DG32" s="37">
        <f>-DG$29*IF(DG$7&gt;='Assumptions_&amp;_Inputs'!$I$47,MAX($D$32,'Assumptions_&amp;_Inputs'!$I$65-'Assumptions_&amp;_Inputs'!$I$69*(DG$7-'Assumptions_&amp;_Inputs'!$I$47)),$D$32)</f>
        <v>-1411.701907998417</v>
      </c>
      <c r="DH32" s="37">
        <f>-DH$29*IF(DH$7&gt;='Assumptions_&amp;_Inputs'!$I$47,MAX($D$32,'Assumptions_&amp;_Inputs'!$I$65-'Assumptions_&amp;_Inputs'!$I$69*(DH$7-'Assumptions_&amp;_Inputs'!$I$47)),$D$32)</f>
        <v>-1411.701907998417</v>
      </c>
      <c r="DI32" s="37">
        <f>-DI$29*IF(DI$7&gt;='Assumptions_&amp;_Inputs'!$I$47,MAX($D$32,'Assumptions_&amp;_Inputs'!$I$65-'Assumptions_&amp;_Inputs'!$I$69*(DI$7-'Assumptions_&amp;_Inputs'!$I$47)),$D$32)</f>
        <v>-1411.701907998417</v>
      </c>
      <c r="DJ32" s="37">
        <f>-DJ$29*IF(DJ$7&gt;='Assumptions_&amp;_Inputs'!$I$47,MAX($D$32,'Assumptions_&amp;_Inputs'!$I$65-'Assumptions_&amp;_Inputs'!$I$69*(DJ$7-'Assumptions_&amp;_Inputs'!$I$47)),$D$32)</f>
        <v>-1411.701907998417</v>
      </c>
      <c r="DK32" s="37">
        <f>-DK$29*IF(DK$7&gt;='Assumptions_&amp;_Inputs'!$I$47,MAX($D$32,'Assumptions_&amp;_Inputs'!$I$65-'Assumptions_&amp;_Inputs'!$I$69*(DK$7-'Assumptions_&amp;_Inputs'!$I$47)),$D$32)</f>
        <v>-1446.9944556983771</v>
      </c>
      <c r="DL32" s="37">
        <f>-DL$29*IF(DL$7&gt;='Assumptions_&amp;_Inputs'!$I$47,MAX($D$32,'Assumptions_&amp;_Inputs'!$I$65-'Assumptions_&amp;_Inputs'!$I$69*(DL$7-'Assumptions_&amp;_Inputs'!$I$47)),$D$32)</f>
        <v>-1446.9944556983771</v>
      </c>
      <c r="DM32" s="37">
        <f>-DM$29*IF(DM$7&gt;='Assumptions_&amp;_Inputs'!$I$47,MAX($D$32,'Assumptions_&amp;_Inputs'!$I$65-'Assumptions_&amp;_Inputs'!$I$69*(DM$7-'Assumptions_&amp;_Inputs'!$I$47)),$D$32)</f>
        <v>-1446.9944556983771</v>
      </c>
      <c r="DN32" s="37">
        <f>-DN$29*IF(DN$7&gt;='Assumptions_&amp;_Inputs'!$I$47,MAX($D$32,'Assumptions_&amp;_Inputs'!$I$65-'Assumptions_&amp;_Inputs'!$I$69*(DN$7-'Assumptions_&amp;_Inputs'!$I$47)),$D$32)</f>
        <v>-1446.9944556983771</v>
      </c>
      <c r="DO32" s="37">
        <f>-DO$29*IF(DO$7&gt;='Assumptions_&amp;_Inputs'!$I$47,MAX($D$32,'Assumptions_&amp;_Inputs'!$I$65-'Assumptions_&amp;_Inputs'!$I$69*(DO$7-'Assumptions_&amp;_Inputs'!$I$47)),$D$32)</f>
        <v>-1446.9944556983771</v>
      </c>
      <c r="DP32" s="37">
        <f>-DP$29*IF(DP$7&gt;='Assumptions_&amp;_Inputs'!$I$47,MAX($D$32,'Assumptions_&amp;_Inputs'!$I$65-'Assumptions_&amp;_Inputs'!$I$69*(DP$7-'Assumptions_&amp;_Inputs'!$I$47)),$D$32)</f>
        <v>-1446.9944556983771</v>
      </c>
      <c r="DQ32" s="37">
        <f>-DQ$29*IF(DQ$7&gt;='Assumptions_&amp;_Inputs'!$I$47,MAX($D$32,'Assumptions_&amp;_Inputs'!$I$65-'Assumptions_&amp;_Inputs'!$I$69*(DQ$7-'Assumptions_&amp;_Inputs'!$I$47)),$D$32)</f>
        <v>-1446.9944556983771</v>
      </c>
      <c r="DR32" s="37">
        <f>-DR$29*IF(DR$7&gt;='Assumptions_&amp;_Inputs'!$I$47,MAX($D$32,'Assumptions_&amp;_Inputs'!$I$65-'Assumptions_&amp;_Inputs'!$I$69*(DR$7-'Assumptions_&amp;_Inputs'!$I$47)),$D$32)</f>
        <v>-1446.9944556983771</v>
      </c>
      <c r="DS32" s="37">
        <f>-DS$29*IF(DS$7&gt;='Assumptions_&amp;_Inputs'!$I$47,MAX($D$32,'Assumptions_&amp;_Inputs'!$I$65-'Assumptions_&amp;_Inputs'!$I$69*(DS$7-'Assumptions_&amp;_Inputs'!$I$47)),$D$32)</f>
        <v>-1446.9944556983771</v>
      </c>
      <c r="DT32" s="37">
        <f>-DT$29*IF(DT$7&gt;='Assumptions_&amp;_Inputs'!$I$47,MAX($D$32,'Assumptions_&amp;_Inputs'!$I$65-'Assumptions_&amp;_Inputs'!$I$69*(DT$7-'Assumptions_&amp;_Inputs'!$I$47)),$D$32)</f>
        <v>-1446.9944556983771</v>
      </c>
      <c r="DU32" s="37">
        <f>-DU$29*IF(DU$7&gt;='Assumptions_&amp;_Inputs'!$I$47,MAX($D$32,'Assumptions_&amp;_Inputs'!$I$65-'Assumptions_&amp;_Inputs'!$I$69*(DU$7-'Assumptions_&amp;_Inputs'!$I$47)),$D$32)</f>
        <v>-1446.9944556983771</v>
      </c>
      <c r="DV32" s="37">
        <f>-DV$29*IF(DV$7&gt;='Assumptions_&amp;_Inputs'!$I$47,MAX($D$32,'Assumptions_&amp;_Inputs'!$I$65-'Assumptions_&amp;_Inputs'!$I$69*(DV$7-'Assumptions_&amp;_Inputs'!$I$47)),$D$32)</f>
        <v>-1446.9944556983771</v>
      </c>
      <c r="DW32" s="37">
        <f>-DW$29*IF(DW$7&gt;='Assumptions_&amp;_Inputs'!$I$47,MAX($D$32,'Assumptions_&amp;_Inputs'!$I$65-'Assumptions_&amp;_Inputs'!$I$69*(DW$7-'Assumptions_&amp;_Inputs'!$I$47)),$D$32)</f>
        <v>-1483.1693170908363</v>
      </c>
      <c r="DX32" s="37">
        <f>-DX$29*IF(DX$7&gt;='Assumptions_&amp;_Inputs'!$I$47,MAX($D$32,'Assumptions_&amp;_Inputs'!$I$65-'Assumptions_&amp;_Inputs'!$I$69*(DX$7-'Assumptions_&amp;_Inputs'!$I$47)),$D$32)</f>
        <v>-1483.1693170908363</v>
      </c>
      <c r="DY32" s="37">
        <f>-DY$29*IF(DY$7&gt;='Assumptions_&amp;_Inputs'!$I$47,MAX($D$32,'Assumptions_&amp;_Inputs'!$I$65-'Assumptions_&amp;_Inputs'!$I$69*(DY$7-'Assumptions_&amp;_Inputs'!$I$47)),$D$32)</f>
        <v>-1483.1693170908363</v>
      </c>
      <c r="DZ32" s="37">
        <f>-DZ$29*IF(DZ$7&gt;='Assumptions_&amp;_Inputs'!$I$47,MAX($D$32,'Assumptions_&amp;_Inputs'!$I$65-'Assumptions_&amp;_Inputs'!$I$69*(DZ$7-'Assumptions_&amp;_Inputs'!$I$47)),$D$32)</f>
        <v>-1483.1693170908363</v>
      </c>
      <c r="EA32" s="37">
        <f>-EA$29*IF(EA$7&gt;='Assumptions_&amp;_Inputs'!$I$47,MAX($D$32,'Assumptions_&amp;_Inputs'!$I$65-'Assumptions_&amp;_Inputs'!$I$69*(EA$7-'Assumptions_&amp;_Inputs'!$I$47)),$D$32)</f>
        <v>-1483.1693170908363</v>
      </c>
      <c r="EB32" s="37">
        <f>-EB$29*IF(EB$7&gt;='Assumptions_&amp;_Inputs'!$I$47,MAX($D$32,'Assumptions_&amp;_Inputs'!$I$65-'Assumptions_&amp;_Inputs'!$I$69*(EB$7-'Assumptions_&amp;_Inputs'!$I$47)),$D$32)</f>
        <v>-1483.1693170908363</v>
      </c>
      <c r="EC32" s="37">
        <f>-EC$29*IF(EC$7&gt;='Assumptions_&amp;_Inputs'!$I$47,MAX($D$32,'Assumptions_&amp;_Inputs'!$I$65-'Assumptions_&amp;_Inputs'!$I$69*(EC$7-'Assumptions_&amp;_Inputs'!$I$47)),$D$32)</f>
        <v>-1483.1693170908363</v>
      </c>
      <c r="ED32" s="37">
        <f>-ED$29*IF(ED$7&gt;='Assumptions_&amp;_Inputs'!$I$47,MAX($D$32,'Assumptions_&amp;_Inputs'!$I$65-'Assumptions_&amp;_Inputs'!$I$69*(ED$7-'Assumptions_&amp;_Inputs'!$I$47)),$D$32)</f>
        <v>-1483.1693170908363</v>
      </c>
      <c r="EE32" s="37">
        <f>-EE$29*IF(EE$7&gt;='Assumptions_&amp;_Inputs'!$I$47,MAX($D$32,'Assumptions_&amp;_Inputs'!$I$65-'Assumptions_&amp;_Inputs'!$I$69*(EE$7-'Assumptions_&amp;_Inputs'!$I$47)),$D$32)</f>
        <v>-1483.1693170908363</v>
      </c>
      <c r="EF32" s="37">
        <f>-EF$29*IF(EF$7&gt;='Assumptions_&amp;_Inputs'!$I$47,MAX($D$32,'Assumptions_&amp;_Inputs'!$I$65-'Assumptions_&amp;_Inputs'!$I$69*(EF$7-'Assumptions_&amp;_Inputs'!$I$47)),$D$32)</f>
        <v>-1483.1693170908363</v>
      </c>
      <c r="EG32" s="37">
        <f>-EG$29*IF(EG$7&gt;='Assumptions_&amp;_Inputs'!$I$47,MAX($D$32,'Assumptions_&amp;_Inputs'!$I$65-'Assumptions_&amp;_Inputs'!$I$69*(EG$7-'Assumptions_&amp;_Inputs'!$I$47)),$D$32)</f>
        <v>-1483.1693170908363</v>
      </c>
      <c r="EH32" s="37">
        <f>-EH$29*IF(EH$7&gt;='Assumptions_&amp;_Inputs'!$I$47,MAX($D$32,'Assumptions_&amp;_Inputs'!$I$65-'Assumptions_&amp;_Inputs'!$I$69*(EH$7-'Assumptions_&amp;_Inputs'!$I$47)),$D$32)</f>
        <v>-1483.1693170908363</v>
      </c>
      <c r="EI32" s="37">
        <f>-EI$29*IF(EI$7&gt;='Assumptions_&amp;_Inputs'!$I$47,MAX($D$32,'Assumptions_&amp;_Inputs'!$I$65-'Assumptions_&amp;_Inputs'!$I$69*(EI$7-'Assumptions_&amp;_Inputs'!$I$47)),$D$32)</f>
        <v>-1520.2485500181072</v>
      </c>
      <c r="EJ32" s="37">
        <f>-EJ$29*IF(EJ$7&gt;='Assumptions_&amp;_Inputs'!$I$47,MAX($D$32,'Assumptions_&amp;_Inputs'!$I$65-'Assumptions_&amp;_Inputs'!$I$69*(EJ$7-'Assumptions_&amp;_Inputs'!$I$47)),$D$32)</f>
        <v>-1520.2485500181072</v>
      </c>
      <c r="EK32" s="37">
        <f>-EK$29*IF(EK$7&gt;='Assumptions_&amp;_Inputs'!$I$47,MAX($D$32,'Assumptions_&amp;_Inputs'!$I$65-'Assumptions_&amp;_Inputs'!$I$69*(EK$7-'Assumptions_&amp;_Inputs'!$I$47)),$D$32)</f>
        <v>-1520.2485500181072</v>
      </c>
      <c r="EL32" s="37">
        <f>-EL$29*IF(EL$7&gt;='Assumptions_&amp;_Inputs'!$I$47,MAX($D$32,'Assumptions_&amp;_Inputs'!$I$65-'Assumptions_&amp;_Inputs'!$I$69*(EL$7-'Assumptions_&amp;_Inputs'!$I$47)),$D$32)</f>
        <v>-1520.2485500181072</v>
      </c>
      <c r="EM32" s="37">
        <f>-EM$29*IF(EM$7&gt;='Assumptions_&amp;_Inputs'!$I$47,MAX($D$32,'Assumptions_&amp;_Inputs'!$I$65-'Assumptions_&amp;_Inputs'!$I$69*(EM$7-'Assumptions_&amp;_Inputs'!$I$47)),$D$32)</f>
        <v>-1520.2485500181072</v>
      </c>
      <c r="EN32" s="37">
        <f>-EN$29*IF(EN$7&gt;='Assumptions_&amp;_Inputs'!$I$47,MAX($D$32,'Assumptions_&amp;_Inputs'!$I$65-'Assumptions_&amp;_Inputs'!$I$69*(EN$7-'Assumptions_&amp;_Inputs'!$I$47)),$D$32)</f>
        <v>-1520.2485500181072</v>
      </c>
      <c r="EO32" s="37">
        <f>-EO$29*IF(EO$7&gt;='Assumptions_&amp;_Inputs'!$I$47,MAX($D$32,'Assumptions_&amp;_Inputs'!$I$65-'Assumptions_&amp;_Inputs'!$I$69*(EO$7-'Assumptions_&amp;_Inputs'!$I$47)),$D$32)</f>
        <v>-1520.2485500181072</v>
      </c>
      <c r="EP32" s="37">
        <f>-EP$29*IF(EP$7&gt;='Assumptions_&amp;_Inputs'!$I$47,MAX($D$32,'Assumptions_&amp;_Inputs'!$I$65-'Assumptions_&amp;_Inputs'!$I$69*(EP$7-'Assumptions_&amp;_Inputs'!$I$47)),$D$32)</f>
        <v>-1520.2485500181072</v>
      </c>
      <c r="EQ32" s="37">
        <f>-EQ$29*IF(EQ$7&gt;='Assumptions_&amp;_Inputs'!$I$47,MAX($D$32,'Assumptions_&amp;_Inputs'!$I$65-'Assumptions_&amp;_Inputs'!$I$69*(EQ$7-'Assumptions_&amp;_Inputs'!$I$47)),$D$32)</f>
        <v>-1520.2485500181072</v>
      </c>
      <c r="ER32" s="37">
        <f>-ER$29*IF(ER$7&gt;='Assumptions_&amp;_Inputs'!$I$47,MAX($D$32,'Assumptions_&amp;_Inputs'!$I$65-'Assumptions_&amp;_Inputs'!$I$69*(ER$7-'Assumptions_&amp;_Inputs'!$I$47)),$D$32)</f>
        <v>-1520.2485500181072</v>
      </c>
      <c r="ES32" s="37">
        <f>-ES$29*IF(ES$7&gt;='Assumptions_&amp;_Inputs'!$I$47,MAX($D$32,'Assumptions_&amp;_Inputs'!$I$65-'Assumptions_&amp;_Inputs'!$I$69*(ES$7-'Assumptions_&amp;_Inputs'!$I$47)),$D$32)</f>
        <v>-1520.2485500181072</v>
      </c>
      <c r="ET32" s="37">
        <f>-ET$29*IF(ET$7&gt;='Assumptions_&amp;_Inputs'!$I$47,MAX($D$32,'Assumptions_&amp;_Inputs'!$I$65-'Assumptions_&amp;_Inputs'!$I$69*(ET$7-'Assumptions_&amp;_Inputs'!$I$47)),$D$32)</f>
        <v>-1520.2485500181072</v>
      </c>
      <c r="EU32" s="37">
        <f>-EU$29*IF(EU$7&gt;='Assumptions_&amp;_Inputs'!$I$47,MAX($D$32,'Assumptions_&amp;_Inputs'!$I$65-'Assumptions_&amp;_Inputs'!$I$69*(EU$7-'Assumptions_&amp;_Inputs'!$I$47)),$D$32)</f>
        <v>-1558.2547637685595</v>
      </c>
      <c r="EV32" s="37">
        <f>-EV$29*IF(EV$7&gt;='Assumptions_&amp;_Inputs'!$I$47,MAX($D$32,'Assumptions_&amp;_Inputs'!$I$65-'Assumptions_&amp;_Inputs'!$I$69*(EV$7-'Assumptions_&amp;_Inputs'!$I$47)),$D$32)</f>
        <v>-1558.2547637685595</v>
      </c>
      <c r="EW32" s="37">
        <f>-EW$29*IF(EW$7&gt;='Assumptions_&amp;_Inputs'!$I$47,MAX($D$32,'Assumptions_&amp;_Inputs'!$I$65-'Assumptions_&amp;_Inputs'!$I$69*(EW$7-'Assumptions_&amp;_Inputs'!$I$47)),$D$32)</f>
        <v>-1558.2547637685595</v>
      </c>
      <c r="EX32" s="37">
        <f>-EX$29*IF(EX$7&gt;='Assumptions_&amp;_Inputs'!$I$47,MAX($D$32,'Assumptions_&amp;_Inputs'!$I$65-'Assumptions_&amp;_Inputs'!$I$69*(EX$7-'Assumptions_&amp;_Inputs'!$I$47)),$D$32)</f>
        <v>-1558.2547637685595</v>
      </c>
      <c r="EY32" s="37">
        <f>-EY$29*IF(EY$7&gt;='Assumptions_&amp;_Inputs'!$I$47,MAX($D$32,'Assumptions_&amp;_Inputs'!$I$65-'Assumptions_&amp;_Inputs'!$I$69*(EY$7-'Assumptions_&amp;_Inputs'!$I$47)),$D$32)</f>
        <v>-1558.2547637685595</v>
      </c>
      <c r="EZ32" s="37">
        <f>-EZ$29*IF(EZ$7&gt;='Assumptions_&amp;_Inputs'!$I$47,MAX($D$32,'Assumptions_&amp;_Inputs'!$I$65-'Assumptions_&amp;_Inputs'!$I$69*(EZ$7-'Assumptions_&amp;_Inputs'!$I$47)),$D$32)</f>
        <v>-1558.2547637685595</v>
      </c>
      <c r="FA32" s="37">
        <f>-FA$29*IF(FA$7&gt;='Assumptions_&amp;_Inputs'!$I$47,MAX($D$32,'Assumptions_&amp;_Inputs'!$I$65-'Assumptions_&amp;_Inputs'!$I$69*(FA$7-'Assumptions_&amp;_Inputs'!$I$47)),$D$32)</f>
        <v>-1558.2547637685595</v>
      </c>
      <c r="FB32" s="37">
        <f>-FB$29*IF(FB$7&gt;='Assumptions_&amp;_Inputs'!$I$47,MAX($D$32,'Assumptions_&amp;_Inputs'!$I$65-'Assumptions_&amp;_Inputs'!$I$69*(FB$7-'Assumptions_&amp;_Inputs'!$I$47)),$D$32)</f>
        <v>-1558.2547637685595</v>
      </c>
      <c r="FC32" s="37">
        <f>-FC$29*IF(FC$7&gt;='Assumptions_&amp;_Inputs'!$I$47,MAX($D$32,'Assumptions_&amp;_Inputs'!$I$65-'Assumptions_&amp;_Inputs'!$I$69*(FC$7-'Assumptions_&amp;_Inputs'!$I$47)),$D$32)</f>
        <v>-1558.2547637685595</v>
      </c>
      <c r="FD32" s="37">
        <f>-FD$29*IF(FD$7&gt;='Assumptions_&amp;_Inputs'!$I$47,MAX($D$32,'Assumptions_&amp;_Inputs'!$I$65-'Assumptions_&amp;_Inputs'!$I$69*(FD$7-'Assumptions_&amp;_Inputs'!$I$47)),$D$32)</f>
        <v>-1558.2547637685595</v>
      </c>
      <c r="FE32" s="37">
        <f>-FE$29*IF(FE$7&gt;='Assumptions_&amp;_Inputs'!$I$47,MAX($D$32,'Assumptions_&amp;_Inputs'!$I$65-'Assumptions_&amp;_Inputs'!$I$69*(FE$7-'Assumptions_&amp;_Inputs'!$I$47)),$D$32)</f>
        <v>-1558.2547637685595</v>
      </c>
      <c r="FF32" s="37">
        <f>-FF$29*IF(FF$7&gt;='Assumptions_&amp;_Inputs'!$I$47,MAX($D$32,'Assumptions_&amp;_Inputs'!$I$65-'Assumptions_&amp;_Inputs'!$I$69*(FF$7-'Assumptions_&amp;_Inputs'!$I$47)),$D$32)</f>
        <v>-1558.2547637685595</v>
      </c>
      <c r="FG32" s="37">
        <f>-FG$29*IF(FG$7&gt;='Assumptions_&amp;_Inputs'!$I$47,MAX($D$32,'Assumptions_&amp;_Inputs'!$I$65-'Assumptions_&amp;_Inputs'!$I$69*(FG$7-'Assumptions_&amp;_Inputs'!$I$47)),$D$32)</f>
        <v>-1597.2111328627734</v>
      </c>
      <c r="FH32" s="37">
        <f>-FH$29*IF(FH$7&gt;='Assumptions_&amp;_Inputs'!$I$47,MAX($D$32,'Assumptions_&amp;_Inputs'!$I$65-'Assumptions_&amp;_Inputs'!$I$69*(FH$7-'Assumptions_&amp;_Inputs'!$I$47)),$D$32)</f>
        <v>-1597.2111328627734</v>
      </c>
      <c r="FI32" s="37">
        <f>-FI$29*IF(FI$7&gt;='Assumptions_&amp;_Inputs'!$I$47,MAX($D$32,'Assumptions_&amp;_Inputs'!$I$65-'Assumptions_&amp;_Inputs'!$I$69*(FI$7-'Assumptions_&amp;_Inputs'!$I$47)),$D$32)</f>
        <v>-1597.2111328627734</v>
      </c>
      <c r="FJ32" s="37">
        <f>-FJ$29*IF(FJ$7&gt;='Assumptions_&amp;_Inputs'!$I$47,MAX($D$32,'Assumptions_&amp;_Inputs'!$I$65-'Assumptions_&amp;_Inputs'!$I$69*(FJ$7-'Assumptions_&amp;_Inputs'!$I$47)),$D$32)</f>
        <v>-1597.2111328627734</v>
      </c>
      <c r="FK32" s="37">
        <f>-FK$29*IF(FK$7&gt;='Assumptions_&amp;_Inputs'!$I$47,MAX($D$32,'Assumptions_&amp;_Inputs'!$I$65-'Assumptions_&amp;_Inputs'!$I$69*(FK$7-'Assumptions_&amp;_Inputs'!$I$47)),$D$32)</f>
        <v>-1597.2111328627734</v>
      </c>
      <c r="FL32" s="37">
        <f>-FL$29*IF(FL$7&gt;='Assumptions_&amp;_Inputs'!$I$47,MAX($D$32,'Assumptions_&amp;_Inputs'!$I$65-'Assumptions_&amp;_Inputs'!$I$69*(FL$7-'Assumptions_&amp;_Inputs'!$I$47)),$D$32)</f>
        <v>-1597.2111328627734</v>
      </c>
      <c r="FM32" s="37">
        <f>-FM$29*IF(FM$7&gt;='Assumptions_&amp;_Inputs'!$I$47,MAX($D$32,'Assumptions_&amp;_Inputs'!$I$65-'Assumptions_&amp;_Inputs'!$I$69*(FM$7-'Assumptions_&amp;_Inputs'!$I$47)),$D$32)</f>
        <v>-1597.2111328627734</v>
      </c>
      <c r="FN32" s="37">
        <f>-FN$29*IF(FN$7&gt;='Assumptions_&amp;_Inputs'!$I$47,MAX($D$32,'Assumptions_&amp;_Inputs'!$I$65-'Assumptions_&amp;_Inputs'!$I$69*(FN$7-'Assumptions_&amp;_Inputs'!$I$47)),$D$32)</f>
        <v>-1597.2111328627734</v>
      </c>
      <c r="FO32" s="37">
        <f>-FO$29*IF(FO$7&gt;='Assumptions_&amp;_Inputs'!$I$47,MAX($D$32,'Assumptions_&amp;_Inputs'!$I$65-'Assumptions_&amp;_Inputs'!$I$69*(FO$7-'Assumptions_&amp;_Inputs'!$I$47)),$D$32)</f>
        <v>-1597.2111328627734</v>
      </c>
      <c r="FP32" s="37">
        <f>-FP$29*IF(FP$7&gt;='Assumptions_&amp;_Inputs'!$I$47,MAX($D$32,'Assumptions_&amp;_Inputs'!$I$65-'Assumptions_&amp;_Inputs'!$I$69*(FP$7-'Assumptions_&amp;_Inputs'!$I$47)),$D$32)</f>
        <v>-1597.2111328627734</v>
      </c>
      <c r="FQ32" s="37">
        <f>-FQ$29*IF(FQ$7&gt;='Assumptions_&amp;_Inputs'!$I$47,MAX($D$32,'Assumptions_&amp;_Inputs'!$I$65-'Assumptions_&amp;_Inputs'!$I$69*(FQ$7-'Assumptions_&amp;_Inputs'!$I$47)),$D$32)</f>
        <v>-1597.2111328627734</v>
      </c>
      <c r="FR32" s="37">
        <f>-FR$29*IF(FR$7&gt;='Assumptions_&amp;_Inputs'!$I$47,MAX($D$32,'Assumptions_&amp;_Inputs'!$I$65-'Assumptions_&amp;_Inputs'!$I$69*(FR$7-'Assumptions_&amp;_Inputs'!$I$47)),$D$32)</f>
        <v>-1597.2111328627734</v>
      </c>
      <c r="FS32" s="37">
        <f>-FS$29*IF(FS$7&gt;='Assumptions_&amp;_Inputs'!$I$47,MAX($D$32,'Assumptions_&amp;_Inputs'!$I$65-'Assumptions_&amp;_Inputs'!$I$69*(FS$7-'Assumptions_&amp;_Inputs'!$I$47)),$D$32)</f>
        <v>-1637.1414111843426</v>
      </c>
      <c r="FT32" s="37">
        <f>-FT$29*IF(FT$7&gt;='Assumptions_&amp;_Inputs'!$I$47,MAX($D$32,'Assumptions_&amp;_Inputs'!$I$65-'Assumptions_&amp;_Inputs'!$I$69*(FT$7-'Assumptions_&amp;_Inputs'!$I$47)),$D$32)</f>
        <v>-1637.1414111843426</v>
      </c>
      <c r="FU32" s="37">
        <f>-FU$29*IF(FU$7&gt;='Assumptions_&amp;_Inputs'!$I$47,MAX($D$32,'Assumptions_&amp;_Inputs'!$I$65-'Assumptions_&amp;_Inputs'!$I$69*(FU$7-'Assumptions_&amp;_Inputs'!$I$47)),$D$32)</f>
        <v>-1637.1414111843426</v>
      </c>
      <c r="FV32" s="37">
        <f>-FV$29*IF(FV$7&gt;='Assumptions_&amp;_Inputs'!$I$47,MAX($D$32,'Assumptions_&amp;_Inputs'!$I$65-'Assumptions_&amp;_Inputs'!$I$69*(FV$7-'Assumptions_&amp;_Inputs'!$I$47)),$D$32)</f>
        <v>-1637.1414111843426</v>
      </c>
      <c r="FW32" s="37">
        <f>-FW$29*IF(FW$7&gt;='Assumptions_&amp;_Inputs'!$I$47,MAX($D$32,'Assumptions_&amp;_Inputs'!$I$65-'Assumptions_&amp;_Inputs'!$I$69*(FW$7-'Assumptions_&amp;_Inputs'!$I$47)),$D$32)</f>
        <v>-1637.1414111843426</v>
      </c>
      <c r="FX32" s="37">
        <f>-FX$29*IF(FX$7&gt;='Assumptions_&amp;_Inputs'!$I$47,MAX($D$32,'Assumptions_&amp;_Inputs'!$I$65-'Assumptions_&amp;_Inputs'!$I$69*(FX$7-'Assumptions_&amp;_Inputs'!$I$47)),$D$32)</f>
        <v>-1637.1414111843426</v>
      </c>
      <c r="FY32" s="37">
        <f>-FY$29*IF(FY$7&gt;='Assumptions_&amp;_Inputs'!$I$47,MAX($D$32,'Assumptions_&amp;_Inputs'!$I$65-'Assumptions_&amp;_Inputs'!$I$69*(FY$7-'Assumptions_&amp;_Inputs'!$I$47)),$D$32)</f>
        <v>-1637.1414111843426</v>
      </c>
      <c r="FZ32" s="37">
        <f>-FZ$29*IF(FZ$7&gt;='Assumptions_&amp;_Inputs'!$I$47,MAX($D$32,'Assumptions_&amp;_Inputs'!$I$65-'Assumptions_&amp;_Inputs'!$I$69*(FZ$7-'Assumptions_&amp;_Inputs'!$I$47)),$D$32)</f>
        <v>-1637.1414111843426</v>
      </c>
      <c r="GA32" s="37">
        <f>-GA$29*IF(GA$7&gt;='Assumptions_&amp;_Inputs'!$I$47,MAX($D$32,'Assumptions_&amp;_Inputs'!$I$65-'Assumptions_&amp;_Inputs'!$I$69*(GA$7-'Assumptions_&amp;_Inputs'!$I$47)),$D$32)</f>
        <v>-1637.1414111843426</v>
      </c>
      <c r="GB32" s="37">
        <f>-GB$29*IF(GB$7&gt;='Assumptions_&amp;_Inputs'!$I$47,MAX($D$32,'Assumptions_&amp;_Inputs'!$I$65-'Assumptions_&amp;_Inputs'!$I$69*(GB$7-'Assumptions_&amp;_Inputs'!$I$47)),$D$32)</f>
        <v>-1637.1414111843426</v>
      </c>
      <c r="GC32" s="37">
        <f>-GC$29*IF(GC$7&gt;='Assumptions_&amp;_Inputs'!$I$47,MAX($D$32,'Assumptions_&amp;_Inputs'!$I$65-'Assumptions_&amp;_Inputs'!$I$69*(GC$7-'Assumptions_&amp;_Inputs'!$I$47)),$D$32)</f>
        <v>-1637.1414111843426</v>
      </c>
      <c r="GD32" s="37">
        <f>-GD$29*IF(GD$7&gt;='Assumptions_&amp;_Inputs'!$I$47,MAX($D$32,'Assumptions_&amp;_Inputs'!$I$65-'Assumptions_&amp;_Inputs'!$I$69*(GD$7-'Assumptions_&amp;_Inputs'!$I$47)),$D$32)</f>
        <v>-1637.1414111843426</v>
      </c>
      <c r="GE32" s="37">
        <f>-GE$29*IF(GE$7&gt;='Assumptions_&amp;_Inputs'!$I$47,MAX($D$32,'Assumptions_&amp;_Inputs'!$I$65-'Assumptions_&amp;_Inputs'!$I$69*(GE$7-'Assumptions_&amp;_Inputs'!$I$47)),$D$32)</f>
        <v>-1678.0699464639508</v>
      </c>
      <c r="GF32" s="37">
        <f>-GF$29*IF(GF$7&gt;='Assumptions_&amp;_Inputs'!$I$47,MAX($D$32,'Assumptions_&amp;_Inputs'!$I$65-'Assumptions_&amp;_Inputs'!$I$69*(GF$7-'Assumptions_&amp;_Inputs'!$I$47)),$D$32)</f>
        <v>-1678.0699464639508</v>
      </c>
      <c r="GG32" s="37">
        <f>-GG$29*IF(GG$7&gt;='Assumptions_&amp;_Inputs'!$I$47,MAX($D$32,'Assumptions_&amp;_Inputs'!$I$65-'Assumptions_&amp;_Inputs'!$I$69*(GG$7-'Assumptions_&amp;_Inputs'!$I$47)),$D$32)</f>
        <v>-1678.0699464639508</v>
      </c>
      <c r="GH32" s="37">
        <f>-GH$29*IF(GH$7&gt;='Assumptions_&amp;_Inputs'!$I$47,MAX($D$32,'Assumptions_&amp;_Inputs'!$I$65-'Assumptions_&amp;_Inputs'!$I$69*(GH$7-'Assumptions_&amp;_Inputs'!$I$47)),$D$32)</f>
        <v>-1678.0699464639508</v>
      </c>
      <c r="GI32" s="37">
        <f>-GI$29*IF(GI$7&gt;='Assumptions_&amp;_Inputs'!$I$47,MAX($D$32,'Assumptions_&amp;_Inputs'!$I$65-'Assumptions_&amp;_Inputs'!$I$69*(GI$7-'Assumptions_&amp;_Inputs'!$I$47)),$D$32)</f>
        <v>-1678.0699464639508</v>
      </c>
      <c r="GJ32" s="37">
        <f>-GJ$29*IF(GJ$7&gt;='Assumptions_&amp;_Inputs'!$I$47,MAX($D$32,'Assumptions_&amp;_Inputs'!$I$65-'Assumptions_&amp;_Inputs'!$I$69*(GJ$7-'Assumptions_&amp;_Inputs'!$I$47)),$D$32)</f>
        <v>-1678.0699464639508</v>
      </c>
      <c r="GK32" s="37">
        <f>-GK$29*IF(GK$7&gt;='Assumptions_&amp;_Inputs'!$I$47,MAX($D$32,'Assumptions_&amp;_Inputs'!$I$65-'Assumptions_&amp;_Inputs'!$I$69*(GK$7-'Assumptions_&amp;_Inputs'!$I$47)),$D$32)</f>
        <v>-1678.0699464639508</v>
      </c>
      <c r="GL32" s="37">
        <f>-GL$29*IF(GL$7&gt;='Assumptions_&amp;_Inputs'!$I$47,MAX($D$32,'Assumptions_&amp;_Inputs'!$I$65-'Assumptions_&amp;_Inputs'!$I$69*(GL$7-'Assumptions_&amp;_Inputs'!$I$47)),$D$32)</f>
        <v>-1678.0699464639508</v>
      </c>
      <c r="GM32" s="37">
        <f>-GM$29*IF(GM$7&gt;='Assumptions_&amp;_Inputs'!$I$47,MAX($D$32,'Assumptions_&amp;_Inputs'!$I$65-'Assumptions_&amp;_Inputs'!$I$69*(GM$7-'Assumptions_&amp;_Inputs'!$I$47)),$D$32)</f>
        <v>-1678.0699464639508</v>
      </c>
      <c r="GN32" s="63"/>
      <c r="GO32" s="63"/>
      <c r="GP32" s="63"/>
      <c r="GQ32" s="63"/>
      <c r="GR32" s="63"/>
      <c r="GS32" s="63"/>
      <c r="GT32" s="63"/>
      <c r="GU32" s="63"/>
      <c r="GV32" s="63"/>
      <c r="GW32" s="63"/>
      <c r="GX32" s="63"/>
      <c r="GY32" s="63"/>
      <c r="GZ32" s="63"/>
      <c r="HA32" s="63"/>
      <c r="HB32" s="63"/>
      <c r="HC32" s="63"/>
      <c r="HD32" s="63"/>
      <c r="HE32" s="63"/>
      <c r="HF32" s="63"/>
      <c r="HG32" s="63"/>
      <c r="HH32" s="63"/>
      <c r="HI32" s="63"/>
      <c r="HJ32" s="63"/>
      <c r="HK32" s="63"/>
      <c r="HL32" s="63"/>
      <c r="HM32" s="63"/>
      <c r="HN32" s="63"/>
      <c r="HO32" s="63"/>
      <c r="HP32" s="63"/>
      <c r="HQ32" s="63"/>
      <c r="HR32" s="63"/>
      <c r="HS32" s="63"/>
      <c r="HT32" s="63"/>
      <c r="HU32" s="63"/>
      <c r="HV32" s="63"/>
      <c r="HW32" s="63"/>
      <c r="HX32" s="63"/>
      <c r="HY32" s="63"/>
      <c r="HZ32" s="63"/>
      <c r="IA32" s="63"/>
      <c r="IB32" s="63"/>
      <c r="IC32" s="63"/>
      <c r="ID32" s="63"/>
      <c r="IE32" s="63"/>
      <c r="IF32" s="63"/>
      <c r="IG32" s="63"/>
      <c r="IH32" s="63"/>
      <c r="II32" s="63"/>
      <c r="IJ32" s="63"/>
      <c r="IK32" s="63"/>
      <c r="IL32" s="63"/>
      <c r="IM32" s="63"/>
      <c r="IN32" s="63"/>
      <c r="IO32" s="63"/>
      <c r="IP32" s="63"/>
      <c r="IQ32" s="63"/>
      <c r="IR32" s="63"/>
      <c r="IS32" s="63"/>
      <c r="IT32" s="63"/>
      <c r="IU32" s="63"/>
      <c r="IV32" s="63"/>
      <c r="IW32" s="63"/>
      <c r="IX32" s="63"/>
      <c r="IY32" s="63"/>
      <c r="IZ32" s="63"/>
      <c r="JA32" s="63"/>
      <c r="JB32" s="63"/>
      <c r="JC32" s="63"/>
      <c r="JD32" s="63"/>
      <c r="JE32" s="63"/>
      <c r="JF32" s="63"/>
      <c r="JG32" s="63"/>
      <c r="JH32" s="63"/>
      <c r="JI32" s="63"/>
      <c r="JJ32" s="63"/>
      <c r="JK32" s="63"/>
      <c r="JL32" s="63"/>
      <c r="JM32" s="63"/>
      <c r="JN32" s="63"/>
      <c r="JO32" s="63"/>
      <c r="JP32" s="63"/>
      <c r="JQ32" s="63"/>
      <c r="JR32" s="63"/>
      <c r="JS32" s="63"/>
      <c r="JT32" s="63"/>
      <c r="JU32" s="63"/>
      <c r="JV32" s="63"/>
      <c r="JW32" s="63"/>
      <c r="JX32" s="63"/>
      <c r="JY32" s="63"/>
      <c r="JZ32" s="63"/>
      <c r="KA32" s="63"/>
      <c r="KB32" s="63"/>
      <c r="KC32" s="63"/>
      <c r="KD32" s="63"/>
      <c r="KE32" s="63"/>
      <c r="KF32" s="63"/>
      <c r="KG32" s="63"/>
      <c r="KH32" s="63"/>
      <c r="KI32" s="63"/>
      <c r="KJ32" s="63"/>
      <c r="KK32" s="63"/>
      <c r="KL32" s="63"/>
      <c r="KM32" s="63"/>
      <c r="KN32" s="63"/>
      <c r="KO32" s="63"/>
      <c r="KP32" s="63"/>
      <c r="KQ32" s="63"/>
      <c r="KR32" s="63"/>
      <c r="KS32" s="63"/>
      <c r="KT32" s="63"/>
      <c r="KU32" s="63"/>
      <c r="KV32" s="63"/>
      <c r="KW32" s="63"/>
      <c r="KX32" s="63"/>
      <c r="KY32" s="63"/>
      <c r="KZ32" s="63"/>
      <c r="LA32" s="63"/>
      <c r="LB32" s="63"/>
      <c r="LC32" s="63"/>
      <c r="LD32" s="63"/>
      <c r="LE32" s="63"/>
      <c r="LF32" s="63"/>
      <c r="LG32" s="63"/>
      <c r="LH32" s="63"/>
      <c r="LI32" s="63"/>
      <c r="LJ32" s="63"/>
      <c r="LK32" s="63"/>
      <c r="LL32" s="63"/>
      <c r="LM32" s="63"/>
      <c r="LN32" s="63"/>
      <c r="LO32" s="63"/>
      <c r="LP32" s="63"/>
      <c r="LQ32" s="63"/>
      <c r="LR32" s="63"/>
      <c r="LS32" s="63"/>
      <c r="LT32" s="63"/>
      <c r="LU32" s="63"/>
      <c r="LV32" s="63"/>
      <c r="LW32" s="63"/>
      <c r="LX32" s="63"/>
      <c r="LY32" s="63"/>
      <c r="LZ32" s="63"/>
      <c r="MA32" s="63"/>
      <c r="MB32" s="63"/>
      <c r="MC32" s="63"/>
      <c r="MD32" s="63"/>
      <c r="ME32" s="63"/>
      <c r="MF32" s="63"/>
      <c r="MG32" s="63"/>
      <c r="MH32" s="63"/>
      <c r="MI32" s="63"/>
      <c r="MJ32" s="63"/>
      <c r="MK32" s="63"/>
      <c r="ML32" s="63"/>
      <c r="MM32" s="63"/>
      <c r="MN32" s="63"/>
      <c r="MO32" s="63"/>
      <c r="MP32" s="63"/>
      <c r="MQ32" s="63"/>
      <c r="MR32" s="63"/>
      <c r="MS32" s="63"/>
      <c r="MT32" s="63"/>
      <c r="MU32" s="63"/>
      <c r="MV32" s="63"/>
      <c r="MW32" s="63"/>
      <c r="MX32" s="63"/>
      <c r="MY32" s="63"/>
      <c r="MZ32" s="63"/>
      <c r="NA32" s="63"/>
      <c r="NB32" s="63"/>
    </row>
    <row r="33" spans="2:367" ht="16" customHeight="1" x14ac:dyDescent="0.15">
      <c r="B33" s="71" t="s">
        <v>275</v>
      </c>
      <c r="C33" s="312" t="s">
        <v>150</v>
      </c>
      <c r="D33" s="369">
        <f>'Assumptions_&amp;_Inputs'!$E$45</f>
        <v>0.14285714285714285</v>
      </c>
      <c r="E33" s="134"/>
      <c r="F33" s="37">
        <f>-IF(F$12=0,0,$D$33*F$29)</f>
        <v>0</v>
      </c>
      <c r="G33" s="37">
        <f t="shared" ref="G33:BR33" si="76">-IF(G$12=0,0,$D$33*G$29)</f>
        <v>-5251.3399999999992</v>
      </c>
      <c r="H33" s="37">
        <f t="shared" si="76"/>
        <v>-5251.3399999999992</v>
      </c>
      <c r="I33" s="37">
        <f t="shared" si="76"/>
        <v>-5251.3399999999992</v>
      </c>
      <c r="J33" s="37">
        <f t="shared" si="76"/>
        <v>-5251.3399999999992</v>
      </c>
      <c r="K33" s="37">
        <f t="shared" si="76"/>
        <v>-5251.3399999999992</v>
      </c>
      <c r="L33" s="37">
        <f t="shared" si="76"/>
        <v>-5251.3399999999992</v>
      </c>
      <c r="M33" s="37">
        <f t="shared" si="76"/>
        <v>-5251.3399999999992</v>
      </c>
      <c r="N33" s="37">
        <f t="shared" si="76"/>
        <v>-5251.3399999999992</v>
      </c>
      <c r="O33" s="37">
        <f t="shared" si="76"/>
        <v>0</v>
      </c>
      <c r="P33" s="37">
        <f t="shared" si="76"/>
        <v>0</v>
      </c>
      <c r="Q33" s="37">
        <f t="shared" si="76"/>
        <v>0</v>
      </c>
      <c r="R33" s="37">
        <f t="shared" si="76"/>
        <v>0</v>
      </c>
      <c r="S33" s="37">
        <f t="shared" si="76"/>
        <v>0</v>
      </c>
      <c r="T33" s="37">
        <f t="shared" si="76"/>
        <v>0</v>
      </c>
      <c r="U33" s="37">
        <f t="shared" si="76"/>
        <v>0</v>
      </c>
      <c r="V33" s="37">
        <f t="shared" si="76"/>
        <v>0</v>
      </c>
      <c r="W33" s="37">
        <f t="shared" si="76"/>
        <v>0</v>
      </c>
      <c r="X33" s="37">
        <f t="shared" si="76"/>
        <v>0</v>
      </c>
      <c r="Y33" s="37">
        <f t="shared" si="76"/>
        <v>0</v>
      </c>
      <c r="Z33" s="37">
        <f t="shared" si="76"/>
        <v>0</v>
      </c>
      <c r="AA33" s="37">
        <f t="shared" si="76"/>
        <v>0</v>
      </c>
      <c r="AB33" s="37">
        <f t="shared" si="76"/>
        <v>0</v>
      </c>
      <c r="AC33" s="37">
        <f t="shared" si="76"/>
        <v>0</v>
      </c>
      <c r="AD33" s="37">
        <f t="shared" si="76"/>
        <v>0</v>
      </c>
      <c r="AE33" s="37">
        <f t="shared" si="76"/>
        <v>0</v>
      </c>
      <c r="AF33" s="37">
        <f t="shared" si="76"/>
        <v>0</v>
      </c>
      <c r="AG33" s="37">
        <f t="shared" si="76"/>
        <v>0</v>
      </c>
      <c r="AH33" s="37">
        <f t="shared" si="76"/>
        <v>0</v>
      </c>
      <c r="AI33" s="37">
        <f t="shared" si="76"/>
        <v>0</v>
      </c>
      <c r="AJ33" s="37">
        <f t="shared" si="76"/>
        <v>0</v>
      </c>
      <c r="AK33" s="37">
        <f t="shared" si="76"/>
        <v>0</v>
      </c>
      <c r="AL33" s="37">
        <f t="shared" si="76"/>
        <v>0</v>
      </c>
      <c r="AM33" s="37">
        <f t="shared" si="76"/>
        <v>0</v>
      </c>
      <c r="AN33" s="37">
        <f t="shared" si="76"/>
        <v>0</v>
      </c>
      <c r="AO33" s="37">
        <f t="shared" si="76"/>
        <v>0</v>
      </c>
      <c r="AP33" s="37">
        <f t="shared" si="76"/>
        <v>0</v>
      </c>
      <c r="AQ33" s="37">
        <f t="shared" si="76"/>
        <v>0</v>
      </c>
      <c r="AR33" s="37">
        <f t="shared" si="76"/>
        <v>0</v>
      </c>
      <c r="AS33" s="37">
        <f t="shared" si="76"/>
        <v>0</v>
      </c>
      <c r="AT33" s="37">
        <f t="shared" si="76"/>
        <v>0</v>
      </c>
      <c r="AU33" s="37">
        <f t="shared" si="76"/>
        <v>0</v>
      </c>
      <c r="AV33" s="37">
        <f t="shared" si="76"/>
        <v>0</v>
      </c>
      <c r="AW33" s="37">
        <f t="shared" si="76"/>
        <v>0</v>
      </c>
      <c r="AX33" s="37">
        <f t="shared" si="76"/>
        <v>0</v>
      </c>
      <c r="AY33" s="37">
        <f t="shared" si="76"/>
        <v>0</v>
      </c>
      <c r="AZ33" s="37">
        <f t="shared" si="76"/>
        <v>0</v>
      </c>
      <c r="BA33" s="37">
        <f t="shared" si="76"/>
        <v>0</v>
      </c>
      <c r="BB33" s="37">
        <f t="shared" si="76"/>
        <v>0</v>
      </c>
      <c r="BC33" s="37">
        <f t="shared" si="76"/>
        <v>0</v>
      </c>
      <c r="BD33" s="37">
        <f t="shared" si="76"/>
        <v>0</v>
      </c>
      <c r="BE33" s="37">
        <f t="shared" si="76"/>
        <v>0</v>
      </c>
      <c r="BF33" s="37">
        <f t="shared" si="76"/>
        <v>0</v>
      </c>
      <c r="BG33" s="37">
        <f t="shared" si="76"/>
        <v>0</v>
      </c>
      <c r="BH33" s="37">
        <f t="shared" si="76"/>
        <v>0</v>
      </c>
      <c r="BI33" s="37">
        <f t="shared" si="76"/>
        <v>0</v>
      </c>
      <c r="BJ33" s="37">
        <f t="shared" si="76"/>
        <v>0</v>
      </c>
      <c r="BK33" s="37">
        <f t="shared" si="76"/>
        <v>0</v>
      </c>
      <c r="BL33" s="37">
        <f t="shared" si="76"/>
        <v>0</v>
      </c>
      <c r="BM33" s="37">
        <f t="shared" si="76"/>
        <v>0</v>
      </c>
      <c r="BN33" s="37">
        <f t="shared" si="76"/>
        <v>0</v>
      </c>
      <c r="BO33" s="37">
        <f t="shared" si="76"/>
        <v>0</v>
      </c>
      <c r="BP33" s="37">
        <f t="shared" si="76"/>
        <v>0</v>
      </c>
      <c r="BQ33" s="37">
        <f t="shared" si="76"/>
        <v>0</v>
      </c>
      <c r="BR33" s="37">
        <f t="shared" si="76"/>
        <v>0</v>
      </c>
      <c r="BS33" s="37">
        <f t="shared" ref="BS33:ED33" si="77">-IF(BS$12=0,0,$D$33*BS$29)</f>
        <v>0</v>
      </c>
      <c r="BT33" s="37">
        <f t="shared" si="77"/>
        <v>0</v>
      </c>
      <c r="BU33" s="37">
        <f t="shared" si="77"/>
        <v>0</v>
      </c>
      <c r="BV33" s="37">
        <f t="shared" si="77"/>
        <v>0</v>
      </c>
      <c r="BW33" s="37">
        <f t="shared" si="77"/>
        <v>0</v>
      </c>
      <c r="BX33" s="37">
        <f t="shared" si="77"/>
        <v>0</v>
      </c>
      <c r="BY33" s="37">
        <f t="shared" si="77"/>
        <v>0</v>
      </c>
      <c r="BZ33" s="37">
        <f t="shared" si="77"/>
        <v>0</v>
      </c>
      <c r="CA33" s="37">
        <f t="shared" si="77"/>
        <v>0</v>
      </c>
      <c r="CB33" s="37">
        <f t="shared" si="77"/>
        <v>0</v>
      </c>
      <c r="CC33" s="37">
        <f t="shared" si="77"/>
        <v>0</v>
      </c>
      <c r="CD33" s="37">
        <f t="shared" si="77"/>
        <v>0</v>
      </c>
      <c r="CE33" s="37">
        <f t="shared" si="77"/>
        <v>0</v>
      </c>
      <c r="CF33" s="37">
        <f t="shared" si="77"/>
        <v>0</v>
      </c>
      <c r="CG33" s="37">
        <f t="shared" si="77"/>
        <v>0</v>
      </c>
      <c r="CH33" s="37">
        <f t="shared" si="77"/>
        <v>0</v>
      </c>
      <c r="CI33" s="37">
        <f t="shared" si="77"/>
        <v>0</v>
      </c>
      <c r="CJ33" s="37">
        <f t="shared" si="77"/>
        <v>0</v>
      </c>
      <c r="CK33" s="37">
        <f t="shared" si="77"/>
        <v>0</v>
      </c>
      <c r="CL33" s="37">
        <f t="shared" si="77"/>
        <v>0</v>
      </c>
      <c r="CM33" s="37">
        <f t="shared" si="77"/>
        <v>0</v>
      </c>
      <c r="CN33" s="37">
        <f t="shared" si="77"/>
        <v>0</v>
      </c>
      <c r="CO33" s="37">
        <f t="shared" si="77"/>
        <v>0</v>
      </c>
      <c r="CP33" s="37">
        <f t="shared" si="77"/>
        <v>0</v>
      </c>
      <c r="CQ33" s="37">
        <f t="shared" si="77"/>
        <v>0</v>
      </c>
      <c r="CR33" s="37">
        <f t="shared" si="77"/>
        <v>0</v>
      </c>
      <c r="CS33" s="37">
        <f t="shared" si="77"/>
        <v>0</v>
      </c>
      <c r="CT33" s="37">
        <f t="shared" si="77"/>
        <v>0</v>
      </c>
      <c r="CU33" s="37">
        <f t="shared" si="77"/>
        <v>0</v>
      </c>
      <c r="CV33" s="37">
        <f t="shared" si="77"/>
        <v>0</v>
      </c>
      <c r="CW33" s="37">
        <f t="shared" si="77"/>
        <v>0</v>
      </c>
      <c r="CX33" s="37">
        <f t="shared" si="77"/>
        <v>0</v>
      </c>
      <c r="CY33" s="37">
        <f t="shared" si="77"/>
        <v>0</v>
      </c>
      <c r="CZ33" s="37">
        <f t="shared" si="77"/>
        <v>0</v>
      </c>
      <c r="DA33" s="37">
        <f t="shared" si="77"/>
        <v>0</v>
      </c>
      <c r="DB33" s="37">
        <f t="shared" si="77"/>
        <v>0</v>
      </c>
      <c r="DC33" s="37">
        <f t="shared" si="77"/>
        <v>0</v>
      </c>
      <c r="DD33" s="37">
        <f t="shared" si="77"/>
        <v>0</v>
      </c>
      <c r="DE33" s="37">
        <f t="shared" si="77"/>
        <v>0</v>
      </c>
      <c r="DF33" s="37">
        <f t="shared" si="77"/>
        <v>0</v>
      </c>
      <c r="DG33" s="37">
        <f t="shared" si="77"/>
        <v>0</v>
      </c>
      <c r="DH33" s="37">
        <f t="shared" si="77"/>
        <v>0</v>
      </c>
      <c r="DI33" s="37">
        <f t="shared" si="77"/>
        <v>0</v>
      </c>
      <c r="DJ33" s="37">
        <f t="shared" si="77"/>
        <v>0</v>
      </c>
      <c r="DK33" s="37">
        <f t="shared" si="77"/>
        <v>0</v>
      </c>
      <c r="DL33" s="37">
        <f t="shared" si="77"/>
        <v>0</v>
      </c>
      <c r="DM33" s="37">
        <f t="shared" si="77"/>
        <v>0</v>
      </c>
      <c r="DN33" s="37">
        <f t="shared" si="77"/>
        <v>0</v>
      </c>
      <c r="DO33" s="37">
        <f t="shared" si="77"/>
        <v>0</v>
      </c>
      <c r="DP33" s="37">
        <f t="shared" si="77"/>
        <v>0</v>
      </c>
      <c r="DQ33" s="37">
        <f t="shared" si="77"/>
        <v>0</v>
      </c>
      <c r="DR33" s="37">
        <f t="shared" si="77"/>
        <v>0</v>
      </c>
      <c r="DS33" s="37">
        <f t="shared" si="77"/>
        <v>0</v>
      </c>
      <c r="DT33" s="37">
        <f t="shared" si="77"/>
        <v>0</v>
      </c>
      <c r="DU33" s="37">
        <f t="shared" si="77"/>
        <v>0</v>
      </c>
      <c r="DV33" s="37">
        <f t="shared" si="77"/>
        <v>0</v>
      </c>
      <c r="DW33" s="37">
        <f t="shared" si="77"/>
        <v>0</v>
      </c>
      <c r="DX33" s="37">
        <f t="shared" si="77"/>
        <v>0</v>
      </c>
      <c r="DY33" s="37">
        <f t="shared" si="77"/>
        <v>0</v>
      </c>
      <c r="DZ33" s="37">
        <f t="shared" si="77"/>
        <v>0</v>
      </c>
      <c r="EA33" s="37">
        <f t="shared" si="77"/>
        <v>0</v>
      </c>
      <c r="EB33" s="37">
        <f t="shared" si="77"/>
        <v>0</v>
      </c>
      <c r="EC33" s="37">
        <f t="shared" si="77"/>
        <v>0</v>
      </c>
      <c r="ED33" s="37">
        <f t="shared" si="77"/>
        <v>0</v>
      </c>
      <c r="EE33" s="37">
        <f t="shared" ref="EE33:GM33" si="78">-IF(EE$12=0,0,$D$33*EE$29)</f>
        <v>0</v>
      </c>
      <c r="EF33" s="37">
        <f t="shared" si="78"/>
        <v>0</v>
      </c>
      <c r="EG33" s="37">
        <f t="shared" si="78"/>
        <v>0</v>
      </c>
      <c r="EH33" s="37">
        <f t="shared" si="78"/>
        <v>0</v>
      </c>
      <c r="EI33" s="37">
        <f t="shared" si="78"/>
        <v>0</v>
      </c>
      <c r="EJ33" s="37">
        <f t="shared" si="78"/>
        <v>0</v>
      </c>
      <c r="EK33" s="37">
        <f t="shared" si="78"/>
        <v>0</v>
      </c>
      <c r="EL33" s="37">
        <f t="shared" si="78"/>
        <v>0</v>
      </c>
      <c r="EM33" s="37">
        <f t="shared" si="78"/>
        <v>0</v>
      </c>
      <c r="EN33" s="37">
        <f t="shared" si="78"/>
        <v>0</v>
      </c>
      <c r="EO33" s="37">
        <f t="shared" si="78"/>
        <v>0</v>
      </c>
      <c r="EP33" s="37">
        <f t="shared" si="78"/>
        <v>0</v>
      </c>
      <c r="EQ33" s="37">
        <f t="shared" si="78"/>
        <v>0</v>
      </c>
      <c r="ER33" s="37">
        <f t="shared" si="78"/>
        <v>0</v>
      </c>
      <c r="ES33" s="37">
        <f t="shared" si="78"/>
        <v>0</v>
      </c>
      <c r="ET33" s="37">
        <f t="shared" si="78"/>
        <v>0</v>
      </c>
      <c r="EU33" s="37">
        <f t="shared" si="78"/>
        <v>0</v>
      </c>
      <c r="EV33" s="37">
        <f t="shared" si="78"/>
        <v>0</v>
      </c>
      <c r="EW33" s="37">
        <f t="shared" si="78"/>
        <v>0</v>
      </c>
      <c r="EX33" s="37">
        <f t="shared" si="78"/>
        <v>0</v>
      </c>
      <c r="EY33" s="37">
        <f t="shared" si="78"/>
        <v>0</v>
      </c>
      <c r="EZ33" s="37">
        <f t="shared" si="78"/>
        <v>0</v>
      </c>
      <c r="FA33" s="37">
        <f t="shared" si="78"/>
        <v>0</v>
      </c>
      <c r="FB33" s="37">
        <f t="shared" si="78"/>
        <v>0</v>
      </c>
      <c r="FC33" s="37">
        <f t="shared" si="78"/>
        <v>0</v>
      </c>
      <c r="FD33" s="37">
        <f t="shared" si="78"/>
        <v>0</v>
      </c>
      <c r="FE33" s="37">
        <f t="shared" si="78"/>
        <v>0</v>
      </c>
      <c r="FF33" s="37">
        <f t="shared" si="78"/>
        <v>0</v>
      </c>
      <c r="FG33" s="37">
        <f t="shared" si="78"/>
        <v>0</v>
      </c>
      <c r="FH33" s="37">
        <f t="shared" si="78"/>
        <v>0</v>
      </c>
      <c r="FI33" s="37">
        <f t="shared" si="78"/>
        <v>0</v>
      </c>
      <c r="FJ33" s="37">
        <f t="shared" si="78"/>
        <v>0</v>
      </c>
      <c r="FK33" s="37">
        <f t="shared" si="78"/>
        <v>0</v>
      </c>
      <c r="FL33" s="37">
        <f t="shared" si="78"/>
        <v>0</v>
      </c>
      <c r="FM33" s="37">
        <f t="shared" si="78"/>
        <v>0</v>
      </c>
      <c r="FN33" s="37">
        <f t="shared" si="78"/>
        <v>0</v>
      </c>
      <c r="FO33" s="37">
        <f t="shared" si="78"/>
        <v>0</v>
      </c>
      <c r="FP33" s="37">
        <f t="shared" si="78"/>
        <v>0</v>
      </c>
      <c r="FQ33" s="37">
        <f t="shared" si="78"/>
        <v>0</v>
      </c>
      <c r="FR33" s="37">
        <f t="shared" si="78"/>
        <v>0</v>
      </c>
      <c r="FS33" s="37">
        <f t="shared" si="78"/>
        <v>0</v>
      </c>
      <c r="FT33" s="37">
        <f t="shared" si="78"/>
        <v>0</v>
      </c>
      <c r="FU33" s="37">
        <f t="shared" si="78"/>
        <v>0</v>
      </c>
      <c r="FV33" s="37">
        <f t="shared" si="78"/>
        <v>0</v>
      </c>
      <c r="FW33" s="37">
        <f t="shared" si="78"/>
        <v>0</v>
      </c>
      <c r="FX33" s="37">
        <f t="shared" si="78"/>
        <v>0</v>
      </c>
      <c r="FY33" s="37">
        <f t="shared" si="78"/>
        <v>0</v>
      </c>
      <c r="FZ33" s="37">
        <f t="shared" si="78"/>
        <v>0</v>
      </c>
      <c r="GA33" s="37">
        <f t="shared" si="78"/>
        <v>0</v>
      </c>
      <c r="GB33" s="37">
        <f t="shared" si="78"/>
        <v>0</v>
      </c>
      <c r="GC33" s="37">
        <f t="shared" si="78"/>
        <v>0</v>
      </c>
      <c r="GD33" s="37">
        <f t="shared" si="78"/>
        <v>0</v>
      </c>
      <c r="GE33" s="37">
        <f t="shared" si="78"/>
        <v>0</v>
      </c>
      <c r="GF33" s="37">
        <f t="shared" si="78"/>
        <v>0</v>
      </c>
      <c r="GG33" s="37">
        <f t="shared" si="78"/>
        <v>0</v>
      </c>
      <c r="GH33" s="37">
        <f t="shared" si="78"/>
        <v>0</v>
      </c>
      <c r="GI33" s="37">
        <f t="shared" si="78"/>
        <v>0</v>
      </c>
      <c r="GJ33" s="37">
        <f t="shared" si="78"/>
        <v>0</v>
      </c>
      <c r="GK33" s="37">
        <f t="shared" si="78"/>
        <v>0</v>
      </c>
      <c r="GL33" s="37">
        <f t="shared" si="78"/>
        <v>0</v>
      </c>
      <c r="GM33" s="37">
        <f t="shared" si="78"/>
        <v>0</v>
      </c>
      <c r="GN33" s="63"/>
      <c r="GO33" s="63"/>
      <c r="GP33" s="63"/>
      <c r="GQ33" s="63"/>
      <c r="GR33" s="63"/>
      <c r="GS33" s="63"/>
      <c r="GT33" s="63"/>
      <c r="GU33" s="63"/>
      <c r="GV33" s="63"/>
      <c r="GW33" s="63"/>
      <c r="GX33" s="63"/>
      <c r="GY33" s="63"/>
      <c r="GZ33" s="63"/>
      <c r="HA33" s="63"/>
      <c r="HB33" s="63"/>
      <c r="HC33" s="63"/>
      <c r="HD33" s="63"/>
      <c r="HE33" s="63"/>
      <c r="HF33" s="63"/>
      <c r="HG33" s="63"/>
      <c r="HH33" s="63"/>
      <c r="HI33" s="63"/>
      <c r="HJ33" s="63"/>
      <c r="HK33" s="63"/>
      <c r="HL33" s="63"/>
      <c r="HM33" s="63"/>
      <c r="HN33" s="63"/>
      <c r="HO33" s="63"/>
      <c r="HP33" s="63"/>
      <c r="HQ33" s="63"/>
      <c r="HR33" s="63"/>
      <c r="HS33" s="63"/>
      <c r="HT33" s="63"/>
      <c r="HU33" s="63"/>
      <c r="HV33" s="63"/>
      <c r="HW33" s="63"/>
      <c r="HX33" s="63"/>
      <c r="HY33" s="63"/>
      <c r="HZ33" s="63"/>
      <c r="IA33" s="63"/>
      <c r="IB33" s="63"/>
      <c r="IC33" s="63"/>
      <c r="ID33" s="63"/>
      <c r="IE33" s="63"/>
      <c r="IF33" s="63"/>
      <c r="IG33" s="63"/>
      <c r="IH33" s="63"/>
      <c r="II33" s="63"/>
      <c r="IJ33" s="63"/>
      <c r="IK33" s="63"/>
      <c r="IL33" s="63"/>
      <c r="IM33" s="63"/>
      <c r="IN33" s="63"/>
      <c r="IO33" s="63"/>
      <c r="IP33" s="63"/>
      <c r="IQ33" s="63"/>
      <c r="IR33" s="63"/>
      <c r="IS33" s="63"/>
      <c r="IT33" s="63"/>
      <c r="IU33" s="63"/>
      <c r="IV33" s="63"/>
      <c r="IW33" s="63"/>
      <c r="IX33" s="63"/>
      <c r="IY33" s="63"/>
      <c r="IZ33" s="63"/>
      <c r="JA33" s="63"/>
      <c r="JB33" s="63"/>
      <c r="JC33" s="63"/>
      <c r="JD33" s="63"/>
      <c r="JE33" s="63"/>
      <c r="JF33" s="63"/>
      <c r="JG33" s="63"/>
      <c r="JH33" s="63"/>
      <c r="JI33" s="63"/>
      <c r="JJ33" s="63"/>
      <c r="JK33" s="63"/>
      <c r="JL33" s="63"/>
      <c r="JM33" s="63"/>
      <c r="JN33" s="63"/>
      <c r="JO33" s="63"/>
      <c r="JP33" s="63"/>
      <c r="JQ33" s="63"/>
      <c r="JR33" s="63"/>
      <c r="JS33" s="63"/>
      <c r="JT33" s="63"/>
      <c r="JU33" s="63"/>
      <c r="JV33" s="63"/>
      <c r="JW33" s="63"/>
      <c r="JX33" s="63"/>
      <c r="JY33" s="63"/>
      <c r="JZ33" s="63"/>
      <c r="KA33" s="63"/>
      <c r="KB33" s="63"/>
      <c r="KC33" s="63"/>
      <c r="KD33" s="63"/>
      <c r="KE33" s="63"/>
      <c r="KF33" s="63"/>
      <c r="KG33" s="63"/>
      <c r="KH33" s="63"/>
      <c r="KI33" s="63"/>
      <c r="KJ33" s="63"/>
      <c r="KK33" s="63"/>
      <c r="KL33" s="63"/>
      <c r="KM33" s="63"/>
      <c r="KN33" s="63"/>
      <c r="KO33" s="63"/>
      <c r="KP33" s="63"/>
      <c r="KQ33" s="63"/>
      <c r="KR33" s="63"/>
      <c r="KS33" s="63"/>
      <c r="KT33" s="63"/>
      <c r="KU33" s="63"/>
      <c r="KV33" s="63"/>
      <c r="KW33" s="63"/>
      <c r="KX33" s="63"/>
      <c r="KY33" s="63"/>
      <c r="KZ33" s="63"/>
      <c r="LA33" s="63"/>
      <c r="LB33" s="63"/>
      <c r="LC33" s="63"/>
      <c r="LD33" s="63"/>
      <c r="LE33" s="63"/>
      <c r="LF33" s="63"/>
      <c r="LG33" s="63"/>
      <c r="LH33" s="63"/>
      <c r="LI33" s="63"/>
      <c r="LJ33" s="63"/>
      <c r="LK33" s="63"/>
      <c r="LL33" s="63"/>
      <c r="LM33" s="63"/>
      <c r="LN33" s="63"/>
      <c r="LO33" s="63"/>
      <c r="LP33" s="63"/>
      <c r="LQ33" s="63"/>
      <c r="LR33" s="63"/>
      <c r="LS33" s="63"/>
      <c r="LT33" s="63"/>
      <c r="LU33" s="63"/>
      <c r="LV33" s="63"/>
      <c r="LW33" s="63"/>
      <c r="LX33" s="63"/>
      <c r="LY33" s="63"/>
      <c r="LZ33" s="63"/>
      <c r="MA33" s="63"/>
      <c r="MB33" s="63"/>
      <c r="MC33" s="63"/>
      <c r="MD33" s="63"/>
      <c r="ME33" s="63"/>
      <c r="MF33" s="63"/>
      <c r="MG33" s="63"/>
      <c r="MH33" s="63"/>
      <c r="MI33" s="63"/>
      <c r="MJ33" s="63"/>
      <c r="MK33" s="63"/>
      <c r="ML33" s="63"/>
      <c r="MM33" s="63"/>
      <c r="MN33" s="63"/>
      <c r="MO33" s="63"/>
      <c r="MP33" s="63"/>
      <c r="MQ33" s="63"/>
      <c r="MR33" s="63"/>
      <c r="MS33" s="63"/>
      <c r="MT33" s="63"/>
      <c r="MU33" s="63"/>
      <c r="MV33" s="63"/>
      <c r="MW33" s="63"/>
      <c r="MX33" s="63"/>
      <c r="MY33" s="63"/>
      <c r="MZ33" s="63"/>
      <c r="NA33" s="63"/>
      <c r="NB33" s="63"/>
    </row>
    <row r="34" spans="2:367" ht="16" customHeight="1" x14ac:dyDescent="0.15">
      <c r="B34" s="332" t="s">
        <v>49</v>
      </c>
      <c r="C34" s="370"/>
      <c r="D34" s="332"/>
      <c r="E34" s="351"/>
      <c r="F34" s="352">
        <f>SUM(F31:F33)</f>
        <v>0</v>
      </c>
      <c r="G34" s="352">
        <f>SUM(G31:G33)</f>
        <v>30905.258599999997</v>
      </c>
      <c r="H34" s="352">
        <f t="shared" ref="H34:BS34" si="79">SUM(H31:H33)</f>
        <v>30905.258599999997</v>
      </c>
      <c r="I34" s="352">
        <f t="shared" si="79"/>
        <v>30905.258599999997</v>
      </c>
      <c r="J34" s="352">
        <f t="shared" si="79"/>
        <v>30905.258599999997</v>
      </c>
      <c r="K34" s="352">
        <f t="shared" si="79"/>
        <v>30905.258599999997</v>
      </c>
      <c r="L34" s="352">
        <f t="shared" si="79"/>
        <v>30905.258599999997</v>
      </c>
      <c r="M34" s="352">
        <f t="shared" si="79"/>
        <v>30905.258599999997</v>
      </c>
      <c r="N34" s="352">
        <f t="shared" si="79"/>
        <v>30905.258599999997</v>
      </c>
      <c r="O34" s="352">
        <f t="shared" si="79"/>
        <v>37963.000500000009</v>
      </c>
      <c r="P34" s="352">
        <f t="shared" si="79"/>
        <v>37963.000500000009</v>
      </c>
      <c r="Q34" s="352">
        <f t="shared" si="79"/>
        <v>37963.000500000009</v>
      </c>
      <c r="R34" s="352">
        <f t="shared" si="79"/>
        <v>37963.000500000009</v>
      </c>
      <c r="S34" s="352">
        <f t="shared" si="79"/>
        <v>38912.075512500007</v>
      </c>
      <c r="T34" s="352">
        <f t="shared" si="79"/>
        <v>38912.075512500007</v>
      </c>
      <c r="U34" s="352">
        <f t="shared" si="79"/>
        <v>38912.075512500007</v>
      </c>
      <c r="V34" s="352">
        <f t="shared" si="79"/>
        <v>38912.075512500007</v>
      </c>
      <c r="W34" s="352">
        <f t="shared" si="79"/>
        <v>38912.075512500007</v>
      </c>
      <c r="X34" s="352">
        <f t="shared" si="79"/>
        <v>38912.075512500007</v>
      </c>
      <c r="Y34" s="352">
        <f t="shared" si="79"/>
        <v>38912.075512500007</v>
      </c>
      <c r="Z34" s="352">
        <f t="shared" si="79"/>
        <v>38912.075512500007</v>
      </c>
      <c r="AA34" s="352">
        <f t="shared" si="79"/>
        <v>38912.075512500007</v>
      </c>
      <c r="AB34" s="352">
        <f t="shared" si="79"/>
        <v>38912.075512500007</v>
      </c>
      <c r="AC34" s="352">
        <f t="shared" si="79"/>
        <v>38912.075512500007</v>
      </c>
      <c r="AD34" s="352">
        <f t="shared" si="79"/>
        <v>38912.075512500007</v>
      </c>
      <c r="AE34" s="352">
        <f t="shared" si="79"/>
        <v>39884.8774003125</v>
      </c>
      <c r="AF34" s="352">
        <f t="shared" si="79"/>
        <v>39884.8774003125</v>
      </c>
      <c r="AG34" s="352">
        <f t="shared" si="79"/>
        <v>39884.8774003125</v>
      </c>
      <c r="AH34" s="352">
        <f t="shared" si="79"/>
        <v>39884.8774003125</v>
      </c>
      <c r="AI34" s="352">
        <f t="shared" si="79"/>
        <v>39884.8774003125</v>
      </c>
      <c r="AJ34" s="352">
        <f t="shared" si="79"/>
        <v>39884.8774003125</v>
      </c>
      <c r="AK34" s="352">
        <f t="shared" si="79"/>
        <v>39884.8774003125</v>
      </c>
      <c r="AL34" s="352">
        <f t="shared" si="79"/>
        <v>39884.8774003125</v>
      </c>
      <c r="AM34" s="352">
        <f t="shared" si="79"/>
        <v>39884.8774003125</v>
      </c>
      <c r="AN34" s="352">
        <f t="shared" si="79"/>
        <v>39884.8774003125</v>
      </c>
      <c r="AO34" s="352">
        <f t="shared" si="79"/>
        <v>39884.8774003125</v>
      </c>
      <c r="AP34" s="352">
        <f t="shared" si="79"/>
        <v>39884.8774003125</v>
      </c>
      <c r="AQ34" s="352">
        <f t="shared" si="79"/>
        <v>40881.999335320303</v>
      </c>
      <c r="AR34" s="352">
        <f t="shared" si="79"/>
        <v>40881.999335320303</v>
      </c>
      <c r="AS34" s="352">
        <f t="shared" si="79"/>
        <v>40881.999335320303</v>
      </c>
      <c r="AT34" s="352">
        <f t="shared" si="79"/>
        <v>40881.999335320303</v>
      </c>
      <c r="AU34" s="352">
        <f t="shared" si="79"/>
        <v>40881.999335320303</v>
      </c>
      <c r="AV34" s="352">
        <f t="shared" si="79"/>
        <v>40881.999335320303</v>
      </c>
      <c r="AW34" s="352">
        <f t="shared" si="79"/>
        <v>40881.999335320303</v>
      </c>
      <c r="AX34" s="352">
        <f t="shared" si="79"/>
        <v>40881.999335320303</v>
      </c>
      <c r="AY34" s="352">
        <f t="shared" si="79"/>
        <v>40881.999335320303</v>
      </c>
      <c r="AZ34" s="352">
        <f t="shared" si="79"/>
        <v>40881.999335320303</v>
      </c>
      <c r="BA34" s="352">
        <f t="shared" si="79"/>
        <v>40881.999335320303</v>
      </c>
      <c r="BB34" s="352">
        <f t="shared" si="79"/>
        <v>40881.999335320303</v>
      </c>
      <c r="BC34" s="352">
        <f t="shared" si="79"/>
        <v>41904.049318703313</v>
      </c>
      <c r="BD34" s="352">
        <f t="shared" si="79"/>
        <v>41904.049318703313</v>
      </c>
      <c r="BE34" s="352">
        <f t="shared" si="79"/>
        <v>41904.049318703313</v>
      </c>
      <c r="BF34" s="352">
        <f t="shared" si="79"/>
        <v>41904.049318703313</v>
      </c>
      <c r="BG34" s="352">
        <f t="shared" si="79"/>
        <v>41904.049318703313</v>
      </c>
      <c r="BH34" s="352">
        <f t="shared" si="79"/>
        <v>41904.049318703313</v>
      </c>
      <c r="BI34" s="352">
        <f t="shared" si="79"/>
        <v>41904.049318703313</v>
      </c>
      <c r="BJ34" s="352">
        <f t="shared" si="79"/>
        <v>41904.049318703313</v>
      </c>
      <c r="BK34" s="352">
        <f t="shared" si="79"/>
        <v>41904.049318703313</v>
      </c>
      <c r="BL34" s="352">
        <f t="shared" si="79"/>
        <v>41904.049318703313</v>
      </c>
      <c r="BM34" s="352">
        <f t="shared" si="79"/>
        <v>41904.049318703313</v>
      </c>
      <c r="BN34" s="352">
        <f t="shared" si="79"/>
        <v>41904.049318703313</v>
      </c>
      <c r="BO34" s="352">
        <f t="shared" si="79"/>
        <v>42951.650551670893</v>
      </c>
      <c r="BP34" s="352">
        <f t="shared" si="79"/>
        <v>42951.650551670893</v>
      </c>
      <c r="BQ34" s="352">
        <f t="shared" si="79"/>
        <v>42951.650551670893</v>
      </c>
      <c r="BR34" s="352">
        <f t="shared" si="79"/>
        <v>42951.650551670893</v>
      </c>
      <c r="BS34" s="352">
        <f t="shared" si="79"/>
        <v>42951.650551670893</v>
      </c>
      <c r="BT34" s="352">
        <f t="shared" ref="BT34:EE34" si="80">SUM(BT31:BT33)</f>
        <v>42951.650551670893</v>
      </c>
      <c r="BU34" s="352">
        <f t="shared" si="80"/>
        <v>42951.650551670893</v>
      </c>
      <c r="BV34" s="352">
        <f t="shared" si="80"/>
        <v>42951.650551670893</v>
      </c>
      <c r="BW34" s="352">
        <f t="shared" si="80"/>
        <v>42951.650551670893</v>
      </c>
      <c r="BX34" s="352">
        <f t="shared" si="80"/>
        <v>42951.650551670893</v>
      </c>
      <c r="BY34" s="352">
        <f t="shared" si="80"/>
        <v>42951.650551670893</v>
      </c>
      <c r="BZ34" s="352">
        <f t="shared" si="80"/>
        <v>42951.650551670893</v>
      </c>
      <c r="CA34" s="352">
        <f t="shared" si="80"/>
        <v>44025.441815462655</v>
      </c>
      <c r="CB34" s="352">
        <f t="shared" si="80"/>
        <v>44025.441815462655</v>
      </c>
      <c r="CC34" s="352">
        <f t="shared" si="80"/>
        <v>44025.441815462655</v>
      </c>
      <c r="CD34" s="352">
        <f t="shared" si="80"/>
        <v>44025.441815462655</v>
      </c>
      <c r="CE34" s="352">
        <f t="shared" si="80"/>
        <v>44025.441815462655</v>
      </c>
      <c r="CF34" s="352">
        <f t="shared" si="80"/>
        <v>44025.441815462655</v>
      </c>
      <c r="CG34" s="352">
        <f t="shared" si="80"/>
        <v>44025.441815462655</v>
      </c>
      <c r="CH34" s="352">
        <f t="shared" si="80"/>
        <v>44025.441815462655</v>
      </c>
      <c r="CI34" s="352">
        <f t="shared" si="80"/>
        <v>44025.441815462655</v>
      </c>
      <c r="CJ34" s="352">
        <f t="shared" si="80"/>
        <v>44025.441815462655</v>
      </c>
      <c r="CK34" s="352">
        <f t="shared" si="80"/>
        <v>44025.441815462655</v>
      </c>
      <c r="CL34" s="352">
        <f t="shared" si="80"/>
        <v>44025.441815462655</v>
      </c>
      <c r="CM34" s="352">
        <f t="shared" si="80"/>
        <v>45126.077860849211</v>
      </c>
      <c r="CN34" s="352">
        <f t="shared" si="80"/>
        <v>45126.077860849211</v>
      </c>
      <c r="CO34" s="352">
        <f t="shared" si="80"/>
        <v>45126.077860849211</v>
      </c>
      <c r="CP34" s="352">
        <f t="shared" si="80"/>
        <v>45126.077860849211</v>
      </c>
      <c r="CQ34" s="352">
        <f t="shared" si="80"/>
        <v>45126.077860849211</v>
      </c>
      <c r="CR34" s="352">
        <f t="shared" si="80"/>
        <v>45126.077860849211</v>
      </c>
      <c r="CS34" s="352">
        <f t="shared" si="80"/>
        <v>45126.077860849211</v>
      </c>
      <c r="CT34" s="352">
        <f t="shared" si="80"/>
        <v>45126.077860849211</v>
      </c>
      <c r="CU34" s="352">
        <f t="shared" si="80"/>
        <v>45126.077860849211</v>
      </c>
      <c r="CV34" s="352">
        <f t="shared" si="80"/>
        <v>45126.077860849211</v>
      </c>
      <c r="CW34" s="352">
        <f t="shared" si="80"/>
        <v>45126.077860849211</v>
      </c>
      <c r="CX34" s="352">
        <f t="shared" si="80"/>
        <v>45126.077860849211</v>
      </c>
      <c r="CY34" s="352">
        <f t="shared" si="80"/>
        <v>46254.229807370444</v>
      </c>
      <c r="CZ34" s="352">
        <f t="shared" si="80"/>
        <v>46254.229807370444</v>
      </c>
      <c r="DA34" s="352">
        <f t="shared" si="80"/>
        <v>46254.229807370444</v>
      </c>
      <c r="DB34" s="352">
        <f t="shared" si="80"/>
        <v>46254.229807370444</v>
      </c>
      <c r="DC34" s="352">
        <f t="shared" si="80"/>
        <v>46254.229807370444</v>
      </c>
      <c r="DD34" s="352">
        <f t="shared" si="80"/>
        <v>46254.229807370444</v>
      </c>
      <c r="DE34" s="352">
        <f t="shared" si="80"/>
        <v>46254.229807370444</v>
      </c>
      <c r="DF34" s="352">
        <f t="shared" si="80"/>
        <v>46254.229807370444</v>
      </c>
      <c r="DG34" s="352">
        <f t="shared" si="80"/>
        <v>46254.229807370444</v>
      </c>
      <c r="DH34" s="352">
        <f t="shared" si="80"/>
        <v>46254.229807370444</v>
      </c>
      <c r="DI34" s="352">
        <f t="shared" si="80"/>
        <v>46254.229807370444</v>
      </c>
      <c r="DJ34" s="352">
        <f t="shared" si="80"/>
        <v>46254.229807370444</v>
      </c>
      <c r="DK34" s="352">
        <f t="shared" si="80"/>
        <v>47410.585552554694</v>
      </c>
      <c r="DL34" s="352">
        <f t="shared" si="80"/>
        <v>47410.585552554694</v>
      </c>
      <c r="DM34" s="352">
        <f t="shared" si="80"/>
        <v>47410.585552554694</v>
      </c>
      <c r="DN34" s="352">
        <f t="shared" si="80"/>
        <v>47410.585552554694</v>
      </c>
      <c r="DO34" s="352">
        <f t="shared" si="80"/>
        <v>47410.585552554694</v>
      </c>
      <c r="DP34" s="352">
        <f t="shared" si="80"/>
        <v>47410.585552554694</v>
      </c>
      <c r="DQ34" s="352">
        <f t="shared" si="80"/>
        <v>47410.585552554694</v>
      </c>
      <c r="DR34" s="352">
        <f t="shared" si="80"/>
        <v>47410.585552554694</v>
      </c>
      <c r="DS34" s="352">
        <f t="shared" si="80"/>
        <v>47410.585552554694</v>
      </c>
      <c r="DT34" s="352">
        <f t="shared" si="80"/>
        <v>47410.585552554694</v>
      </c>
      <c r="DU34" s="352">
        <f t="shared" si="80"/>
        <v>47410.585552554694</v>
      </c>
      <c r="DV34" s="352">
        <f t="shared" si="80"/>
        <v>47410.585552554694</v>
      </c>
      <c r="DW34" s="352">
        <f t="shared" si="80"/>
        <v>48595.850191368561</v>
      </c>
      <c r="DX34" s="352">
        <f t="shared" si="80"/>
        <v>48595.850191368561</v>
      </c>
      <c r="DY34" s="352">
        <f t="shared" si="80"/>
        <v>48595.850191368561</v>
      </c>
      <c r="DZ34" s="352">
        <f t="shared" si="80"/>
        <v>48595.850191368561</v>
      </c>
      <c r="EA34" s="352">
        <f t="shared" si="80"/>
        <v>48595.850191368561</v>
      </c>
      <c r="EB34" s="352">
        <f t="shared" si="80"/>
        <v>48595.850191368561</v>
      </c>
      <c r="EC34" s="352">
        <f t="shared" si="80"/>
        <v>48595.850191368561</v>
      </c>
      <c r="ED34" s="352">
        <f t="shared" si="80"/>
        <v>48595.850191368561</v>
      </c>
      <c r="EE34" s="352">
        <f t="shared" si="80"/>
        <v>48595.850191368561</v>
      </c>
      <c r="EF34" s="352">
        <f t="shared" ref="EF34:GD34" si="81">SUM(EF31:EF33)</f>
        <v>48595.850191368561</v>
      </c>
      <c r="EG34" s="352">
        <f t="shared" si="81"/>
        <v>48595.850191368561</v>
      </c>
      <c r="EH34" s="352">
        <f t="shared" si="81"/>
        <v>48595.850191368561</v>
      </c>
      <c r="EI34" s="352">
        <f t="shared" si="81"/>
        <v>49810.746446152763</v>
      </c>
      <c r="EJ34" s="352">
        <f t="shared" si="81"/>
        <v>49810.746446152763</v>
      </c>
      <c r="EK34" s="352">
        <f t="shared" si="81"/>
        <v>49810.746446152763</v>
      </c>
      <c r="EL34" s="352">
        <f t="shared" si="81"/>
        <v>49810.746446152763</v>
      </c>
      <c r="EM34" s="352">
        <f t="shared" si="81"/>
        <v>49810.746446152763</v>
      </c>
      <c r="EN34" s="352">
        <f t="shared" si="81"/>
        <v>49810.746446152763</v>
      </c>
      <c r="EO34" s="352">
        <f t="shared" si="81"/>
        <v>49810.746446152763</v>
      </c>
      <c r="EP34" s="352">
        <f t="shared" si="81"/>
        <v>49810.746446152763</v>
      </c>
      <c r="EQ34" s="352">
        <f t="shared" si="81"/>
        <v>49810.746446152763</v>
      </c>
      <c r="ER34" s="352">
        <f t="shared" si="81"/>
        <v>49810.746446152763</v>
      </c>
      <c r="ES34" s="352">
        <f t="shared" si="81"/>
        <v>49810.746446152763</v>
      </c>
      <c r="ET34" s="352">
        <f t="shared" si="81"/>
        <v>49810.746446152763</v>
      </c>
      <c r="EU34" s="352">
        <f t="shared" si="81"/>
        <v>51056.015107306579</v>
      </c>
      <c r="EV34" s="352">
        <f t="shared" si="81"/>
        <v>51056.015107306579</v>
      </c>
      <c r="EW34" s="352">
        <f t="shared" si="81"/>
        <v>51056.015107306579</v>
      </c>
      <c r="EX34" s="352">
        <f t="shared" si="81"/>
        <v>51056.015107306579</v>
      </c>
      <c r="EY34" s="352">
        <f t="shared" si="81"/>
        <v>51056.015107306579</v>
      </c>
      <c r="EZ34" s="352">
        <f t="shared" si="81"/>
        <v>51056.015107306579</v>
      </c>
      <c r="FA34" s="352">
        <f t="shared" si="81"/>
        <v>51056.015107306579</v>
      </c>
      <c r="FB34" s="352">
        <f t="shared" si="81"/>
        <v>51056.015107306579</v>
      </c>
      <c r="FC34" s="352">
        <f t="shared" si="81"/>
        <v>51056.015107306579</v>
      </c>
      <c r="FD34" s="352">
        <f t="shared" si="81"/>
        <v>51056.015107306579</v>
      </c>
      <c r="FE34" s="352">
        <f t="shared" si="81"/>
        <v>51056.015107306579</v>
      </c>
      <c r="FF34" s="352">
        <f t="shared" si="81"/>
        <v>51056.015107306579</v>
      </c>
      <c r="FG34" s="352">
        <f t="shared" si="81"/>
        <v>52332.415484989237</v>
      </c>
      <c r="FH34" s="352">
        <f t="shared" si="81"/>
        <v>52332.415484989237</v>
      </c>
      <c r="FI34" s="352">
        <f t="shared" si="81"/>
        <v>52332.415484989237</v>
      </c>
      <c r="FJ34" s="352">
        <f t="shared" si="81"/>
        <v>52332.415484989237</v>
      </c>
      <c r="FK34" s="352">
        <f t="shared" si="81"/>
        <v>52332.415484989237</v>
      </c>
      <c r="FL34" s="352">
        <f t="shared" si="81"/>
        <v>52332.415484989237</v>
      </c>
      <c r="FM34" s="352">
        <f t="shared" si="81"/>
        <v>52332.415484989237</v>
      </c>
      <c r="FN34" s="352">
        <f t="shared" si="81"/>
        <v>52332.415484989237</v>
      </c>
      <c r="FO34" s="352">
        <f t="shared" si="81"/>
        <v>52332.415484989237</v>
      </c>
      <c r="FP34" s="352">
        <f t="shared" si="81"/>
        <v>52332.415484989237</v>
      </c>
      <c r="FQ34" s="352">
        <f t="shared" si="81"/>
        <v>52332.415484989237</v>
      </c>
      <c r="FR34" s="352">
        <f t="shared" si="81"/>
        <v>52332.415484989237</v>
      </c>
      <c r="FS34" s="352">
        <f t="shared" si="81"/>
        <v>53640.725872113966</v>
      </c>
      <c r="FT34" s="352">
        <f t="shared" si="81"/>
        <v>53640.725872113966</v>
      </c>
      <c r="FU34" s="352">
        <f t="shared" si="81"/>
        <v>53640.725872113966</v>
      </c>
      <c r="FV34" s="352">
        <f t="shared" si="81"/>
        <v>53640.725872113966</v>
      </c>
      <c r="FW34" s="352">
        <f t="shared" si="81"/>
        <v>53640.725872113966</v>
      </c>
      <c r="FX34" s="352">
        <f t="shared" si="81"/>
        <v>53640.725872113966</v>
      </c>
      <c r="FY34" s="352">
        <f t="shared" si="81"/>
        <v>53640.725872113966</v>
      </c>
      <c r="FZ34" s="352">
        <f t="shared" si="81"/>
        <v>53640.725872113966</v>
      </c>
      <c r="GA34" s="352">
        <f t="shared" si="81"/>
        <v>53640.725872113966</v>
      </c>
      <c r="GB34" s="352">
        <f t="shared" si="81"/>
        <v>53640.725872113966</v>
      </c>
      <c r="GC34" s="352">
        <f t="shared" si="81"/>
        <v>53640.725872113966</v>
      </c>
      <c r="GD34" s="352">
        <f t="shared" si="81"/>
        <v>53640.725872113966</v>
      </c>
      <c r="GE34" s="352">
        <f t="shared" ref="GE34" si="82">SUM(GE31:GE33)</f>
        <v>54981.744018916805</v>
      </c>
      <c r="GF34" s="352">
        <f t="shared" ref="GF34" si="83">SUM(GF31:GF33)</f>
        <v>54981.744018916805</v>
      </c>
      <c r="GG34" s="352">
        <f t="shared" ref="GG34" si="84">SUM(GG31:GG33)</f>
        <v>54981.744018916805</v>
      </c>
      <c r="GH34" s="352">
        <f t="shared" ref="GH34" si="85">SUM(GH31:GH33)</f>
        <v>54981.744018916805</v>
      </c>
      <c r="GI34" s="352">
        <f t="shared" ref="GI34" si="86">SUM(GI31:GI33)</f>
        <v>54981.744018916805</v>
      </c>
      <c r="GJ34" s="352">
        <f t="shared" ref="GJ34" si="87">SUM(GJ31:GJ33)</f>
        <v>54981.744018916805</v>
      </c>
      <c r="GK34" s="352">
        <f t="shared" ref="GK34" si="88">SUM(GK31:GK33)</f>
        <v>54981.744018916805</v>
      </c>
      <c r="GL34" s="352">
        <f t="shared" ref="GL34" si="89">SUM(GL31:GL33)</f>
        <v>54981.744018916805</v>
      </c>
      <c r="GM34" s="352">
        <f t="shared" ref="GM34" si="90">SUM(GM31:GM33)</f>
        <v>54981.744018916805</v>
      </c>
      <c r="GN34" s="610"/>
      <c r="GO34" s="610"/>
      <c r="GP34" s="610"/>
      <c r="GQ34" s="63"/>
      <c r="GR34" s="63"/>
      <c r="GS34" s="63"/>
      <c r="GT34" s="63"/>
      <c r="GU34" s="63"/>
      <c r="GV34" s="63"/>
      <c r="GW34" s="63"/>
      <c r="GX34" s="63"/>
      <c r="GY34" s="63"/>
      <c r="GZ34" s="63"/>
      <c r="HA34" s="63"/>
      <c r="HB34" s="63"/>
      <c r="HC34" s="63"/>
      <c r="HD34" s="63"/>
      <c r="HE34" s="63"/>
      <c r="HF34" s="63"/>
      <c r="HG34" s="63"/>
      <c r="HH34" s="63"/>
      <c r="HI34" s="63"/>
      <c r="HJ34" s="63"/>
      <c r="HK34" s="63"/>
      <c r="HL34" s="63"/>
      <c r="HM34" s="63"/>
      <c r="HN34" s="63"/>
      <c r="HO34" s="63"/>
      <c r="HP34" s="63"/>
      <c r="HQ34" s="63"/>
      <c r="HR34" s="63"/>
      <c r="HS34" s="63"/>
      <c r="HT34" s="63"/>
      <c r="HU34" s="63"/>
      <c r="HV34" s="63"/>
      <c r="HW34" s="63"/>
      <c r="HX34" s="63"/>
      <c r="HY34" s="63"/>
      <c r="HZ34" s="63"/>
      <c r="IA34" s="63"/>
      <c r="IB34" s="63"/>
      <c r="IC34" s="63"/>
      <c r="ID34" s="63"/>
      <c r="IE34" s="63"/>
      <c r="IF34" s="63"/>
      <c r="IG34" s="63"/>
      <c r="IH34" s="63"/>
      <c r="II34" s="63"/>
      <c r="IJ34" s="63"/>
      <c r="IK34" s="63"/>
      <c r="IL34" s="63"/>
      <c r="IM34" s="63"/>
      <c r="IN34" s="63"/>
      <c r="IO34" s="63"/>
      <c r="IP34" s="63"/>
      <c r="IQ34" s="63"/>
      <c r="IR34" s="63"/>
      <c r="IS34" s="63"/>
      <c r="IT34" s="63"/>
      <c r="IU34" s="63"/>
      <c r="IV34" s="63"/>
      <c r="IW34" s="63"/>
      <c r="IX34" s="63"/>
      <c r="IY34" s="63"/>
      <c r="IZ34" s="63"/>
      <c r="JA34" s="63"/>
      <c r="JB34" s="63"/>
      <c r="JC34" s="63"/>
      <c r="JD34" s="63"/>
      <c r="JE34" s="63"/>
      <c r="JF34" s="63"/>
      <c r="JG34" s="63"/>
      <c r="JH34" s="63"/>
      <c r="JI34" s="63"/>
      <c r="JJ34" s="63"/>
      <c r="JK34" s="63"/>
      <c r="JL34" s="63"/>
      <c r="JM34" s="63"/>
      <c r="JN34" s="63"/>
      <c r="JO34" s="63"/>
      <c r="JP34" s="63"/>
      <c r="JQ34" s="63"/>
      <c r="JR34" s="63"/>
      <c r="JS34" s="63"/>
      <c r="JT34" s="63"/>
      <c r="JU34" s="63"/>
      <c r="JV34" s="63"/>
      <c r="JW34" s="63"/>
      <c r="JX34" s="63"/>
      <c r="JY34" s="63"/>
      <c r="JZ34" s="63"/>
      <c r="KA34" s="63"/>
      <c r="KB34" s="63"/>
      <c r="KC34" s="63"/>
      <c r="KD34" s="63"/>
      <c r="KE34" s="63"/>
      <c r="KF34" s="63"/>
      <c r="KG34" s="63"/>
      <c r="KH34" s="63"/>
      <c r="KI34" s="63"/>
      <c r="KJ34" s="63"/>
      <c r="KK34" s="63"/>
      <c r="KL34" s="63"/>
      <c r="KM34" s="63"/>
      <c r="KN34" s="63"/>
      <c r="KO34" s="63"/>
      <c r="KP34" s="63"/>
      <c r="KQ34" s="63"/>
      <c r="KR34" s="63"/>
      <c r="KS34" s="63"/>
      <c r="KT34" s="63"/>
      <c r="KU34" s="63"/>
      <c r="KV34" s="63"/>
      <c r="KW34" s="63"/>
      <c r="KX34" s="63"/>
      <c r="KY34" s="63"/>
      <c r="KZ34" s="63"/>
      <c r="LA34" s="63"/>
      <c r="LB34" s="63"/>
      <c r="LC34" s="63"/>
      <c r="LD34" s="63"/>
      <c r="LE34" s="63"/>
      <c r="LF34" s="63"/>
      <c r="LG34" s="63"/>
      <c r="LH34" s="63"/>
      <c r="LI34" s="63"/>
      <c r="LJ34" s="63"/>
      <c r="LK34" s="63"/>
      <c r="LL34" s="63"/>
      <c r="LM34" s="63"/>
      <c r="LN34" s="63"/>
      <c r="LO34" s="63"/>
      <c r="LP34" s="63"/>
      <c r="LQ34" s="63"/>
      <c r="LR34" s="63"/>
      <c r="LS34" s="63"/>
      <c r="LT34" s="63"/>
      <c r="LU34" s="63"/>
      <c r="LV34" s="63"/>
      <c r="LW34" s="63"/>
      <c r="LX34" s="63"/>
      <c r="LY34" s="63"/>
      <c r="LZ34" s="63"/>
      <c r="MA34" s="63"/>
      <c r="MB34" s="63"/>
      <c r="MC34" s="63"/>
      <c r="MD34" s="63"/>
      <c r="ME34" s="63"/>
      <c r="MF34" s="63"/>
      <c r="MG34" s="63"/>
      <c r="MH34" s="63"/>
      <c r="MI34" s="63"/>
      <c r="MJ34" s="63"/>
      <c r="MK34" s="63"/>
      <c r="ML34" s="63"/>
      <c r="MM34" s="63"/>
      <c r="MN34" s="63"/>
      <c r="MO34" s="63"/>
      <c r="MP34" s="63"/>
      <c r="MQ34" s="63"/>
      <c r="MR34" s="63"/>
      <c r="MS34" s="63"/>
      <c r="MT34" s="63"/>
      <c r="MU34" s="63"/>
      <c r="MV34" s="63"/>
      <c r="MW34" s="63"/>
      <c r="MX34" s="63"/>
      <c r="MY34" s="63"/>
      <c r="MZ34" s="63"/>
      <c r="NA34" s="63"/>
      <c r="NB34" s="63"/>
    </row>
    <row r="35" spans="2:367" ht="16" customHeight="1" x14ac:dyDescent="0.15">
      <c r="B35" s="3"/>
      <c r="C35" s="94"/>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37"/>
      <c r="AX35" s="37"/>
      <c r="AY35" s="37"/>
      <c r="AZ35" s="37"/>
      <c r="BA35" s="37"/>
      <c r="BB35" s="37"/>
      <c r="BC35" s="37"/>
      <c r="BD35" s="37"/>
      <c r="BE35" s="37"/>
      <c r="BF35" s="37"/>
      <c r="BG35" s="37"/>
      <c r="BH35" s="37"/>
      <c r="BI35" s="37"/>
      <c r="BJ35" s="37"/>
      <c r="BK35" s="37"/>
      <c r="BL35" s="37"/>
      <c r="BM35" s="37"/>
      <c r="BN35" s="37"/>
      <c r="BO35" s="37"/>
      <c r="BP35" s="37"/>
      <c r="BQ35" s="37"/>
      <c r="BR35" s="37"/>
      <c r="BS35" s="37"/>
      <c r="BT35" s="37"/>
      <c r="BU35" s="37"/>
      <c r="BV35" s="37"/>
      <c r="BW35" s="37"/>
      <c r="BX35" s="37"/>
      <c r="BY35" s="37"/>
      <c r="BZ35" s="37"/>
      <c r="CA35" s="37"/>
      <c r="CB35" s="37"/>
      <c r="CC35" s="37"/>
      <c r="CD35" s="37"/>
      <c r="CE35" s="37"/>
      <c r="CF35" s="37"/>
      <c r="CG35" s="37"/>
      <c r="CH35" s="37"/>
      <c r="CI35" s="37"/>
      <c r="CJ35" s="37"/>
      <c r="CK35" s="37"/>
    </row>
    <row r="36" spans="2:367" ht="16" customHeight="1" x14ac:dyDescent="0.15">
      <c r="B36" s="3" t="s">
        <v>80</v>
      </c>
      <c r="C36" s="94"/>
      <c r="F36" s="37"/>
      <c r="G36" s="37"/>
      <c r="H36" s="37"/>
      <c r="I36" s="37"/>
      <c r="J36" s="37"/>
      <c r="K36" s="37"/>
      <c r="L36" s="37"/>
      <c r="M36" s="37"/>
      <c r="N36" s="37"/>
      <c r="O36" s="37"/>
      <c r="P36" s="37"/>
      <c r="Q36" s="37"/>
      <c r="R36" s="37"/>
      <c r="S36" s="37"/>
      <c r="T36" s="37"/>
      <c r="U36" s="37"/>
      <c r="V36" s="37"/>
      <c r="W36" s="37"/>
      <c r="X36" s="37"/>
      <c r="Y36" s="37"/>
      <c r="Z36" s="37"/>
      <c r="AA36" s="37"/>
      <c r="AB36" s="37"/>
      <c r="AC36" s="37"/>
      <c r="AD36" s="37"/>
      <c r="AE36" s="37"/>
      <c r="AF36" s="37"/>
      <c r="AG36" s="37"/>
      <c r="AH36" s="37"/>
      <c r="AI36" s="37"/>
      <c r="AJ36" s="37"/>
      <c r="AK36" s="37"/>
      <c r="AL36" s="37"/>
      <c r="AM36" s="37"/>
      <c r="AN36" s="37"/>
      <c r="AO36" s="37"/>
      <c r="AP36" s="37"/>
      <c r="AQ36" s="37"/>
      <c r="AR36" s="37"/>
      <c r="AS36" s="37"/>
      <c r="AT36" s="37"/>
      <c r="AU36" s="37"/>
      <c r="AV36" s="37"/>
      <c r="AW36" s="37"/>
      <c r="AX36" s="37"/>
      <c r="AY36" s="37"/>
      <c r="AZ36" s="37"/>
      <c r="BA36" s="37"/>
      <c r="BB36" s="37"/>
      <c r="BC36" s="37"/>
      <c r="BD36" s="37"/>
      <c r="BE36" s="37"/>
      <c r="BF36" s="37"/>
      <c r="BG36" s="37"/>
      <c r="BH36" s="37"/>
      <c r="BI36" s="37"/>
      <c r="BJ36" s="37"/>
      <c r="BK36" s="37"/>
      <c r="BL36" s="37"/>
      <c r="BM36" s="37"/>
      <c r="BN36" s="37"/>
      <c r="BO36" s="37"/>
      <c r="BP36" s="37"/>
      <c r="BQ36" s="37"/>
      <c r="BR36" s="37"/>
      <c r="BS36" s="37"/>
      <c r="BT36" s="37"/>
      <c r="BU36" s="37"/>
      <c r="BV36" s="37"/>
      <c r="BW36" s="37"/>
      <c r="BX36" s="37"/>
      <c r="BY36" s="37"/>
      <c r="BZ36" s="37"/>
      <c r="CA36" s="37"/>
      <c r="CB36" s="37"/>
      <c r="CC36" s="37"/>
      <c r="CD36" s="37"/>
      <c r="CE36" s="37"/>
      <c r="CF36" s="37"/>
      <c r="CG36" s="37"/>
      <c r="CH36" s="37"/>
      <c r="CI36" s="37"/>
      <c r="CJ36" s="37"/>
      <c r="CK36" s="37"/>
    </row>
    <row r="37" spans="2:367" ht="16" customHeight="1" x14ac:dyDescent="0.15">
      <c r="B37" s="71" t="s">
        <v>276</v>
      </c>
      <c r="C37" s="312" t="s">
        <v>150</v>
      </c>
      <c r="D37" s="321">
        <f>management_fee</f>
        <v>3.5000000000000003E-2</v>
      </c>
      <c r="E37"/>
      <c r="F37" s="37">
        <f>-$D$37*F$34</f>
        <v>0</v>
      </c>
      <c r="G37" s="37">
        <f>-$D$37*G$34</f>
        <v>-1081.684051</v>
      </c>
      <c r="H37" s="37">
        <f t="shared" ref="H37:BS37" si="91">-$D$37*H$34</f>
        <v>-1081.684051</v>
      </c>
      <c r="I37" s="37">
        <f t="shared" si="91"/>
        <v>-1081.684051</v>
      </c>
      <c r="J37" s="37">
        <f t="shared" si="91"/>
        <v>-1081.684051</v>
      </c>
      <c r="K37" s="37">
        <f t="shared" si="91"/>
        <v>-1081.684051</v>
      </c>
      <c r="L37" s="37">
        <f t="shared" si="91"/>
        <v>-1081.684051</v>
      </c>
      <c r="M37" s="37">
        <f t="shared" si="91"/>
        <v>-1081.684051</v>
      </c>
      <c r="N37" s="37">
        <f t="shared" si="91"/>
        <v>-1081.684051</v>
      </c>
      <c r="O37" s="37">
        <f t="shared" si="91"/>
        <v>-1328.7050175000004</v>
      </c>
      <c r="P37" s="37">
        <f t="shared" si="91"/>
        <v>-1328.7050175000004</v>
      </c>
      <c r="Q37" s="37">
        <f t="shared" si="91"/>
        <v>-1328.7050175000004</v>
      </c>
      <c r="R37" s="37">
        <f t="shared" si="91"/>
        <v>-1328.7050175000004</v>
      </c>
      <c r="S37" s="37">
        <f t="shared" si="91"/>
        <v>-1361.9226429375003</v>
      </c>
      <c r="T37" s="37">
        <f t="shared" si="91"/>
        <v>-1361.9226429375003</v>
      </c>
      <c r="U37" s="37">
        <f t="shared" si="91"/>
        <v>-1361.9226429375003</v>
      </c>
      <c r="V37" s="37">
        <f t="shared" si="91"/>
        <v>-1361.9226429375003</v>
      </c>
      <c r="W37" s="37">
        <f t="shared" si="91"/>
        <v>-1361.9226429375003</v>
      </c>
      <c r="X37" s="37">
        <f t="shared" si="91"/>
        <v>-1361.9226429375003</v>
      </c>
      <c r="Y37" s="37">
        <f t="shared" si="91"/>
        <v>-1361.9226429375003</v>
      </c>
      <c r="Z37" s="37">
        <f t="shared" si="91"/>
        <v>-1361.9226429375003</v>
      </c>
      <c r="AA37" s="37">
        <f t="shared" si="91"/>
        <v>-1361.9226429375003</v>
      </c>
      <c r="AB37" s="37">
        <f t="shared" si="91"/>
        <v>-1361.9226429375003</v>
      </c>
      <c r="AC37" s="37">
        <f t="shared" si="91"/>
        <v>-1361.9226429375003</v>
      </c>
      <c r="AD37" s="37">
        <f t="shared" si="91"/>
        <v>-1361.9226429375003</v>
      </c>
      <c r="AE37" s="37">
        <f t="shared" si="91"/>
        <v>-1395.9707090109375</v>
      </c>
      <c r="AF37" s="37">
        <f t="shared" si="91"/>
        <v>-1395.9707090109375</v>
      </c>
      <c r="AG37" s="37">
        <f t="shared" si="91"/>
        <v>-1395.9707090109375</v>
      </c>
      <c r="AH37" s="37">
        <f t="shared" si="91"/>
        <v>-1395.9707090109375</v>
      </c>
      <c r="AI37" s="37">
        <f t="shared" si="91"/>
        <v>-1395.9707090109375</v>
      </c>
      <c r="AJ37" s="37">
        <f t="shared" si="91"/>
        <v>-1395.9707090109375</v>
      </c>
      <c r="AK37" s="37">
        <f t="shared" si="91"/>
        <v>-1395.9707090109375</v>
      </c>
      <c r="AL37" s="37">
        <f t="shared" si="91"/>
        <v>-1395.9707090109375</v>
      </c>
      <c r="AM37" s="37">
        <f t="shared" si="91"/>
        <v>-1395.9707090109375</v>
      </c>
      <c r="AN37" s="37">
        <f t="shared" si="91"/>
        <v>-1395.9707090109375</v>
      </c>
      <c r="AO37" s="37">
        <f t="shared" si="91"/>
        <v>-1395.9707090109375</v>
      </c>
      <c r="AP37" s="37">
        <f t="shared" si="91"/>
        <v>-1395.9707090109375</v>
      </c>
      <c r="AQ37" s="37">
        <f t="shared" si="91"/>
        <v>-1430.8699767362107</v>
      </c>
      <c r="AR37" s="37">
        <f t="shared" si="91"/>
        <v>-1430.8699767362107</v>
      </c>
      <c r="AS37" s="37">
        <f t="shared" si="91"/>
        <v>-1430.8699767362107</v>
      </c>
      <c r="AT37" s="37">
        <f t="shared" si="91"/>
        <v>-1430.8699767362107</v>
      </c>
      <c r="AU37" s="37">
        <f t="shared" si="91"/>
        <v>-1430.8699767362107</v>
      </c>
      <c r="AV37" s="37">
        <f t="shared" si="91"/>
        <v>-1430.8699767362107</v>
      </c>
      <c r="AW37" s="37">
        <f t="shared" si="91"/>
        <v>-1430.8699767362107</v>
      </c>
      <c r="AX37" s="37">
        <f t="shared" si="91"/>
        <v>-1430.8699767362107</v>
      </c>
      <c r="AY37" s="37">
        <f t="shared" si="91"/>
        <v>-1430.8699767362107</v>
      </c>
      <c r="AZ37" s="37">
        <f t="shared" si="91"/>
        <v>-1430.8699767362107</v>
      </c>
      <c r="BA37" s="37">
        <f t="shared" si="91"/>
        <v>-1430.8699767362107</v>
      </c>
      <c r="BB37" s="37">
        <f t="shared" si="91"/>
        <v>-1430.8699767362107</v>
      </c>
      <c r="BC37" s="37">
        <f t="shared" si="91"/>
        <v>-1466.6417261546162</v>
      </c>
      <c r="BD37" s="37">
        <f t="shared" si="91"/>
        <v>-1466.6417261546162</v>
      </c>
      <c r="BE37" s="37">
        <f t="shared" si="91"/>
        <v>-1466.6417261546162</v>
      </c>
      <c r="BF37" s="37">
        <f t="shared" si="91"/>
        <v>-1466.6417261546162</v>
      </c>
      <c r="BG37" s="37">
        <f t="shared" si="91"/>
        <v>-1466.6417261546162</v>
      </c>
      <c r="BH37" s="37">
        <f t="shared" si="91"/>
        <v>-1466.6417261546162</v>
      </c>
      <c r="BI37" s="37">
        <f t="shared" si="91"/>
        <v>-1466.6417261546162</v>
      </c>
      <c r="BJ37" s="37">
        <f t="shared" si="91"/>
        <v>-1466.6417261546162</v>
      </c>
      <c r="BK37" s="37">
        <f t="shared" si="91"/>
        <v>-1466.6417261546162</v>
      </c>
      <c r="BL37" s="37">
        <f t="shared" si="91"/>
        <v>-1466.6417261546162</v>
      </c>
      <c r="BM37" s="37">
        <f t="shared" si="91"/>
        <v>-1466.6417261546162</v>
      </c>
      <c r="BN37" s="37">
        <f t="shared" si="91"/>
        <v>-1466.6417261546162</v>
      </c>
      <c r="BO37" s="37">
        <f t="shared" si="91"/>
        <v>-1503.3077693084815</v>
      </c>
      <c r="BP37" s="37">
        <f t="shared" si="91"/>
        <v>-1503.3077693084815</v>
      </c>
      <c r="BQ37" s="37">
        <f t="shared" si="91"/>
        <v>-1503.3077693084815</v>
      </c>
      <c r="BR37" s="37">
        <f t="shared" si="91"/>
        <v>-1503.3077693084815</v>
      </c>
      <c r="BS37" s="37">
        <f t="shared" si="91"/>
        <v>-1503.3077693084815</v>
      </c>
      <c r="BT37" s="37">
        <f t="shared" ref="BT37:EE37" si="92">-$D$37*BT$34</f>
        <v>-1503.3077693084815</v>
      </c>
      <c r="BU37" s="37">
        <f t="shared" si="92"/>
        <v>-1503.3077693084815</v>
      </c>
      <c r="BV37" s="37">
        <f t="shared" si="92"/>
        <v>-1503.3077693084815</v>
      </c>
      <c r="BW37" s="37">
        <f t="shared" si="92"/>
        <v>-1503.3077693084815</v>
      </c>
      <c r="BX37" s="37">
        <f t="shared" si="92"/>
        <v>-1503.3077693084815</v>
      </c>
      <c r="BY37" s="37">
        <f t="shared" si="92"/>
        <v>-1503.3077693084815</v>
      </c>
      <c r="BZ37" s="37">
        <f t="shared" si="92"/>
        <v>-1503.3077693084815</v>
      </c>
      <c r="CA37" s="37">
        <f t="shared" si="92"/>
        <v>-1540.890463541193</v>
      </c>
      <c r="CB37" s="37">
        <f t="shared" si="92"/>
        <v>-1540.890463541193</v>
      </c>
      <c r="CC37" s="37">
        <f t="shared" si="92"/>
        <v>-1540.890463541193</v>
      </c>
      <c r="CD37" s="37">
        <f t="shared" si="92"/>
        <v>-1540.890463541193</v>
      </c>
      <c r="CE37" s="37">
        <f t="shared" si="92"/>
        <v>-1540.890463541193</v>
      </c>
      <c r="CF37" s="37">
        <f t="shared" si="92"/>
        <v>-1540.890463541193</v>
      </c>
      <c r="CG37" s="37">
        <f t="shared" si="92"/>
        <v>-1540.890463541193</v>
      </c>
      <c r="CH37" s="37">
        <f t="shared" si="92"/>
        <v>-1540.890463541193</v>
      </c>
      <c r="CI37" s="37">
        <f t="shared" si="92"/>
        <v>-1540.890463541193</v>
      </c>
      <c r="CJ37" s="37">
        <f t="shared" si="92"/>
        <v>-1540.890463541193</v>
      </c>
      <c r="CK37" s="37">
        <f t="shared" si="92"/>
        <v>-1540.890463541193</v>
      </c>
      <c r="CL37" s="37">
        <f t="shared" si="92"/>
        <v>-1540.890463541193</v>
      </c>
      <c r="CM37" s="37">
        <f t="shared" si="92"/>
        <v>-1579.4127251297225</v>
      </c>
      <c r="CN37" s="37">
        <f t="shared" si="92"/>
        <v>-1579.4127251297225</v>
      </c>
      <c r="CO37" s="37">
        <f t="shared" si="92"/>
        <v>-1579.4127251297225</v>
      </c>
      <c r="CP37" s="37">
        <f t="shared" si="92"/>
        <v>-1579.4127251297225</v>
      </c>
      <c r="CQ37" s="37">
        <f t="shared" si="92"/>
        <v>-1579.4127251297225</v>
      </c>
      <c r="CR37" s="37">
        <f t="shared" si="92"/>
        <v>-1579.4127251297225</v>
      </c>
      <c r="CS37" s="37">
        <f t="shared" si="92"/>
        <v>-1579.4127251297225</v>
      </c>
      <c r="CT37" s="37">
        <f t="shared" si="92"/>
        <v>-1579.4127251297225</v>
      </c>
      <c r="CU37" s="37">
        <f t="shared" si="92"/>
        <v>-1579.4127251297225</v>
      </c>
      <c r="CV37" s="37">
        <f t="shared" si="92"/>
        <v>-1579.4127251297225</v>
      </c>
      <c r="CW37" s="37">
        <f t="shared" si="92"/>
        <v>-1579.4127251297225</v>
      </c>
      <c r="CX37" s="37">
        <f t="shared" si="92"/>
        <v>-1579.4127251297225</v>
      </c>
      <c r="CY37" s="37">
        <f t="shared" si="92"/>
        <v>-1618.8980432579658</v>
      </c>
      <c r="CZ37" s="37">
        <f t="shared" si="92"/>
        <v>-1618.8980432579658</v>
      </c>
      <c r="DA37" s="37">
        <f t="shared" si="92"/>
        <v>-1618.8980432579658</v>
      </c>
      <c r="DB37" s="37">
        <f t="shared" si="92"/>
        <v>-1618.8980432579658</v>
      </c>
      <c r="DC37" s="37">
        <f t="shared" si="92"/>
        <v>-1618.8980432579658</v>
      </c>
      <c r="DD37" s="37">
        <f t="shared" si="92"/>
        <v>-1618.8980432579658</v>
      </c>
      <c r="DE37" s="37">
        <f t="shared" si="92"/>
        <v>-1618.8980432579658</v>
      </c>
      <c r="DF37" s="37">
        <f t="shared" si="92"/>
        <v>-1618.8980432579658</v>
      </c>
      <c r="DG37" s="37">
        <f t="shared" si="92"/>
        <v>-1618.8980432579658</v>
      </c>
      <c r="DH37" s="37">
        <f t="shared" si="92"/>
        <v>-1618.8980432579658</v>
      </c>
      <c r="DI37" s="37">
        <f t="shared" si="92"/>
        <v>-1618.8980432579658</v>
      </c>
      <c r="DJ37" s="37">
        <f t="shared" si="92"/>
        <v>-1618.8980432579658</v>
      </c>
      <c r="DK37" s="37">
        <f t="shared" si="92"/>
        <v>-1659.3704943394143</v>
      </c>
      <c r="DL37" s="37">
        <f t="shared" si="92"/>
        <v>-1659.3704943394143</v>
      </c>
      <c r="DM37" s="37">
        <f t="shared" si="92"/>
        <v>-1659.3704943394143</v>
      </c>
      <c r="DN37" s="37">
        <f t="shared" si="92"/>
        <v>-1659.3704943394143</v>
      </c>
      <c r="DO37" s="37">
        <f t="shared" si="92"/>
        <v>-1659.3704943394143</v>
      </c>
      <c r="DP37" s="37">
        <f t="shared" si="92"/>
        <v>-1659.3704943394143</v>
      </c>
      <c r="DQ37" s="37">
        <f t="shared" si="92"/>
        <v>-1659.3704943394143</v>
      </c>
      <c r="DR37" s="37">
        <f t="shared" si="92"/>
        <v>-1659.3704943394143</v>
      </c>
      <c r="DS37" s="37">
        <f t="shared" si="92"/>
        <v>-1659.3704943394143</v>
      </c>
      <c r="DT37" s="37">
        <f t="shared" si="92"/>
        <v>-1659.3704943394143</v>
      </c>
      <c r="DU37" s="37">
        <f t="shared" si="92"/>
        <v>-1659.3704943394143</v>
      </c>
      <c r="DV37" s="37">
        <f t="shared" si="92"/>
        <v>-1659.3704943394143</v>
      </c>
      <c r="DW37" s="37">
        <f t="shared" si="92"/>
        <v>-1700.8547566978998</v>
      </c>
      <c r="DX37" s="37">
        <f t="shared" si="92"/>
        <v>-1700.8547566978998</v>
      </c>
      <c r="DY37" s="37">
        <f t="shared" si="92"/>
        <v>-1700.8547566978998</v>
      </c>
      <c r="DZ37" s="37">
        <f t="shared" si="92"/>
        <v>-1700.8547566978998</v>
      </c>
      <c r="EA37" s="37">
        <f t="shared" si="92"/>
        <v>-1700.8547566978998</v>
      </c>
      <c r="EB37" s="37">
        <f t="shared" si="92"/>
        <v>-1700.8547566978998</v>
      </c>
      <c r="EC37" s="37">
        <f t="shared" si="92"/>
        <v>-1700.8547566978998</v>
      </c>
      <c r="ED37" s="37">
        <f t="shared" si="92"/>
        <v>-1700.8547566978998</v>
      </c>
      <c r="EE37" s="37">
        <f t="shared" si="92"/>
        <v>-1700.8547566978998</v>
      </c>
      <c r="EF37" s="37">
        <f t="shared" ref="EF37:GM37" si="93">-$D$37*EF$34</f>
        <v>-1700.8547566978998</v>
      </c>
      <c r="EG37" s="37">
        <f t="shared" si="93"/>
        <v>-1700.8547566978998</v>
      </c>
      <c r="EH37" s="37">
        <f t="shared" si="93"/>
        <v>-1700.8547566978998</v>
      </c>
      <c r="EI37" s="37">
        <f t="shared" si="93"/>
        <v>-1743.3761256153468</v>
      </c>
      <c r="EJ37" s="37">
        <f t="shared" si="93"/>
        <v>-1743.3761256153468</v>
      </c>
      <c r="EK37" s="37">
        <f t="shared" si="93"/>
        <v>-1743.3761256153468</v>
      </c>
      <c r="EL37" s="37">
        <f t="shared" si="93"/>
        <v>-1743.3761256153468</v>
      </c>
      <c r="EM37" s="37">
        <f t="shared" si="93"/>
        <v>-1743.3761256153468</v>
      </c>
      <c r="EN37" s="37">
        <f t="shared" si="93"/>
        <v>-1743.3761256153468</v>
      </c>
      <c r="EO37" s="37">
        <f t="shared" si="93"/>
        <v>-1743.3761256153468</v>
      </c>
      <c r="EP37" s="37">
        <f t="shared" si="93"/>
        <v>-1743.3761256153468</v>
      </c>
      <c r="EQ37" s="37">
        <f t="shared" si="93"/>
        <v>-1743.3761256153468</v>
      </c>
      <c r="ER37" s="37">
        <f t="shared" si="93"/>
        <v>-1743.3761256153468</v>
      </c>
      <c r="ES37" s="37">
        <f t="shared" si="93"/>
        <v>-1743.3761256153468</v>
      </c>
      <c r="ET37" s="37">
        <f t="shared" si="93"/>
        <v>-1743.3761256153468</v>
      </c>
      <c r="EU37" s="37">
        <f t="shared" si="93"/>
        <v>-1786.9605287557304</v>
      </c>
      <c r="EV37" s="37">
        <f t="shared" si="93"/>
        <v>-1786.9605287557304</v>
      </c>
      <c r="EW37" s="37">
        <f t="shared" si="93"/>
        <v>-1786.9605287557304</v>
      </c>
      <c r="EX37" s="37">
        <f t="shared" si="93"/>
        <v>-1786.9605287557304</v>
      </c>
      <c r="EY37" s="37">
        <f t="shared" si="93"/>
        <v>-1786.9605287557304</v>
      </c>
      <c r="EZ37" s="37">
        <f t="shared" si="93"/>
        <v>-1786.9605287557304</v>
      </c>
      <c r="FA37" s="37">
        <f t="shared" si="93"/>
        <v>-1786.9605287557304</v>
      </c>
      <c r="FB37" s="37">
        <f t="shared" si="93"/>
        <v>-1786.9605287557304</v>
      </c>
      <c r="FC37" s="37">
        <f t="shared" si="93"/>
        <v>-1786.9605287557304</v>
      </c>
      <c r="FD37" s="37">
        <f t="shared" si="93"/>
        <v>-1786.9605287557304</v>
      </c>
      <c r="FE37" s="37">
        <f t="shared" si="93"/>
        <v>-1786.9605287557304</v>
      </c>
      <c r="FF37" s="37">
        <f t="shared" si="93"/>
        <v>-1786.9605287557304</v>
      </c>
      <c r="FG37" s="37">
        <f t="shared" si="93"/>
        <v>-1831.6345419746235</v>
      </c>
      <c r="FH37" s="37">
        <f t="shared" si="93"/>
        <v>-1831.6345419746235</v>
      </c>
      <c r="FI37" s="37">
        <f t="shared" si="93"/>
        <v>-1831.6345419746235</v>
      </c>
      <c r="FJ37" s="37">
        <f t="shared" si="93"/>
        <v>-1831.6345419746235</v>
      </c>
      <c r="FK37" s="37">
        <f t="shared" si="93"/>
        <v>-1831.6345419746235</v>
      </c>
      <c r="FL37" s="37">
        <f t="shared" si="93"/>
        <v>-1831.6345419746235</v>
      </c>
      <c r="FM37" s="37">
        <f t="shared" si="93"/>
        <v>-1831.6345419746235</v>
      </c>
      <c r="FN37" s="37">
        <f t="shared" si="93"/>
        <v>-1831.6345419746235</v>
      </c>
      <c r="FO37" s="37">
        <f t="shared" si="93"/>
        <v>-1831.6345419746235</v>
      </c>
      <c r="FP37" s="37">
        <f t="shared" si="93"/>
        <v>-1831.6345419746235</v>
      </c>
      <c r="FQ37" s="37">
        <f t="shared" si="93"/>
        <v>-1831.6345419746235</v>
      </c>
      <c r="FR37" s="37">
        <f t="shared" si="93"/>
        <v>-1831.6345419746235</v>
      </c>
      <c r="FS37" s="37">
        <f t="shared" si="93"/>
        <v>-1877.425405523989</v>
      </c>
      <c r="FT37" s="37">
        <f t="shared" si="93"/>
        <v>-1877.425405523989</v>
      </c>
      <c r="FU37" s="37">
        <f t="shared" si="93"/>
        <v>-1877.425405523989</v>
      </c>
      <c r="FV37" s="37">
        <f t="shared" si="93"/>
        <v>-1877.425405523989</v>
      </c>
      <c r="FW37" s="37">
        <f t="shared" si="93"/>
        <v>-1877.425405523989</v>
      </c>
      <c r="FX37" s="37">
        <f t="shared" si="93"/>
        <v>-1877.425405523989</v>
      </c>
      <c r="FY37" s="37">
        <f t="shared" si="93"/>
        <v>-1877.425405523989</v>
      </c>
      <c r="FZ37" s="37">
        <f t="shared" si="93"/>
        <v>-1877.425405523989</v>
      </c>
      <c r="GA37" s="37">
        <f t="shared" si="93"/>
        <v>-1877.425405523989</v>
      </c>
      <c r="GB37" s="37">
        <f t="shared" si="93"/>
        <v>-1877.425405523989</v>
      </c>
      <c r="GC37" s="37">
        <f t="shared" si="93"/>
        <v>-1877.425405523989</v>
      </c>
      <c r="GD37" s="37">
        <f t="shared" si="93"/>
        <v>-1877.425405523989</v>
      </c>
      <c r="GE37" s="37">
        <f t="shared" si="93"/>
        <v>-1924.3610406620883</v>
      </c>
      <c r="GF37" s="37">
        <f t="shared" si="93"/>
        <v>-1924.3610406620883</v>
      </c>
      <c r="GG37" s="37">
        <f t="shared" si="93"/>
        <v>-1924.3610406620883</v>
      </c>
      <c r="GH37" s="37">
        <f t="shared" si="93"/>
        <v>-1924.3610406620883</v>
      </c>
      <c r="GI37" s="37">
        <f t="shared" si="93"/>
        <v>-1924.3610406620883</v>
      </c>
      <c r="GJ37" s="37">
        <f t="shared" si="93"/>
        <v>-1924.3610406620883</v>
      </c>
      <c r="GK37" s="37">
        <f t="shared" si="93"/>
        <v>-1924.3610406620883</v>
      </c>
      <c r="GL37" s="37">
        <f t="shared" si="93"/>
        <v>-1924.3610406620883</v>
      </c>
      <c r="GM37" s="37">
        <f t="shared" si="93"/>
        <v>-1924.3610406620883</v>
      </c>
      <c r="GN37" s="63"/>
      <c r="GO37" s="63"/>
      <c r="GP37" s="63"/>
      <c r="GQ37" s="63"/>
      <c r="GR37" s="63"/>
      <c r="GS37" s="63"/>
      <c r="GT37" s="63"/>
      <c r="GU37" s="63"/>
      <c r="GV37" s="63"/>
      <c r="GW37" s="63"/>
      <c r="GX37" s="63"/>
      <c r="GY37" s="63"/>
      <c r="GZ37" s="63"/>
      <c r="HA37" s="63"/>
      <c r="HB37" s="63"/>
      <c r="HC37" s="63"/>
      <c r="HD37" s="63"/>
      <c r="HE37" s="63"/>
      <c r="HF37" s="63"/>
      <c r="HG37" s="63"/>
      <c r="HH37" s="63"/>
      <c r="HI37" s="63"/>
      <c r="HJ37" s="63"/>
      <c r="HK37" s="63"/>
      <c r="HL37" s="63"/>
      <c r="HM37" s="63"/>
      <c r="HN37" s="63"/>
      <c r="HO37" s="63"/>
      <c r="HP37" s="63"/>
      <c r="HQ37" s="63"/>
      <c r="HR37" s="63"/>
      <c r="HS37" s="63"/>
      <c r="HT37" s="63"/>
      <c r="HU37" s="63"/>
      <c r="HV37" s="63"/>
      <c r="HW37" s="63"/>
      <c r="HX37" s="63"/>
      <c r="HY37" s="63"/>
      <c r="HZ37" s="63"/>
      <c r="IA37" s="63"/>
      <c r="IB37" s="63"/>
      <c r="IC37" s="63"/>
      <c r="ID37" s="63"/>
      <c r="IE37" s="63"/>
      <c r="IF37" s="63"/>
      <c r="IG37" s="63"/>
      <c r="IH37" s="63"/>
      <c r="II37" s="63"/>
      <c r="IJ37" s="63"/>
      <c r="IK37" s="63"/>
      <c r="IL37" s="63"/>
      <c r="IM37" s="63"/>
      <c r="IN37" s="63"/>
      <c r="IO37" s="63"/>
      <c r="IP37" s="63"/>
      <c r="IQ37" s="63"/>
      <c r="IR37" s="63"/>
      <c r="IS37" s="63"/>
      <c r="IT37" s="63"/>
      <c r="IU37" s="63"/>
      <c r="IV37" s="63"/>
      <c r="IW37" s="63"/>
      <c r="IX37" s="63"/>
      <c r="IY37" s="63"/>
      <c r="IZ37" s="63"/>
      <c r="JA37" s="63"/>
      <c r="JB37" s="63"/>
      <c r="JC37" s="63"/>
      <c r="JD37" s="63"/>
      <c r="JE37" s="63"/>
      <c r="JF37" s="63"/>
      <c r="JG37" s="63"/>
      <c r="JH37" s="63"/>
      <c r="JI37" s="63"/>
      <c r="JJ37" s="63"/>
      <c r="JK37" s="63"/>
      <c r="JL37" s="63"/>
      <c r="JM37" s="63"/>
      <c r="JN37" s="63"/>
      <c r="JO37" s="63"/>
      <c r="JP37" s="63"/>
      <c r="JQ37" s="63"/>
      <c r="JR37" s="63"/>
      <c r="JS37" s="63"/>
      <c r="JT37" s="63"/>
      <c r="JU37" s="63"/>
      <c r="JV37" s="63"/>
      <c r="JW37" s="63"/>
      <c r="JX37" s="63"/>
      <c r="JY37" s="63"/>
      <c r="JZ37" s="63"/>
      <c r="KA37" s="63"/>
      <c r="KB37" s="63"/>
      <c r="KC37" s="63"/>
      <c r="KD37" s="63"/>
      <c r="KE37" s="63"/>
      <c r="KF37" s="63"/>
      <c r="KG37" s="63"/>
      <c r="KH37" s="63"/>
      <c r="KI37" s="63"/>
      <c r="KJ37" s="63"/>
      <c r="KK37" s="63"/>
      <c r="KL37" s="63"/>
      <c r="KM37" s="63"/>
      <c r="KN37" s="63"/>
      <c r="KO37" s="63"/>
      <c r="KP37" s="63"/>
      <c r="KQ37" s="63"/>
      <c r="KR37" s="63"/>
      <c r="KS37" s="63"/>
      <c r="KT37" s="63"/>
      <c r="KU37" s="63"/>
      <c r="KV37" s="63"/>
      <c r="KW37" s="63"/>
      <c r="KX37" s="63"/>
      <c r="KY37" s="63"/>
      <c r="KZ37" s="63"/>
      <c r="LA37" s="63"/>
      <c r="LB37" s="63"/>
      <c r="LC37" s="63"/>
      <c r="LD37" s="63"/>
      <c r="LE37" s="63"/>
      <c r="LF37" s="63"/>
      <c r="LG37" s="63"/>
      <c r="LH37" s="63"/>
      <c r="LI37" s="63"/>
      <c r="LJ37" s="63"/>
      <c r="LK37" s="63"/>
      <c r="LL37" s="63"/>
      <c r="LM37" s="63"/>
      <c r="LN37" s="63"/>
      <c r="LO37" s="63"/>
      <c r="LP37" s="63"/>
      <c r="LQ37" s="63"/>
      <c r="LR37" s="63"/>
      <c r="LS37" s="63"/>
      <c r="LT37" s="63"/>
      <c r="LU37" s="63"/>
      <c r="LV37" s="63"/>
      <c r="LW37" s="63"/>
      <c r="LX37" s="63"/>
      <c r="LY37" s="63"/>
      <c r="LZ37" s="63"/>
      <c r="MA37" s="63"/>
      <c r="MB37" s="63"/>
      <c r="MC37" s="63"/>
      <c r="MD37" s="63"/>
      <c r="ME37" s="63"/>
      <c r="MF37" s="63"/>
      <c r="MG37" s="63"/>
      <c r="MH37" s="63"/>
      <c r="MI37" s="63"/>
      <c r="MJ37" s="63"/>
      <c r="MK37" s="63"/>
      <c r="ML37" s="63"/>
      <c r="MM37" s="63"/>
      <c r="MN37" s="63"/>
      <c r="MO37" s="63"/>
      <c r="MP37" s="63"/>
      <c r="MQ37" s="63"/>
      <c r="MR37" s="63"/>
      <c r="MS37" s="63"/>
      <c r="MT37" s="63"/>
      <c r="MU37" s="63"/>
      <c r="MV37" s="63"/>
      <c r="MW37" s="63"/>
      <c r="MX37" s="63"/>
      <c r="MY37" s="63"/>
      <c r="MZ37" s="63"/>
      <c r="NA37" s="63"/>
      <c r="NB37" s="63"/>
    </row>
    <row r="38" spans="2:367" ht="16" customHeight="1" x14ac:dyDescent="0.15">
      <c r="B38" s="96"/>
      <c r="C38" s="64"/>
      <c r="D38" s="6" t="s">
        <v>43</v>
      </c>
      <c r="F38" s="37"/>
      <c r="G38" s="37"/>
      <c r="H38" s="37"/>
      <c r="I38" s="37"/>
      <c r="J38" s="37"/>
      <c r="K38" s="37"/>
      <c r="L38" s="37"/>
      <c r="M38" s="37"/>
      <c r="N38" s="37"/>
      <c r="O38" s="37"/>
      <c r="P38" s="37"/>
      <c r="Q38" s="37"/>
      <c r="R38" s="37"/>
      <c r="S38" s="37"/>
      <c r="T38" s="37"/>
      <c r="U38" s="37"/>
      <c r="V38" s="37"/>
      <c r="W38" s="37"/>
      <c r="X38" s="37"/>
      <c r="Y38" s="37"/>
      <c r="Z38" s="37"/>
      <c r="AA38" s="37"/>
      <c r="AB38" s="37"/>
      <c r="AC38" s="37"/>
      <c r="AD38" s="37"/>
      <c r="AE38" s="37"/>
      <c r="AF38" s="37"/>
      <c r="AG38" s="37"/>
      <c r="AH38" s="37"/>
      <c r="AI38" s="37"/>
      <c r="AJ38" s="37"/>
      <c r="AK38" s="37"/>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c r="BT38" s="37"/>
      <c r="BU38" s="37"/>
      <c r="BV38" s="37"/>
      <c r="BW38" s="37"/>
      <c r="BX38" s="37"/>
      <c r="BY38" s="37"/>
      <c r="BZ38" s="37"/>
      <c r="CA38" s="37"/>
      <c r="CB38" s="37"/>
      <c r="CC38" s="37"/>
      <c r="CD38" s="37"/>
      <c r="CE38" s="37"/>
      <c r="CF38" s="37"/>
      <c r="CG38" s="37"/>
      <c r="CH38" s="37"/>
      <c r="CI38" s="37"/>
      <c r="CJ38" s="37"/>
      <c r="CK38" s="37"/>
    </row>
    <row r="39" spans="2:367" ht="16" customHeight="1" x14ac:dyDescent="0.15">
      <c r="B39" s="71" t="s">
        <v>277</v>
      </c>
      <c r="C39" s="312" t="s">
        <v>150</v>
      </c>
      <c r="D39" s="97">
        <f>-'Assumptions_&amp;_Inputs'!E63/12</f>
        <v>-1392.6499999999999</v>
      </c>
      <c r="F39" s="37">
        <v>0</v>
      </c>
      <c r="G39" s="37">
        <f>$D$39*(1+inflation)^(G$14-1)*(1+G$12*'Assumptions_&amp;_Inputs'!$E$47)</f>
        <v>-1490.1354999999999</v>
      </c>
      <c r="H39" s="37">
        <f>$D$39*(1+inflation)^(H$14-1)*(1+H$12*'Assumptions_&amp;_Inputs'!$E$47)</f>
        <v>-1490.1354999999999</v>
      </c>
      <c r="I39" s="37">
        <f>$D$39*(1+inflation)^(I$14-1)*(1+I$12*'Assumptions_&amp;_Inputs'!$E$47)</f>
        <v>-1490.1354999999999</v>
      </c>
      <c r="J39" s="37">
        <f>$D$39*(1+inflation)^(J$14-1)*(1+J$12*'Assumptions_&amp;_Inputs'!$E$47)</f>
        <v>-1490.1354999999999</v>
      </c>
      <c r="K39" s="37">
        <f>$D$39*(1+inflation)^(K$14-1)*(1+K$12*'Assumptions_&amp;_Inputs'!$E$47)</f>
        <v>-1490.1354999999999</v>
      </c>
      <c r="L39" s="37">
        <f>$D$39*(1+inflation)^(L$14-1)*(1+L$12*'Assumptions_&amp;_Inputs'!$E$47)</f>
        <v>-1490.1354999999999</v>
      </c>
      <c r="M39" s="37">
        <f>$D$39*(1+inflation)^(M$14-1)*(1+M$12*'Assumptions_&amp;_Inputs'!$E$47)</f>
        <v>-1490.1354999999999</v>
      </c>
      <c r="N39" s="37">
        <f>$D$39*(1+inflation)^(N$14-1)*(1+N$12*'Assumptions_&amp;_Inputs'!$E$47)</f>
        <v>-1490.1354999999999</v>
      </c>
      <c r="O39" s="37">
        <f>$D$39*(1+inflation)^(O$14-1)*(1+O$12*'Assumptions_&amp;_Inputs'!$E$47)</f>
        <v>-1392.6499999999999</v>
      </c>
      <c r="P39" s="37">
        <f>$D$39*(1+inflation)^(P$14-1)*(1+P$12*'Assumptions_&amp;_Inputs'!$E$47)</f>
        <v>-1392.6499999999999</v>
      </c>
      <c r="Q39" s="37">
        <f>$D$39*(1+inflation)^(Q$14-1)*(1+Q$12*'Assumptions_&amp;_Inputs'!$E$47)</f>
        <v>-1392.6499999999999</v>
      </c>
      <c r="R39" s="37">
        <f>$D$39*(1+inflation)^(R$14-1)*(1+R$12*'Assumptions_&amp;_Inputs'!$E$47)</f>
        <v>-1392.6499999999999</v>
      </c>
      <c r="S39" s="37">
        <f>$D$39*(1+inflation)^(S$14-1)*(1+S$12*'Assumptions_&amp;_Inputs'!$E$47)</f>
        <v>-1427.4662499999997</v>
      </c>
      <c r="T39" s="37">
        <f>$D$39*(1+inflation)^(T$14-1)*(1+T$12*'Assumptions_&amp;_Inputs'!$E$47)</f>
        <v>-1427.4662499999997</v>
      </c>
      <c r="U39" s="37">
        <f>$D$39*(1+inflation)^(U$14-1)*(1+U$12*'Assumptions_&amp;_Inputs'!$E$47)</f>
        <v>-1427.4662499999997</v>
      </c>
      <c r="V39" s="37">
        <f>$D$39*(1+inflation)^(V$14-1)*(1+V$12*'Assumptions_&amp;_Inputs'!$E$47)</f>
        <v>-1427.4662499999997</v>
      </c>
      <c r="W39" s="37">
        <f>$D$39*(1+inflation)^(W$14-1)*(1+W$12*'Assumptions_&amp;_Inputs'!$E$47)</f>
        <v>-1427.4662499999997</v>
      </c>
      <c r="X39" s="37">
        <f>$D$39*(1+inflation)^(X$14-1)*(1+X$12*'Assumptions_&amp;_Inputs'!$E$47)</f>
        <v>-1427.4662499999997</v>
      </c>
      <c r="Y39" s="37">
        <f>$D$39*(1+inflation)^(Y$14-1)*(1+Y$12*'Assumptions_&amp;_Inputs'!$E$47)</f>
        <v>-1427.4662499999997</v>
      </c>
      <c r="Z39" s="37">
        <f>$D$39*(1+inflation)^(Z$14-1)*(1+Z$12*'Assumptions_&amp;_Inputs'!$E$47)</f>
        <v>-1427.4662499999997</v>
      </c>
      <c r="AA39" s="37">
        <f>$D$39*(1+inflation)^(AA$14-1)*(1+AA$12*'Assumptions_&amp;_Inputs'!$E$47)</f>
        <v>-1427.4662499999997</v>
      </c>
      <c r="AB39" s="37">
        <f>$D$39*(1+inflation)^(AB$14-1)*(1+AB$12*'Assumptions_&amp;_Inputs'!$E$47)</f>
        <v>-1427.4662499999997</v>
      </c>
      <c r="AC39" s="37">
        <f>$D$39*(1+inflation)^(AC$14-1)*(1+AC$12*'Assumptions_&amp;_Inputs'!$E$47)</f>
        <v>-1427.4662499999997</v>
      </c>
      <c r="AD39" s="37">
        <f>$D$39*(1+inflation)^(AD$14-1)*(1+AD$12*'Assumptions_&amp;_Inputs'!$E$47)</f>
        <v>-1427.4662499999997</v>
      </c>
      <c r="AE39" s="37">
        <f>$D$39*(1+inflation)^(AE$14-1)*(1+AE$12*'Assumptions_&amp;_Inputs'!$E$47)</f>
        <v>-1463.1529062499997</v>
      </c>
      <c r="AF39" s="37">
        <f>$D$39*(1+inflation)^(AF$14-1)*(1+AF$12*'Assumptions_&amp;_Inputs'!$E$47)</f>
        <v>-1463.1529062499997</v>
      </c>
      <c r="AG39" s="37">
        <f>$D$39*(1+inflation)^(AG$14-1)*(1+AG$12*'Assumptions_&amp;_Inputs'!$E$47)</f>
        <v>-1463.1529062499997</v>
      </c>
      <c r="AH39" s="37">
        <f>$D$39*(1+inflation)^(AH$14-1)*(1+AH$12*'Assumptions_&amp;_Inputs'!$E$47)</f>
        <v>-1463.1529062499997</v>
      </c>
      <c r="AI39" s="37">
        <f>$D$39*(1+inflation)^(AI$14-1)*(1+AI$12*'Assumptions_&amp;_Inputs'!$E$47)</f>
        <v>-1463.1529062499997</v>
      </c>
      <c r="AJ39" s="37">
        <f>$D$39*(1+inflation)^(AJ$14-1)*(1+AJ$12*'Assumptions_&amp;_Inputs'!$E$47)</f>
        <v>-1463.1529062499997</v>
      </c>
      <c r="AK39" s="37">
        <f>$D$39*(1+inflation)^(AK$14-1)*(1+AK$12*'Assumptions_&amp;_Inputs'!$E$47)</f>
        <v>-1463.1529062499997</v>
      </c>
      <c r="AL39" s="37">
        <f>$D$39*(1+inflation)^(AL$14-1)*(1+AL$12*'Assumptions_&amp;_Inputs'!$E$47)</f>
        <v>-1463.1529062499997</v>
      </c>
      <c r="AM39" s="37">
        <f>$D$39*(1+inflation)^(AM$14-1)*(1+AM$12*'Assumptions_&amp;_Inputs'!$E$47)</f>
        <v>-1463.1529062499997</v>
      </c>
      <c r="AN39" s="37">
        <f>$D$39*(1+inflation)^(AN$14-1)*(1+AN$12*'Assumptions_&amp;_Inputs'!$E$47)</f>
        <v>-1463.1529062499997</v>
      </c>
      <c r="AO39" s="37">
        <f>$D$39*(1+inflation)^(AO$14-1)*(1+AO$12*'Assumptions_&amp;_Inputs'!$E$47)</f>
        <v>-1463.1529062499997</v>
      </c>
      <c r="AP39" s="37">
        <f>$D$39*(1+inflation)^(AP$14-1)*(1+AP$12*'Assumptions_&amp;_Inputs'!$E$47)</f>
        <v>-1463.1529062499997</v>
      </c>
      <c r="AQ39" s="37">
        <f>$D$39*(1+inflation)^(AQ$14-1)*(1+AQ$12*'Assumptions_&amp;_Inputs'!$E$47)</f>
        <v>-1499.7317289062496</v>
      </c>
      <c r="AR39" s="37">
        <f>$D$39*(1+inflation)^(AR$14-1)*(1+AR$12*'Assumptions_&amp;_Inputs'!$E$47)</f>
        <v>-1499.7317289062496</v>
      </c>
      <c r="AS39" s="37">
        <f>$D$39*(1+inflation)^(AS$14-1)*(1+AS$12*'Assumptions_&amp;_Inputs'!$E$47)</f>
        <v>-1499.7317289062496</v>
      </c>
      <c r="AT39" s="37">
        <f>$D$39*(1+inflation)^(AT$14-1)*(1+AT$12*'Assumptions_&amp;_Inputs'!$E$47)</f>
        <v>-1499.7317289062496</v>
      </c>
      <c r="AU39" s="37">
        <f>$D$39*(1+inflation)^(AU$14-1)*(1+AU$12*'Assumptions_&amp;_Inputs'!$E$47)</f>
        <v>-1499.7317289062496</v>
      </c>
      <c r="AV39" s="37">
        <f>$D$39*(1+inflation)^(AV$14-1)*(1+AV$12*'Assumptions_&amp;_Inputs'!$E$47)</f>
        <v>-1499.7317289062496</v>
      </c>
      <c r="AW39" s="37">
        <f>$D$39*(1+inflation)^(AW$14-1)*(1+AW$12*'Assumptions_&amp;_Inputs'!$E$47)</f>
        <v>-1499.7317289062496</v>
      </c>
      <c r="AX39" s="37">
        <f>$D$39*(1+inflation)^(AX$14-1)*(1+AX$12*'Assumptions_&amp;_Inputs'!$E$47)</f>
        <v>-1499.7317289062496</v>
      </c>
      <c r="AY39" s="37">
        <f>$D$39*(1+inflation)^(AY$14-1)*(1+AY$12*'Assumptions_&amp;_Inputs'!$E$47)</f>
        <v>-1499.7317289062496</v>
      </c>
      <c r="AZ39" s="37">
        <f>$D$39*(1+inflation)^(AZ$14-1)*(1+AZ$12*'Assumptions_&amp;_Inputs'!$E$47)</f>
        <v>-1499.7317289062496</v>
      </c>
      <c r="BA39" s="37">
        <f>$D$39*(1+inflation)^(BA$14-1)*(1+BA$12*'Assumptions_&amp;_Inputs'!$E$47)</f>
        <v>-1499.7317289062496</v>
      </c>
      <c r="BB39" s="37">
        <f>$D$39*(1+inflation)^(BB$14-1)*(1+BB$12*'Assumptions_&amp;_Inputs'!$E$47)</f>
        <v>-1499.7317289062496</v>
      </c>
      <c r="BC39" s="37">
        <f>$D$39*(1+inflation)^(BC$14-1)*(1+BC$12*'Assumptions_&amp;_Inputs'!$E$47)</f>
        <v>-1537.2250221289057</v>
      </c>
      <c r="BD39" s="37">
        <f>$D$39*(1+inflation)^(BD$14-1)*(1+BD$12*'Assumptions_&amp;_Inputs'!$E$47)</f>
        <v>-1537.2250221289057</v>
      </c>
      <c r="BE39" s="37">
        <f>$D$39*(1+inflation)^(BE$14-1)*(1+BE$12*'Assumptions_&amp;_Inputs'!$E$47)</f>
        <v>-1537.2250221289057</v>
      </c>
      <c r="BF39" s="37">
        <f>$D$39*(1+inflation)^(BF$14-1)*(1+BF$12*'Assumptions_&amp;_Inputs'!$E$47)</f>
        <v>-1537.2250221289057</v>
      </c>
      <c r="BG39" s="37">
        <f>$D$39*(1+inflation)^(BG$14-1)*(1+BG$12*'Assumptions_&amp;_Inputs'!$E$47)</f>
        <v>-1537.2250221289057</v>
      </c>
      <c r="BH39" s="37">
        <f>$D$39*(1+inflation)^(BH$14-1)*(1+BH$12*'Assumptions_&amp;_Inputs'!$E$47)</f>
        <v>-1537.2250221289057</v>
      </c>
      <c r="BI39" s="37">
        <f>$D$39*(1+inflation)^(BI$14-1)*(1+BI$12*'Assumptions_&amp;_Inputs'!$E$47)</f>
        <v>-1537.2250221289057</v>
      </c>
      <c r="BJ39" s="37">
        <f>$D$39*(1+inflation)^(BJ$14-1)*(1+BJ$12*'Assumptions_&amp;_Inputs'!$E$47)</f>
        <v>-1537.2250221289057</v>
      </c>
      <c r="BK39" s="37">
        <f>$D$39*(1+inflation)^(BK$14-1)*(1+BK$12*'Assumptions_&amp;_Inputs'!$E$47)</f>
        <v>-1537.2250221289057</v>
      </c>
      <c r="BL39" s="37">
        <f>$D$39*(1+inflation)^(BL$14-1)*(1+BL$12*'Assumptions_&amp;_Inputs'!$E$47)</f>
        <v>-1537.2250221289057</v>
      </c>
      <c r="BM39" s="37">
        <f>$D$39*(1+inflation)^(BM$14-1)*(1+BM$12*'Assumptions_&amp;_Inputs'!$E$47)</f>
        <v>-1537.2250221289057</v>
      </c>
      <c r="BN39" s="37">
        <f>$D$39*(1+inflation)^(BN$14-1)*(1+BN$12*'Assumptions_&amp;_Inputs'!$E$47)</f>
        <v>-1537.2250221289057</v>
      </c>
      <c r="BO39" s="37">
        <f>$D$39*(1+inflation)^(BO$14-1)*(1+BO$12*'Assumptions_&amp;_Inputs'!$E$47)</f>
        <v>-1575.6556476821283</v>
      </c>
      <c r="BP39" s="37">
        <f>$D$39*(1+inflation)^(BP$14-1)*(1+BP$12*'Assumptions_&amp;_Inputs'!$E$47)</f>
        <v>-1575.6556476821283</v>
      </c>
      <c r="BQ39" s="37">
        <f>$D$39*(1+inflation)^(BQ$14-1)*(1+BQ$12*'Assumptions_&amp;_Inputs'!$E$47)</f>
        <v>-1575.6556476821283</v>
      </c>
      <c r="BR39" s="37">
        <f>$D$39*(1+inflation)^(BR$14-1)*(1+BR$12*'Assumptions_&amp;_Inputs'!$E$47)</f>
        <v>-1575.6556476821283</v>
      </c>
      <c r="BS39" s="37">
        <f>$D$39*(1+inflation)^(BS$14-1)*(1+BS$12*'Assumptions_&amp;_Inputs'!$E$47)</f>
        <v>-1575.6556476821283</v>
      </c>
      <c r="BT39" s="37">
        <f>$D$39*(1+inflation)^(BT$14-1)*(1+BT$12*'Assumptions_&amp;_Inputs'!$E$47)</f>
        <v>-1575.6556476821283</v>
      </c>
      <c r="BU39" s="37">
        <f>$D$39*(1+inflation)^(BU$14-1)*(1+BU$12*'Assumptions_&amp;_Inputs'!$E$47)</f>
        <v>-1575.6556476821283</v>
      </c>
      <c r="BV39" s="37">
        <f>$D$39*(1+inflation)^(BV$14-1)*(1+BV$12*'Assumptions_&amp;_Inputs'!$E$47)</f>
        <v>-1575.6556476821283</v>
      </c>
      <c r="BW39" s="37">
        <f>$D$39*(1+inflation)^(BW$14-1)*(1+BW$12*'Assumptions_&amp;_Inputs'!$E$47)</f>
        <v>-1575.6556476821283</v>
      </c>
      <c r="BX39" s="37">
        <f>$D$39*(1+inflation)^(BX$14-1)*(1+BX$12*'Assumptions_&amp;_Inputs'!$E$47)</f>
        <v>-1575.6556476821283</v>
      </c>
      <c r="BY39" s="37">
        <f>$D$39*(1+inflation)^(BY$14-1)*(1+BY$12*'Assumptions_&amp;_Inputs'!$E$47)</f>
        <v>-1575.6556476821283</v>
      </c>
      <c r="BZ39" s="37">
        <f>$D$39*(1+inflation)^(BZ$14-1)*(1+BZ$12*'Assumptions_&amp;_Inputs'!$E$47)</f>
        <v>-1575.6556476821283</v>
      </c>
      <c r="CA39" s="37">
        <f>$D$39*(1+inflation)^(CA$14-1)*(1+CA$12*'Assumptions_&amp;_Inputs'!$E$47)</f>
        <v>-1615.0470388741815</v>
      </c>
      <c r="CB39" s="37">
        <f>$D$39*(1+inflation)^(CB$14-1)*(1+CB$12*'Assumptions_&amp;_Inputs'!$E$47)</f>
        <v>-1615.0470388741815</v>
      </c>
      <c r="CC39" s="37">
        <f>$D$39*(1+inflation)^(CC$14-1)*(1+CC$12*'Assumptions_&amp;_Inputs'!$E$47)</f>
        <v>-1615.0470388741815</v>
      </c>
      <c r="CD39" s="37">
        <f>$D$39*(1+inflation)^(CD$14-1)*(1+CD$12*'Assumptions_&amp;_Inputs'!$E$47)</f>
        <v>-1615.0470388741815</v>
      </c>
      <c r="CE39" s="37">
        <f>$D$39*(1+inflation)^(CE$14-1)*(1+CE$12*'Assumptions_&amp;_Inputs'!$E$47)</f>
        <v>-1615.0470388741815</v>
      </c>
      <c r="CF39" s="37">
        <f>$D$39*(1+inflation)^(CF$14-1)*(1+CF$12*'Assumptions_&amp;_Inputs'!$E$47)</f>
        <v>-1615.0470388741815</v>
      </c>
      <c r="CG39" s="37">
        <f>$D$39*(1+inflation)^(CG$14-1)*(1+CG$12*'Assumptions_&amp;_Inputs'!$E$47)</f>
        <v>-1615.0470388741815</v>
      </c>
      <c r="CH39" s="37">
        <f>$D$39*(1+inflation)^(CH$14-1)*(1+CH$12*'Assumptions_&amp;_Inputs'!$E$47)</f>
        <v>-1615.0470388741815</v>
      </c>
      <c r="CI39" s="37">
        <f>$D$39*(1+inflation)^(CI$14-1)*(1+CI$12*'Assumptions_&amp;_Inputs'!$E$47)</f>
        <v>-1615.0470388741815</v>
      </c>
      <c r="CJ39" s="37">
        <f>$D$39*(1+inflation)^(CJ$14-1)*(1+CJ$12*'Assumptions_&amp;_Inputs'!$E$47)</f>
        <v>-1615.0470388741815</v>
      </c>
      <c r="CK39" s="37">
        <f>$D$39*(1+inflation)^(CK$14-1)*(1+CK$12*'Assumptions_&amp;_Inputs'!$E$47)</f>
        <v>-1615.0470388741815</v>
      </c>
      <c r="CL39" s="37">
        <f>$D$39*(1+inflation)^(CL$14-1)*(1+CL$12*'Assumptions_&amp;_Inputs'!$E$47)</f>
        <v>-1615.0470388741815</v>
      </c>
      <c r="CM39" s="37">
        <f>$D$39*(1+inflation)^(CM$14-1)*(1+CM$12*'Assumptions_&amp;_Inputs'!$E$47)</f>
        <v>-1655.423214846036</v>
      </c>
      <c r="CN39" s="37">
        <f>$D$39*(1+inflation)^(CN$14-1)*(1+CN$12*'Assumptions_&amp;_Inputs'!$E$47)</f>
        <v>-1655.423214846036</v>
      </c>
      <c r="CO39" s="37">
        <f>$D$39*(1+inflation)^(CO$14-1)*(1+CO$12*'Assumptions_&amp;_Inputs'!$E$47)</f>
        <v>-1655.423214846036</v>
      </c>
      <c r="CP39" s="37">
        <f>$D$39*(1+inflation)^(CP$14-1)*(1+CP$12*'Assumptions_&amp;_Inputs'!$E$47)</f>
        <v>-1655.423214846036</v>
      </c>
      <c r="CQ39" s="37">
        <f>$D$39*(1+inflation)^(CQ$14-1)*(1+CQ$12*'Assumptions_&amp;_Inputs'!$E$47)</f>
        <v>-1655.423214846036</v>
      </c>
      <c r="CR39" s="37">
        <f>$D$39*(1+inflation)^(CR$14-1)*(1+CR$12*'Assumptions_&amp;_Inputs'!$E$47)</f>
        <v>-1655.423214846036</v>
      </c>
      <c r="CS39" s="37">
        <f>$D$39*(1+inflation)^(CS$14-1)*(1+CS$12*'Assumptions_&amp;_Inputs'!$E$47)</f>
        <v>-1655.423214846036</v>
      </c>
      <c r="CT39" s="37">
        <f>$D$39*(1+inflation)^(CT$14-1)*(1+CT$12*'Assumptions_&amp;_Inputs'!$E$47)</f>
        <v>-1655.423214846036</v>
      </c>
      <c r="CU39" s="37">
        <f>$D$39*(1+inflation)^(CU$14-1)*(1+CU$12*'Assumptions_&amp;_Inputs'!$E$47)</f>
        <v>-1655.423214846036</v>
      </c>
      <c r="CV39" s="37">
        <f>$D$39*(1+inflation)^(CV$14-1)*(1+CV$12*'Assumptions_&amp;_Inputs'!$E$47)</f>
        <v>-1655.423214846036</v>
      </c>
      <c r="CW39" s="37">
        <f>$D$39*(1+inflation)^(CW$14-1)*(1+CW$12*'Assumptions_&amp;_Inputs'!$E$47)</f>
        <v>-1655.423214846036</v>
      </c>
      <c r="CX39" s="37">
        <f>$D$39*(1+inflation)^(CX$14-1)*(1+CX$12*'Assumptions_&amp;_Inputs'!$E$47)</f>
        <v>-1655.423214846036</v>
      </c>
      <c r="CY39" s="37">
        <f>$D$39*(1+inflation)^(CY$14-1)*(1+CY$12*'Assumptions_&amp;_Inputs'!$E$47)</f>
        <v>-1696.8087952171868</v>
      </c>
      <c r="CZ39" s="37">
        <f>$D$39*(1+inflation)^(CZ$14-1)*(1+CZ$12*'Assumptions_&amp;_Inputs'!$E$47)</f>
        <v>-1696.8087952171868</v>
      </c>
      <c r="DA39" s="37">
        <f>$D$39*(1+inflation)^(DA$14-1)*(1+DA$12*'Assumptions_&amp;_Inputs'!$E$47)</f>
        <v>-1696.8087952171868</v>
      </c>
      <c r="DB39" s="37">
        <f>$D$39*(1+inflation)^(DB$14-1)*(1+DB$12*'Assumptions_&amp;_Inputs'!$E$47)</f>
        <v>-1696.8087952171868</v>
      </c>
      <c r="DC39" s="37">
        <f>$D$39*(1+inflation)^(DC$14-1)*(1+DC$12*'Assumptions_&amp;_Inputs'!$E$47)</f>
        <v>-1696.8087952171868</v>
      </c>
      <c r="DD39" s="37">
        <f>$D$39*(1+inflation)^(DD$14-1)*(1+DD$12*'Assumptions_&amp;_Inputs'!$E$47)</f>
        <v>-1696.8087952171868</v>
      </c>
      <c r="DE39" s="37">
        <f>$D$39*(1+inflation)^(DE$14-1)*(1+DE$12*'Assumptions_&amp;_Inputs'!$E$47)</f>
        <v>-1696.8087952171868</v>
      </c>
      <c r="DF39" s="37">
        <f>$D$39*(1+inflation)^(DF$14-1)*(1+DF$12*'Assumptions_&amp;_Inputs'!$E$47)</f>
        <v>-1696.8087952171868</v>
      </c>
      <c r="DG39" s="37">
        <f>$D$39*(1+inflation)^(DG$14-1)*(1+DG$12*'Assumptions_&amp;_Inputs'!$E$47)</f>
        <v>-1696.8087952171868</v>
      </c>
      <c r="DH39" s="37">
        <f>$D$39*(1+inflation)^(DH$14-1)*(1+DH$12*'Assumptions_&amp;_Inputs'!$E$47)</f>
        <v>-1696.8087952171868</v>
      </c>
      <c r="DI39" s="37">
        <f>$D$39*(1+inflation)^(DI$14-1)*(1+DI$12*'Assumptions_&amp;_Inputs'!$E$47)</f>
        <v>-1696.8087952171868</v>
      </c>
      <c r="DJ39" s="37">
        <f>$D$39*(1+inflation)^(DJ$14-1)*(1+DJ$12*'Assumptions_&amp;_Inputs'!$E$47)</f>
        <v>-1696.8087952171868</v>
      </c>
      <c r="DK39" s="37">
        <f>$D$39*(1+inflation)^(DK$14-1)*(1+DK$12*'Assumptions_&amp;_Inputs'!$E$47)</f>
        <v>-1739.2290150976162</v>
      </c>
      <c r="DL39" s="37">
        <f>$D$39*(1+inflation)^(DL$14-1)*(1+DL$12*'Assumptions_&amp;_Inputs'!$E$47)</f>
        <v>-1739.2290150976162</v>
      </c>
      <c r="DM39" s="37">
        <f>$D$39*(1+inflation)^(DM$14-1)*(1+DM$12*'Assumptions_&amp;_Inputs'!$E$47)</f>
        <v>-1739.2290150976162</v>
      </c>
      <c r="DN39" s="37">
        <f>$D$39*(1+inflation)^(DN$14-1)*(1+DN$12*'Assumptions_&amp;_Inputs'!$E$47)</f>
        <v>-1739.2290150976162</v>
      </c>
      <c r="DO39" s="37">
        <f>$D$39*(1+inflation)^(DO$14-1)*(1+DO$12*'Assumptions_&amp;_Inputs'!$E$47)</f>
        <v>-1739.2290150976162</v>
      </c>
      <c r="DP39" s="37">
        <f>$D$39*(1+inflation)^(DP$14-1)*(1+DP$12*'Assumptions_&amp;_Inputs'!$E$47)</f>
        <v>-1739.2290150976162</v>
      </c>
      <c r="DQ39" s="37">
        <f>$D$39*(1+inflation)^(DQ$14-1)*(1+DQ$12*'Assumptions_&amp;_Inputs'!$E$47)</f>
        <v>-1739.2290150976162</v>
      </c>
      <c r="DR39" s="37">
        <f>$D$39*(1+inflation)^(DR$14-1)*(1+DR$12*'Assumptions_&amp;_Inputs'!$E$47)</f>
        <v>-1739.2290150976162</v>
      </c>
      <c r="DS39" s="37">
        <f>$D$39*(1+inflation)^(DS$14-1)*(1+DS$12*'Assumptions_&amp;_Inputs'!$E$47)</f>
        <v>-1739.2290150976162</v>
      </c>
      <c r="DT39" s="37">
        <f>$D$39*(1+inflation)^(DT$14-1)*(1+DT$12*'Assumptions_&amp;_Inputs'!$E$47)</f>
        <v>-1739.2290150976162</v>
      </c>
      <c r="DU39" s="37">
        <f>$D$39*(1+inflation)^(DU$14-1)*(1+DU$12*'Assumptions_&amp;_Inputs'!$E$47)</f>
        <v>-1739.2290150976162</v>
      </c>
      <c r="DV39" s="37">
        <f>$D$39*(1+inflation)^(DV$14-1)*(1+DV$12*'Assumptions_&amp;_Inputs'!$E$47)</f>
        <v>-1739.2290150976162</v>
      </c>
      <c r="DW39" s="37">
        <f>$D$39*(1+inflation)^(DW$14-1)*(1+DW$12*'Assumptions_&amp;_Inputs'!$E$47)</f>
        <v>-1782.7097404750566</v>
      </c>
      <c r="DX39" s="37">
        <f>$D$39*(1+inflation)^(DX$14-1)*(1+DX$12*'Assumptions_&amp;_Inputs'!$E$47)</f>
        <v>-1782.7097404750566</v>
      </c>
      <c r="DY39" s="37">
        <f>$D$39*(1+inflation)^(DY$14-1)*(1+DY$12*'Assumptions_&amp;_Inputs'!$E$47)</f>
        <v>-1782.7097404750566</v>
      </c>
      <c r="DZ39" s="37">
        <f>$D$39*(1+inflation)^(DZ$14-1)*(1+DZ$12*'Assumptions_&amp;_Inputs'!$E$47)</f>
        <v>-1782.7097404750566</v>
      </c>
      <c r="EA39" s="37">
        <f>$D$39*(1+inflation)^(EA$14-1)*(1+EA$12*'Assumptions_&amp;_Inputs'!$E$47)</f>
        <v>-1782.7097404750566</v>
      </c>
      <c r="EB39" s="37">
        <f>$D$39*(1+inflation)^(EB$14-1)*(1+EB$12*'Assumptions_&amp;_Inputs'!$E$47)</f>
        <v>-1782.7097404750566</v>
      </c>
      <c r="EC39" s="37">
        <f>$D$39*(1+inflation)^(EC$14-1)*(1+EC$12*'Assumptions_&amp;_Inputs'!$E$47)</f>
        <v>-1782.7097404750566</v>
      </c>
      <c r="ED39" s="37">
        <f>$D$39*(1+inflation)^(ED$14-1)*(1+ED$12*'Assumptions_&amp;_Inputs'!$E$47)</f>
        <v>-1782.7097404750566</v>
      </c>
      <c r="EE39" s="37">
        <f>$D$39*(1+inflation)^(EE$14-1)*(1+EE$12*'Assumptions_&amp;_Inputs'!$E$47)</f>
        <v>-1782.7097404750566</v>
      </c>
      <c r="EF39" s="37">
        <f>$D$39*(1+inflation)^(EF$14-1)*(1+EF$12*'Assumptions_&amp;_Inputs'!$E$47)</f>
        <v>-1782.7097404750566</v>
      </c>
      <c r="EG39" s="37">
        <f>$D$39*(1+inflation)^(EG$14-1)*(1+EG$12*'Assumptions_&amp;_Inputs'!$E$47)</f>
        <v>-1782.7097404750566</v>
      </c>
      <c r="EH39" s="37">
        <f>$D$39*(1+inflation)^(EH$14-1)*(1+EH$12*'Assumptions_&amp;_Inputs'!$E$47)</f>
        <v>-1782.7097404750566</v>
      </c>
      <c r="EI39" s="37">
        <f>$D$39*(1+inflation)^(EI$14-1)*(1+EI$12*'Assumptions_&amp;_Inputs'!$E$47)</f>
        <v>-1827.2774839869328</v>
      </c>
      <c r="EJ39" s="37">
        <f>$D$39*(1+inflation)^(EJ$14-1)*(1+EJ$12*'Assumptions_&amp;_Inputs'!$E$47)</f>
        <v>-1827.2774839869328</v>
      </c>
      <c r="EK39" s="37">
        <f>$D$39*(1+inflation)^(EK$14-1)*(1+EK$12*'Assumptions_&amp;_Inputs'!$E$47)</f>
        <v>-1827.2774839869328</v>
      </c>
      <c r="EL39" s="37">
        <f>$D$39*(1+inflation)^(EL$14-1)*(1+EL$12*'Assumptions_&amp;_Inputs'!$E$47)</f>
        <v>-1827.2774839869328</v>
      </c>
      <c r="EM39" s="37">
        <f>$D$39*(1+inflation)^(EM$14-1)*(1+EM$12*'Assumptions_&amp;_Inputs'!$E$47)</f>
        <v>-1827.2774839869328</v>
      </c>
      <c r="EN39" s="37">
        <f>$D$39*(1+inflation)^(EN$14-1)*(1+EN$12*'Assumptions_&amp;_Inputs'!$E$47)</f>
        <v>-1827.2774839869328</v>
      </c>
      <c r="EO39" s="37">
        <f>$D$39*(1+inflation)^(EO$14-1)*(1+EO$12*'Assumptions_&amp;_Inputs'!$E$47)</f>
        <v>-1827.2774839869328</v>
      </c>
      <c r="EP39" s="37">
        <f>$D$39*(1+inflation)^(EP$14-1)*(1+EP$12*'Assumptions_&amp;_Inputs'!$E$47)</f>
        <v>-1827.2774839869328</v>
      </c>
      <c r="EQ39" s="37">
        <f>$D$39*(1+inflation)^(EQ$14-1)*(1+EQ$12*'Assumptions_&amp;_Inputs'!$E$47)</f>
        <v>-1827.2774839869328</v>
      </c>
      <c r="ER39" s="37">
        <f>$D$39*(1+inflation)^(ER$14-1)*(1+ER$12*'Assumptions_&amp;_Inputs'!$E$47)</f>
        <v>-1827.2774839869328</v>
      </c>
      <c r="ES39" s="37">
        <f>$D$39*(1+inflation)^(ES$14-1)*(1+ES$12*'Assumptions_&amp;_Inputs'!$E$47)</f>
        <v>-1827.2774839869328</v>
      </c>
      <c r="ET39" s="37">
        <f>$D$39*(1+inflation)^(ET$14-1)*(1+ET$12*'Assumptions_&amp;_Inputs'!$E$47)</f>
        <v>-1827.2774839869328</v>
      </c>
      <c r="EU39" s="37">
        <f>$D$39*(1+inflation)^(EU$14-1)*(1+EU$12*'Assumptions_&amp;_Inputs'!$E$47)</f>
        <v>-1872.959421086606</v>
      </c>
      <c r="EV39" s="37">
        <f>$D$39*(1+inflation)^(EV$14-1)*(1+EV$12*'Assumptions_&amp;_Inputs'!$E$47)</f>
        <v>-1872.959421086606</v>
      </c>
      <c r="EW39" s="37">
        <f>$D$39*(1+inflation)^(EW$14-1)*(1+EW$12*'Assumptions_&amp;_Inputs'!$E$47)</f>
        <v>-1872.959421086606</v>
      </c>
      <c r="EX39" s="37">
        <f>$D$39*(1+inflation)^(EX$14-1)*(1+EX$12*'Assumptions_&amp;_Inputs'!$E$47)</f>
        <v>-1872.959421086606</v>
      </c>
      <c r="EY39" s="37">
        <f>$D$39*(1+inflation)^(EY$14-1)*(1+EY$12*'Assumptions_&amp;_Inputs'!$E$47)</f>
        <v>-1872.959421086606</v>
      </c>
      <c r="EZ39" s="37">
        <f>$D$39*(1+inflation)^(EZ$14-1)*(1+EZ$12*'Assumptions_&amp;_Inputs'!$E$47)</f>
        <v>-1872.959421086606</v>
      </c>
      <c r="FA39" s="37">
        <f>$D$39*(1+inflation)^(FA$14-1)*(1+FA$12*'Assumptions_&amp;_Inputs'!$E$47)</f>
        <v>-1872.959421086606</v>
      </c>
      <c r="FB39" s="37">
        <f>$D$39*(1+inflation)^(FB$14-1)*(1+FB$12*'Assumptions_&amp;_Inputs'!$E$47)</f>
        <v>-1872.959421086606</v>
      </c>
      <c r="FC39" s="37">
        <f>$D$39*(1+inflation)^(FC$14-1)*(1+FC$12*'Assumptions_&amp;_Inputs'!$E$47)</f>
        <v>-1872.959421086606</v>
      </c>
      <c r="FD39" s="37">
        <f>$D$39*(1+inflation)^(FD$14-1)*(1+FD$12*'Assumptions_&amp;_Inputs'!$E$47)</f>
        <v>-1872.959421086606</v>
      </c>
      <c r="FE39" s="37">
        <f>$D$39*(1+inflation)^(FE$14-1)*(1+FE$12*'Assumptions_&amp;_Inputs'!$E$47)</f>
        <v>-1872.959421086606</v>
      </c>
      <c r="FF39" s="37">
        <f>$D$39*(1+inflation)^(FF$14-1)*(1+FF$12*'Assumptions_&amp;_Inputs'!$E$47)</f>
        <v>-1872.959421086606</v>
      </c>
      <c r="FG39" s="37">
        <f>$D$39*(1+inflation)^(FG$14-1)*(1+FG$12*'Assumptions_&amp;_Inputs'!$E$47)</f>
        <v>-1919.7834066137711</v>
      </c>
      <c r="FH39" s="37">
        <f>$D$39*(1+inflation)^(FH$14-1)*(1+FH$12*'Assumptions_&amp;_Inputs'!$E$47)</f>
        <v>-1919.7834066137711</v>
      </c>
      <c r="FI39" s="37">
        <f>$D$39*(1+inflation)^(FI$14-1)*(1+FI$12*'Assumptions_&amp;_Inputs'!$E$47)</f>
        <v>-1919.7834066137711</v>
      </c>
      <c r="FJ39" s="37">
        <f>$D$39*(1+inflation)^(FJ$14-1)*(1+FJ$12*'Assumptions_&amp;_Inputs'!$E$47)</f>
        <v>-1919.7834066137711</v>
      </c>
      <c r="FK39" s="37">
        <f>$D$39*(1+inflation)^(FK$14-1)*(1+FK$12*'Assumptions_&amp;_Inputs'!$E$47)</f>
        <v>-1919.7834066137711</v>
      </c>
      <c r="FL39" s="37">
        <f>$D$39*(1+inflation)^(FL$14-1)*(1+FL$12*'Assumptions_&amp;_Inputs'!$E$47)</f>
        <v>-1919.7834066137711</v>
      </c>
      <c r="FM39" s="37">
        <f>$D$39*(1+inflation)^(FM$14-1)*(1+FM$12*'Assumptions_&amp;_Inputs'!$E$47)</f>
        <v>-1919.7834066137711</v>
      </c>
      <c r="FN39" s="37">
        <f>$D$39*(1+inflation)^(FN$14-1)*(1+FN$12*'Assumptions_&amp;_Inputs'!$E$47)</f>
        <v>-1919.7834066137711</v>
      </c>
      <c r="FO39" s="37">
        <f>$D$39*(1+inflation)^(FO$14-1)*(1+FO$12*'Assumptions_&amp;_Inputs'!$E$47)</f>
        <v>-1919.7834066137711</v>
      </c>
      <c r="FP39" s="37">
        <f>$D$39*(1+inflation)^(FP$14-1)*(1+FP$12*'Assumptions_&amp;_Inputs'!$E$47)</f>
        <v>-1919.7834066137711</v>
      </c>
      <c r="FQ39" s="37">
        <f>$D$39*(1+inflation)^(FQ$14-1)*(1+FQ$12*'Assumptions_&amp;_Inputs'!$E$47)</f>
        <v>-1919.7834066137711</v>
      </c>
      <c r="FR39" s="37">
        <f>$D$39*(1+inflation)^(FR$14-1)*(1+FR$12*'Assumptions_&amp;_Inputs'!$E$47)</f>
        <v>-1919.7834066137711</v>
      </c>
      <c r="FS39" s="37">
        <f>$D$39*(1+inflation)^(FS$14-1)*(1+FS$12*'Assumptions_&amp;_Inputs'!$E$47)</f>
        <v>-1967.7779917791152</v>
      </c>
      <c r="FT39" s="37">
        <f>$D$39*(1+inflation)^(FT$14-1)*(1+FT$12*'Assumptions_&amp;_Inputs'!$E$47)</f>
        <v>-1967.7779917791152</v>
      </c>
      <c r="FU39" s="37">
        <f>$D$39*(1+inflation)^(FU$14-1)*(1+FU$12*'Assumptions_&amp;_Inputs'!$E$47)</f>
        <v>-1967.7779917791152</v>
      </c>
      <c r="FV39" s="37">
        <f>$D$39*(1+inflation)^(FV$14-1)*(1+FV$12*'Assumptions_&amp;_Inputs'!$E$47)</f>
        <v>-1967.7779917791152</v>
      </c>
      <c r="FW39" s="37">
        <f>$D$39*(1+inflation)^(FW$14-1)*(1+FW$12*'Assumptions_&amp;_Inputs'!$E$47)</f>
        <v>-1967.7779917791152</v>
      </c>
      <c r="FX39" s="37">
        <f>$D$39*(1+inflation)^(FX$14-1)*(1+FX$12*'Assumptions_&amp;_Inputs'!$E$47)</f>
        <v>-1967.7779917791152</v>
      </c>
      <c r="FY39" s="37">
        <f>$D$39*(1+inflation)^(FY$14-1)*(1+FY$12*'Assumptions_&amp;_Inputs'!$E$47)</f>
        <v>-1967.7779917791152</v>
      </c>
      <c r="FZ39" s="37">
        <f>$D$39*(1+inflation)^(FZ$14-1)*(1+FZ$12*'Assumptions_&amp;_Inputs'!$E$47)</f>
        <v>-1967.7779917791152</v>
      </c>
      <c r="GA39" s="37">
        <f>$D$39*(1+inflation)^(GA$14-1)*(1+GA$12*'Assumptions_&amp;_Inputs'!$E$47)</f>
        <v>-1967.7779917791152</v>
      </c>
      <c r="GB39" s="37">
        <f>$D$39*(1+inflation)^(GB$14-1)*(1+GB$12*'Assumptions_&amp;_Inputs'!$E$47)</f>
        <v>-1967.7779917791152</v>
      </c>
      <c r="GC39" s="37">
        <f>$D$39*(1+inflation)^(GC$14-1)*(1+GC$12*'Assumptions_&amp;_Inputs'!$E$47)</f>
        <v>-1967.7779917791152</v>
      </c>
      <c r="GD39" s="37">
        <f>$D$39*(1+inflation)^(GD$14-1)*(1+GD$12*'Assumptions_&amp;_Inputs'!$E$47)</f>
        <v>-1967.7779917791152</v>
      </c>
      <c r="GE39" s="37">
        <f>$D$39*(1+inflation)^(GE$14-1)*(1+GE$12*'Assumptions_&amp;_Inputs'!$E$47)</f>
        <v>-2016.9724415735934</v>
      </c>
      <c r="GF39" s="37">
        <f>$D$39*(1+inflation)^(GF$14-1)*(1+GF$12*'Assumptions_&amp;_Inputs'!$E$47)</f>
        <v>-2016.9724415735934</v>
      </c>
      <c r="GG39" s="37">
        <f>$D$39*(1+inflation)^(GG$14-1)*(1+GG$12*'Assumptions_&amp;_Inputs'!$E$47)</f>
        <v>-2016.9724415735934</v>
      </c>
      <c r="GH39" s="37">
        <f>$D$39*(1+inflation)^(GH$14-1)*(1+GH$12*'Assumptions_&amp;_Inputs'!$E$47)</f>
        <v>-2016.9724415735934</v>
      </c>
      <c r="GI39" s="37">
        <f>$D$39*(1+inflation)^(GI$14-1)*(1+GI$12*'Assumptions_&amp;_Inputs'!$E$47)</f>
        <v>-2016.9724415735934</v>
      </c>
      <c r="GJ39" s="37">
        <f>$D$39*(1+inflation)^(GJ$14-1)*(1+GJ$12*'Assumptions_&amp;_Inputs'!$E$47)</f>
        <v>-2016.9724415735934</v>
      </c>
      <c r="GK39" s="37">
        <f>$D$39*(1+inflation)^(GK$14-1)*(1+GK$12*'Assumptions_&amp;_Inputs'!$E$47)</f>
        <v>-2016.9724415735934</v>
      </c>
      <c r="GL39" s="37">
        <f>$D$39*(1+inflation)^(GL$14-1)*(1+GL$12*'Assumptions_&amp;_Inputs'!$E$47)</f>
        <v>-2016.9724415735934</v>
      </c>
      <c r="GM39" s="37">
        <f>$D$39*(1+inflation)^(GM$14-1)*(1+GM$12*'Assumptions_&amp;_Inputs'!$E$47)</f>
        <v>-2016.9724415735934</v>
      </c>
      <c r="GN39" s="63"/>
      <c r="GO39" s="63"/>
      <c r="GP39" s="63"/>
      <c r="GQ39" s="63"/>
      <c r="GR39" s="63"/>
      <c r="GS39" s="63"/>
      <c r="GT39" s="63"/>
      <c r="GU39" s="63"/>
      <c r="GV39" s="63"/>
      <c r="GW39" s="63"/>
      <c r="GX39" s="63"/>
      <c r="GY39" s="63"/>
      <c r="GZ39" s="63"/>
      <c r="HA39" s="63"/>
      <c r="HB39" s="63"/>
      <c r="HC39" s="63"/>
      <c r="HD39" s="63"/>
      <c r="HE39" s="63"/>
      <c r="HF39" s="63"/>
      <c r="HG39" s="63"/>
      <c r="HH39" s="63"/>
      <c r="HI39" s="63"/>
      <c r="HJ39" s="63"/>
      <c r="HK39" s="63"/>
      <c r="HL39" s="63"/>
      <c r="HM39" s="63"/>
      <c r="HN39" s="63"/>
      <c r="HO39" s="63"/>
      <c r="HP39" s="63"/>
      <c r="HQ39" s="63"/>
      <c r="HR39" s="63"/>
      <c r="HS39" s="63"/>
      <c r="HT39" s="63"/>
      <c r="HU39" s="63"/>
      <c r="HV39" s="63"/>
      <c r="HW39" s="63"/>
      <c r="HX39" s="63"/>
      <c r="HY39" s="63"/>
      <c r="HZ39" s="63"/>
      <c r="IA39" s="63"/>
      <c r="IB39" s="63"/>
      <c r="IC39" s="63"/>
      <c r="ID39" s="63"/>
      <c r="IE39" s="63"/>
      <c r="IF39" s="63"/>
      <c r="IG39" s="63"/>
      <c r="IH39" s="63"/>
      <c r="II39" s="63"/>
      <c r="IJ39" s="63"/>
      <c r="IK39" s="63"/>
      <c r="IL39" s="63"/>
      <c r="IM39" s="63"/>
      <c r="IN39" s="63"/>
      <c r="IO39" s="63"/>
      <c r="IP39" s="63"/>
      <c r="IQ39" s="63"/>
      <c r="IR39" s="63"/>
      <c r="IS39" s="63"/>
      <c r="IT39" s="63"/>
      <c r="IU39" s="63"/>
      <c r="IV39" s="63"/>
      <c r="IW39" s="63"/>
      <c r="IX39" s="63"/>
      <c r="IY39" s="63"/>
      <c r="IZ39" s="63"/>
      <c r="JA39" s="63"/>
      <c r="JB39" s="63"/>
      <c r="JC39" s="63"/>
      <c r="JD39" s="63"/>
      <c r="JE39" s="63"/>
      <c r="JF39" s="63"/>
      <c r="JG39" s="63"/>
      <c r="JH39" s="63"/>
      <c r="JI39" s="63"/>
      <c r="JJ39" s="63"/>
      <c r="JK39" s="63"/>
      <c r="JL39" s="63"/>
      <c r="JM39" s="63"/>
      <c r="JN39" s="63"/>
      <c r="JO39" s="63"/>
      <c r="JP39" s="63"/>
      <c r="JQ39" s="63"/>
      <c r="JR39" s="63"/>
      <c r="JS39" s="63"/>
      <c r="JT39" s="63"/>
      <c r="JU39" s="63"/>
      <c r="JV39" s="63"/>
      <c r="JW39" s="63"/>
      <c r="JX39" s="63"/>
      <c r="JY39" s="63"/>
      <c r="JZ39" s="63"/>
      <c r="KA39" s="63"/>
      <c r="KB39" s="63"/>
      <c r="KC39" s="63"/>
      <c r="KD39" s="63"/>
      <c r="KE39" s="63"/>
      <c r="KF39" s="63"/>
      <c r="KG39" s="63"/>
      <c r="KH39" s="63"/>
      <c r="KI39" s="63"/>
      <c r="KJ39" s="63"/>
      <c r="KK39" s="63"/>
      <c r="KL39" s="63"/>
      <c r="KM39" s="63"/>
      <c r="KN39" s="63"/>
      <c r="KO39" s="63"/>
      <c r="KP39" s="63"/>
      <c r="KQ39" s="63"/>
      <c r="KR39" s="63"/>
      <c r="KS39" s="63"/>
      <c r="KT39" s="63"/>
      <c r="KU39" s="63"/>
      <c r="KV39" s="63"/>
      <c r="KW39" s="63"/>
      <c r="KX39" s="63"/>
      <c r="KY39" s="63"/>
      <c r="KZ39" s="63"/>
      <c r="LA39" s="63"/>
      <c r="LB39" s="63"/>
      <c r="LC39" s="63"/>
      <c r="LD39" s="63"/>
      <c r="LE39" s="63"/>
      <c r="LF39" s="63"/>
      <c r="LG39" s="63"/>
      <c r="LH39" s="63"/>
      <c r="LI39" s="63"/>
      <c r="LJ39" s="63"/>
      <c r="LK39" s="63"/>
      <c r="LL39" s="63"/>
      <c r="LM39" s="63"/>
      <c r="LN39" s="63"/>
      <c r="LO39" s="63"/>
      <c r="LP39" s="63"/>
      <c r="LQ39" s="63"/>
      <c r="LR39" s="63"/>
      <c r="LS39" s="63"/>
      <c r="LT39" s="63"/>
      <c r="LU39" s="63"/>
      <c r="LV39" s="63"/>
      <c r="LW39" s="63"/>
      <c r="LX39" s="63"/>
      <c r="LY39" s="63"/>
      <c r="LZ39" s="63"/>
      <c r="MA39" s="63"/>
      <c r="MB39" s="63"/>
      <c r="MC39" s="63"/>
      <c r="MD39" s="63"/>
      <c r="ME39" s="63"/>
      <c r="MF39" s="63"/>
      <c r="MG39" s="63"/>
      <c r="MH39" s="63"/>
      <c r="MI39" s="63"/>
      <c r="MJ39" s="63"/>
      <c r="MK39" s="63"/>
      <c r="ML39" s="63"/>
      <c r="MM39" s="63"/>
      <c r="MN39" s="63"/>
      <c r="MO39" s="63"/>
      <c r="MP39" s="63"/>
      <c r="MQ39" s="63"/>
      <c r="MR39" s="63"/>
      <c r="MS39" s="63"/>
      <c r="MT39" s="63"/>
      <c r="MU39" s="63"/>
      <c r="MV39" s="63"/>
      <c r="MW39" s="63"/>
      <c r="MX39" s="63"/>
      <c r="MY39" s="63"/>
      <c r="MZ39" s="63"/>
      <c r="NA39" s="63"/>
      <c r="NB39" s="63"/>
    </row>
    <row r="40" spans="2:367" ht="16" customHeight="1" x14ac:dyDescent="0.15">
      <c r="B40" s="71" t="s">
        <v>278</v>
      </c>
      <c r="C40" s="312" t="s">
        <v>150</v>
      </c>
      <c r="D40" s="97">
        <f>-'Assumptions_&amp;_Inputs'!$E$61/12</f>
        <v>-933.33333333333337</v>
      </c>
      <c r="F40" s="37">
        <v>0</v>
      </c>
      <c r="G40" s="37">
        <f t="shared" ref="G40:G42" si="94">+D40</f>
        <v>-933.33333333333337</v>
      </c>
      <c r="H40" s="37">
        <f>+G$40*(1+H$18)</f>
        <v>-933.33333333333337</v>
      </c>
      <c r="I40" s="37">
        <f t="shared" ref="I40:BT40" si="95">+H$40*(1+I$18)</f>
        <v>-933.33333333333337</v>
      </c>
      <c r="J40" s="37">
        <f t="shared" si="95"/>
        <v>-933.33333333333337</v>
      </c>
      <c r="K40" s="37">
        <f t="shared" si="95"/>
        <v>-933.33333333333337</v>
      </c>
      <c r="L40" s="37">
        <f t="shared" si="95"/>
        <v>-933.33333333333337</v>
      </c>
      <c r="M40" s="37">
        <f t="shared" si="95"/>
        <v>-933.33333333333337</v>
      </c>
      <c r="N40" s="37">
        <f t="shared" si="95"/>
        <v>-933.33333333333337</v>
      </c>
      <c r="O40" s="37">
        <f t="shared" si="95"/>
        <v>-933.33333333333337</v>
      </c>
      <c r="P40" s="37">
        <f t="shared" si="95"/>
        <v>-933.33333333333337</v>
      </c>
      <c r="Q40" s="37">
        <f t="shared" si="95"/>
        <v>-933.33333333333337</v>
      </c>
      <c r="R40" s="37">
        <f t="shared" si="95"/>
        <v>-933.33333333333337</v>
      </c>
      <c r="S40" s="37">
        <f t="shared" si="95"/>
        <v>-956.66666666666663</v>
      </c>
      <c r="T40" s="37">
        <f t="shared" si="95"/>
        <v>-956.66666666666663</v>
      </c>
      <c r="U40" s="37">
        <f t="shared" si="95"/>
        <v>-956.66666666666663</v>
      </c>
      <c r="V40" s="37">
        <f t="shared" si="95"/>
        <v>-956.66666666666663</v>
      </c>
      <c r="W40" s="37">
        <f t="shared" si="95"/>
        <v>-956.66666666666663</v>
      </c>
      <c r="X40" s="37">
        <f t="shared" si="95"/>
        <v>-956.66666666666663</v>
      </c>
      <c r="Y40" s="37">
        <f t="shared" si="95"/>
        <v>-956.66666666666663</v>
      </c>
      <c r="Z40" s="37">
        <f t="shared" si="95"/>
        <v>-956.66666666666663</v>
      </c>
      <c r="AA40" s="37">
        <f t="shared" si="95"/>
        <v>-956.66666666666663</v>
      </c>
      <c r="AB40" s="37">
        <f t="shared" si="95"/>
        <v>-956.66666666666663</v>
      </c>
      <c r="AC40" s="37">
        <f t="shared" si="95"/>
        <v>-956.66666666666663</v>
      </c>
      <c r="AD40" s="37">
        <f t="shared" si="95"/>
        <v>-956.66666666666663</v>
      </c>
      <c r="AE40" s="37">
        <f t="shared" si="95"/>
        <v>-980.58333333333326</v>
      </c>
      <c r="AF40" s="37">
        <f t="shared" si="95"/>
        <v>-980.58333333333326</v>
      </c>
      <c r="AG40" s="37">
        <f t="shared" si="95"/>
        <v>-980.58333333333326</v>
      </c>
      <c r="AH40" s="37">
        <f t="shared" si="95"/>
        <v>-980.58333333333326</v>
      </c>
      <c r="AI40" s="37">
        <f t="shared" si="95"/>
        <v>-980.58333333333326</v>
      </c>
      <c r="AJ40" s="37">
        <f t="shared" si="95"/>
        <v>-980.58333333333326</v>
      </c>
      <c r="AK40" s="37">
        <f t="shared" si="95"/>
        <v>-980.58333333333326</v>
      </c>
      <c r="AL40" s="37">
        <f t="shared" si="95"/>
        <v>-980.58333333333326</v>
      </c>
      <c r="AM40" s="37">
        <f t="shared" si="95"/>
        <v>-980.58333333333326</v>
      </c>
      <c r="AN40" s="37">
        <f t="shared" si="95"/>
        <v>-980.58333333333326</v>
      </c>
      <c r="AO40" s="37">
        <f t="shared" si="95"/>
        <v>-980.58333333333326</v>
      </c>
      <c r="AP40" s="37">
        <f t="shared" si="95"/>
        <v>-980.58333333333326</v>
      </c>
      <c r="AQ40" s="37">
        <f t="shared" si="95"/>
        <v>-1005.0979166666665</v>
      </c>
      <c r="AR40" s="37">
        <f t="shared" si="95"/>
        <v>-1005.0979166666665</v>
      </c>
      <c r="AS40" s="37">
        <f t="shared" si="95"/>
        <v>-1005.0979166666665</v>
      </c>
      <c r="AT40" s="37">
        <f t="shared" si="95"/>
        <v>-1005.0979166666665</v>
      </c>
      <c r="AU40" s="37">
        <f t="shared" si="95"/>
        <v>-1005.0979166666665</v>
      </c>
      <c r="AV40" s="37">
        <f t="shared" si="95"/>
        <v>-1005.0979166666665</v>
      </c>
      <c r="AW40" s="37">
        <f t="shared" si="95"/>
        <v>-1005.0979166666665</v>
      </c>
      <c r="AX40" s="37">
        <f t="shared" si="95"/>
        <v>-1005.0979166666665</v>
      </c>
      <c r="AY40" s="37">
        <f t="shared" si="95"/>
        <v>-1005.0979166666665</v>
      </c>
      <c r="AZ40" s="37">
        <f t="shared" si="95"/>
        <v>-1005.0979166666665</v>
      </c>
      <c r="BA40" s="37">
        <f t="shared" si="95"/>
        <v>-1005.0979166666665</v>
      </c>
      <c r="BB40" s="37">
        <f t="shared" si="95"/>
        <v>-1005.0979166666665</v>
      </c>
      <c r="BC40" s="37">
        <f t="shared" si="95"/>
        <v>-1030.225364583333</v>
      </c>
      <c r="BD40" s="37">
        <f t="shared" si="95"/>
        <v>-1030.225364583333</v>
      </c>
      <c r="BE40" s="37">
        <f t="shared" si="95"/>
        <v>-1030.225364583333</v>
      </c>
      <c r="BF40" s="37">
        <f t="shared" si="95"/>
        <v>-1030.225364583333</v>
      </c>
      <c r="BG40" s="37">
        <f t="shared" si="95"/>
        <v>-1030.225364583333</v>
      </c>
      <c r="BH40" s="37">
        <f t="shared" si="95"/>
        <v>-1030.225364583333</v>
      </c>
      <c r="BI40" s="37">
        <f t="shared" si="95"/>
        <v>-1030.225364583333</v>
      </c>
      <c r="BJ40" s="37">
        <f t="shared" si="95"/>
        <v>-1030.225364583333</v>
      </c>
      <c r="BK40" s="37">
        <f t="shared" si="95"/>
        <v>-1030.225364583333</v>
      </c>
      <c r="BL40" s="37">
        <f t="shared" si="95"/>
        <v>-1030.225364583333</v>
      </c>
      <c r="BM40" s="37">
        <f t="shared" si="95"/>
        <v>-1030.225364583333</v>
      </c>
      <c r="BN40" s="37">
        <f t="shared" si="95"/>
        <v>-1030.225364583333</v>
      </c>
      <c r="BO40" s="37">
        <f t="shared" si="95"/>
        <v>-1055.9809986979162</v>
      </c>
      <c r="BP40" s="37">
        <f t="shared" si="95"/>
        <v>-1055.9809986979162</v>
      </c>
      <c r="BQ40" s="37">
        <f t="shared" si="95"/>
        <v>-1055.9809986979162</v>
      </c>
      <c r="BR40" s="37">
        <f t="shared" si="95"/>
        <v>-1055.9809986979162</v>
      </c>
      <c r="BS40" s="37">
        <f t="shared" si="95"/>
        <v>-1055.9809986979162</v>
      </c>
      <c r="BT40" s="37">
        <f t="shared" si="95"/>
        <v>-1055.9809986979162</v>
      </c>
      <c r="BU40" s="37">
        <f t="shared" ref="BU40:EF40" si="96">+BT$40*(1+BU$18)</f>
        <v>-1055.9809986979162</v>
      </c>
      <c r="BV40" s="37">
        <f t="shared" si="96"/>
        <v>-1055.9809986979162</v>
      </c>
      <c r="BW40" s="37">
        <f t="shared" si="96"/>
        <v>-1055.9809986979162</v>
      </c>
      <c r="BX40" s="37">
        <f t="shared" si="96"/>
        <v>-1055.9809986979162</v>
      </c>
      <c r="BY40" s="37">
        <f t="shared" si="96"/>
        <v>-1055.9809986979162</v>
      </c>
      <c r="BZ40" s="37">
        <f t="shared" si="96"/>
        <v>-1055.9809986979162</v>
      </c>
      <c r="CA40" s="37">
        <f t="shared" si="96"/>
        <v>-1082.3805236653641</v>
      </c>
      <c r="CB40" s="37">
        <f t="shared" si="96"/>
        <v>-1082.3805236653641</v>
      </c>
      <c r="CC40" s="37">
        <f t="shared" si="96"/>
        <v>-1082.3805236653641</v>
      </c>
      <c r="CD40" s="37">
        <f t="shared" si="96"/>
        <v>-1082.3805236653641</v>
      </c>
      <c r="CE40" s="37">
        <f t="shared" si="96"/>
        <v>-1082.3805236653641</v>
      </c>
      <c r="CF40" s="37">
        <f t="shared" si="96"/>
        <v>-1082.3805236653641</v>
      </c>
      <c r="CG40" s="37">
        <f t="shared" si="96"/>
        <v>-1082.3805236653641</v>
      </c>
      <c r="CH40" s="37">
        <f t="shared" si="96"/>
        <v>-1082.3805236653641</v>
      </c>
      <c r="CI40" s="37">
        <f t="shared" si="96"/>
        <v>-1082.3805236653641</v>
      </c>
      <c r="CJ40" s="37">
        <f t="shared" si="96"/>
        <v>-1082.3805236653641</v>
      </c>
      <c r="CK40" s="37">
        <f t="shared" si="96"/>
        <v>-1082.3805236653641</v>
      </c>
      <c r="CL40" s="37">
        <f t="shared" si="96"/>
        <v>-1082.3805236653641</v>
      </c>
      <c r="CM40" s="37">
        <f t="shared" si="96"/>
        <v>-1109.4400367569981</v>
      </c>
      <c r="CN40" s="37">
        <f t="shared" si="96"/>
        <v>-1109.4400367569981</v>
      </c>
      <c r="CO40" s="37">
        <f t="shared" si="96"/>
        <v>-1109.4400367569981</v>
      </c>
      <c r="CP40" s="37">
        <f t="shared" si="96"/>
        <v>-1109.4400367569981</v>
      </c>
      <c r="CQ40" s="37">
        <f t="shared" si="96"/>
        <v>-1109.4400367569981</v>
      </c>
      <c r="CR40" s="37">
        <f t="shared" si="96"/>
        <v>-1109.4400367569981</v>
      </c>
      <c r="CS40" s="37">
        <f t="shared" si="96"/>
        <v>-1109.4400367569981</v>
      </c>
      <c r="CT40" s="37">
        <f t="shared" si="96"/>
        <v>-1109.4400367569981</v>
      </c>
      <c r="CU40" s="37">
        <f t="shared" si="96"/>
        <v>-1109.4400367569981</v>
      </c>
      <c r="CV40" s="37">
        <f t="shared" si="96"/>
        <v>-1109.4400367569981</v>
      </c>
      <c r="CW40" s="37">
        <f t="shared" si="96"/>
        <v>-1109.4400367569981</v>
      </c>
      <c r="CX40" s="37">
        <f t="shared" si="96"/>
        <v>-1109.4400367569981</v>
      </c>
      <c r="CY40" s="37">
        <f t="shared" si="96"/>
        <v>-1137.176037675923</v>
      </c>
      <c r="CZ40" s="37">
        <f t="shared" si="96"/>
        <v>-1137.176037675923</v>
      </c>
      <c r="DA40" s="37">
        <f t="shared" si="96"/>
        <v>-1137.176037675923</v>
      </c>
      <c r="DB40" s="37">
        <f t="shared" si="96"/>
        <v>-1137.176037675923</v>
      </c>
      <c r="DC40" s="37">
        <f t="shared" si="96"/>
        <v>-1137.176037675923</v>
      </c>
      <c r="DD40" s="37">
        <f t="shared" si="96"/>
        <v>-1137.176037675923</v>
      </c>
      <c r="DE40" s="37">
        <f t="shared" si="96"/>
        <v>-1137.176037675923</v>
      </c>
      <c r="DF40" s="37">
        <f t="shared" si="96"/>
        <v>-1137.176037675923</v>
      </c>
      <c r="DG40" s="37">
        <f t="shared" si="96"/>
        <v>-1137.176037675923</v>
      </c>
      <c r="DH40" s="37">
        <f t="shared" si="96"/>
        <v>-1137.176037675923</v>
      </c>
      <c r="DI40" s="37">
        <f t="shared" si="96"/>
        <v>-1137.176037675923</v>
      </c>
      <c r="DJ40" s="37">
        <f t="shared" si="96"/>
        <v>-1137.176037675923</v>
      </c>
      <c r="DK40" s="37">
        <f t="shared" si="96"/>
        <v>-1165.6054386178209</v>
      </c>
      <c r="DL40" s="37">
        <f t="shared" si="96"/>
        <v>-1165.6054386178209</v>
      </c>
      <c r="DM40" s="37">
        <f t="shared" si="96"/>
        <v>-1165.6054386178209</v>
      </c>
      <c r="DN40" s="37">
        <f t="shared" si="96"/>
        <v>-1165.6054386178209</v>
      </c>
      <c r="DO40" s="37">
        <f t="shared" si="96"/>
        <v>-1165.6054386178209</v>
      </c>
      <c r="DP40" s="37">
        <f t="shared" si="96"/>
        <v>-1165.6054386178209</v>
      </c>
      <c r="DQ40" s="37">
        <f t="shared" si="96"/>
        <v>-1165.6054386178209</v>
      </c>
      <c r="DR40" s="37">
        <f t="shared" si="96"/>
        <v>-1165.6054386178209</v>
      </c>
      <c r="DS40" s="37">
        <f t="shared" si="96"/>
        <v>-1165.6054386178209</v>
      </c>
      <c r="DT40" s="37">
        <f t="shared" si="96"/>
        <v>-1165.6054386178209</v>
      </c>
      <c r="DU40" s="37">
        <f t="shared" si="96"/>
        <v>-1165.6054386178209</v>
      </c>
      <c r="DV40" s="37">
        <f t="shared" si="96"/>
        <v>-1165.6054386178209</v>
      </c>
      <c r="DW40" s="37">
        <f t="shared" si="96"/>
        <v>-1194.7455745832663</v>
      </c>
      <c r="DX40" s="37">
        <f t="shared" si="96"/>
        <v>-1194.7455745832663</v>
      </c>
      <c r="DY40" s="37">
        <f t="shared" si="96"/>
        <v>-1194.7455745832663</v>
      </c>
      <c r="DZ40" s="37">
        <f t="shared" si="96"/>
        <v>-1194.7455745832663</v>
      </c>
      <c r="EA40" s="37">
        <f t="shared" si="96"/>
        <v>-1194.7455745832663</v>
      </c>
      <c r="EB40" s="37">
        <f t="shared" si="96"/>
        <v>-1194.7455745832663</v>
      </c>
      <c r="EC40" s="37">
        <f t="shared" si="96"/>
        <v>-1194.7455745832663</v>
      </c>
      <c r="ED40" s="37">
        <f t="shared" si="96"/>
        <v>-1194.7455745832663</v>
      </c>
      <c r="EE40" s="37">
        <f t="shared" si="96"/>
        <v>-1194.7455745832663</v>
      </c>
      <c r="EF40" s="37">
        <f t="shared" si="96"/>
        <v>-1194.7455745832663</v>
      </c>
      <c r="EG40" s="37">
        <f t="shared" ref="EG40:GD40" si="97">+EF$40*(1+EG$18)</f>
        <v>-1194.7455745832663</v>
      </c>
      <c r="EH40" s="37">
        <f t="shared" si="97"/>
        <v>-1194.7455745832663</v>
      </c>
      <c r="EI40" s="37">
        <f t="shared" si="97"/>
        <v>-1224.6142139478477</v>
      </c>
      <c r="EJ40" s="37">
        <f t="shared" si="97"/>
        <v>-1224.6142139478477</v>
      </c>
      <c r="EK40" s="37">
        <f t="shared" si="97"/>
        <v>-1224.6142139478477</v>
      </c>
      <c r="EL40" s="37">
        <f t="shared" si="97"/>
        <v>-1224.6142139478477</v>
      </c>
      <c r="EM40" s="37">
        <f t="shared" si="97"/>
        <v>-1224.6142139478477</v>
      </c>
      <c r="EN40" s="37">
        <f t="shared" si="97"/>
        <v>-1224.6142139478477</v>
      </c>
      <c r="EO40" s="37">
        <f t="shared" si="97"/>
        <v>-1224.6142139478477</v>
      </c>
      <c r="EP40" s="37">
        <f t="shared" si="97"/>
        <v>-1224.6142139478477</v>
      </c>
      <c r="EQ40" s="37">
        <f t="shared" si="97"/>
        <v>-1224.6142139478477</v>
      </c>
      <c r="ER40" s="37">
        <f t="shared" si="97"/>
        <v>-1224.6142139478477</v>
      </c>
      <c r="ES40" s="37">
        <f t="shared" si="97"/>
        <v>-1224.6142139478477</v>
      </c>
      <c r="ET40" s="37">
        <f t="shared" si="97"/>
        <v>-1224.6142139478477</v>
      </c>
      <c r="EU40" s="37">
        <f t="shared" si="97"/>
        <v>-1255.2295692965438</v>
      </c>
      <c r="EV40" s="37">
        <f t="shared" si="97"/>
        <v>-1255.2295692965438</v>
      </c>
      <c r="EW40" s="37">
        <f t="shared" si="97"/>
        <v>-1255.2295692965438</v>
      </c>
      <c r="EX40" s="37">
        <f t="shared" si="97"/>
        <v>-1255.2295692965438</v>
      </c>
      <c r="EY40" s="37">
        <f t="shared" si="97"/>
        <v>-1255.2295692965438</v>
      </c>
      <c r="EZ40" s="37">
        <f t="shared" si="97"/>
        <v>-1255.2295692965438</v>
      </c>
      <c r="FA40" s="37">
        <f t="shared" si="97"/>
        <v>-1255.2295692965438</v>
      </c>
      <c r="FB40" s="37">
        <f t="shared" si="97"/>
        <v>-1255.2295692965438</v>
      </c>
      <c r="FC40" s="37">
        <f t="shared" si="97"/>
        <v>-1255.2295692965438</v>
      </c>
      <c r="FD40" s="37">
        <f t="shared" si="97"/>
        <v>-1255.2295692965438</v>
      </c>
      <c r="FE40" s="37">
        <f t="shared" si="97"/>
        <v>-1255.2295692965438</v>
      </c>
      <c r="FF40" s="37">
        <f t="shared" si="97"/>
        <v>-1255.2295692965438</v>
      </c>
      <c r="FG40" s="37">
        <f t="shared" si="97"/>
        <v>-1286.6103085289574</v>
      </c>
      <c r="FH40" s="37">
        <f t="shared" si="97"/>
        <v>-1286.6103085289574</v>
      </c>
      <c r="FI40" s="37">
        <f t="shared" si="97"/>
        <v>-1286.6103085289574</v>
      </c>
      <c r="FJ40" s="37">
        <f t="shared" si="97"/>
        <v>-1286.6103085289574</v>
      </c>
      <c r="FK40" s="37">
        <f t="shared" si="97"/>
        <v>-1286.6103085289574</v>
      </c>
      <c r="FL40" s="37">
        <f t="shared" si="97"/>
        <v>-1286.6103085289574</v>
      </c>
      <c r="FM40" s="37">
        <f t="shared" si="97"/>
        <v>-1286.6103085289574</v>
      </c>
      <c r="FN40" s="37">
        <f t="shared" si="97"/>
        <v>-1286.6103085289574</v>
      </c>
      <c r="FO40" s="37">
        <f t="shared" si="97"/>
        <v>-1286.6103085289574</v>
      </c>
      <c r="FP40" s="37">
        <f t="shared" si="97"/>
        <v>-1286.6103085289574</v>
      </c>
      <c r="FQ40" s="37">
        <f t="shared" si="97"/>
        <v>-1286.6103085289574</v>
      </c>
      <c r="FR40" s="37">
        <f t="shared" si="97"/>
        <v>-1286.6103085289574</v>
      </c>
      <c r="FS40" s="37">
        <f t="shared" si="97"/>
        <v>-1318.7755662421812</v>
      </c>
      <c r="FT40" s="37">
        <f t="shared" si="97"/>
        <v>-1318.7755662421812</v>
      </c>
      <c r="FU40" s="37">
        <f t="shared" si="97"/>
        <v>-1318.7755662421812</v>
      </c>
      <c r="FV40" s="37">
        <f t="shared" si="97"/>
        <v>-1318.7755662421812</v>
      </c>
      <c r="FW40" s="37">
        <f t="shared" si="97"/>
        <v>-1318.7755662421812</v>
      </c>
      <c r="FX40" s="37">
        <f t="shared" si="97"/>
        <v>-1318.7755662421812</v>
      </c>
      <c r="FY40" s="37">
        <f t="shared" si="97"/>
        <v>-1318.7755662421812</v>
      </c>
      <c r="FZ40" s="37">
        <f t="shared" si="97"/>
        <v>-1318.7755662421812</v>
      </c>
      <c r="GA40" s="37">
        <f t="shared" si="97"/>
        <v>-1318.7755662421812</v>
      </c>
      <c r="GB40" s="37">
        <f t="shared" si="97"/>
        <v>-1318.7755662421812</v>
      </c>
      <c r="GC40" s="37">
        <f t="shared" si="97"/>
        <v>-1318.7755662421812</v>
      </c>
      <c r="GD40" s="37">
        <f t="shared" si="97"/>
        <v>-1318.7755662421812</v>
      </c>
      <c r="GE40" s="37">
        <f t="shared" ref="GE40:GM40" si="98">+GD$40*(1+GE$18)</f>
        <v>-1351.7449553982356</v>
      </c>
      <c r="GF40" s="37">
        <f t="shared" si="98"/>
        <v>-1351.7449553982356</v>
      </c>
      <c r="GG40" s="37">
        <f t="shared" si="98"/>
        <v>-1351.7449553982356</v>
      </c>
      <c r="GH40" s="37">
        <f t="shared" si="98"/>
        <v>-1351.7449553982356</v>
      </c>
      <c r="GI40" s="37">
        <f t="shared" si="98"/>
        <v>-1351.7449553982356</v>
      </c>
      <c r="GJ40" s="37">
        <f t="shared" si="98"/>
        <v>-1351.7449553982356</v>
      </c>
      <c r="GK40" s="37">
        <f t="shared" si="98"/>
        <v>-1351.7449553982356</v>
      </c>
      <c r="GL40" s="37">
        <f t="shared" si="98"/>
        <v>-1351.7449553982356</v>
      </c>
      <c r="GM40" s="37">
        <f t="shared" si="98"/>
        <v>-1351.7449553982356</v>
      </c>
      <c r="GN40" s="63"/>
      <c r="GO40" s="63"/>
      <c r="GP40" s="63"/>
      <c r="GQ40" s="63"/>
      <c r="GR40" s="63"/>
      <c r="GS40" s="63"/>
      <c r="GT40" s="63"/>
      <c r="GU40" s="63"/>
      <c r="GV40" s="63"/>
      <c r="GW40" s="63"/>
      <c r="GX40" s="63"/>
      <c r="GY40" s="63"/>
      <c r="GZ40" s="63"/>
      <c r="HA40" s="63"/>
      <c r="HB40" s="63"/>
      <c r="HC40" s="63"/>
      <c r="HD40" s="63"/>
      <c r="HE40" s="63"/>
      <c r="HF40" s="63"/>
      <c r="HG40" s="63"/>
      <c r="HH40" s="63"/>
      <c r="HI40" s="63"/>
      <c r="HJ40" s="63"/>
      <c r="HK40" s="63"/>
      <c r="HL40" s="63"/>
      <c r="HM40" s="63"/>
      <c r="HN40" s="63"/>
      <c r="HO40" s="63"/>
      <c r="HP40" s="63"/>
      <c r="HQ40" s="63"/>
      <c r="HR40" s="63"/>
      <c r="HS40" s="63"/>
      <c r="HT40" s="63"/>
      <c r="HU40" s="63"/>
      <c r="HV40" s="63"/>
      <c r="HW40" s="63"/>
      <c r="HX40" s="63"/>
      <c r="HY40" s="63"/>
      <c r="HZ40" s="63"/>
      <c r="IA40" s="63"/>
      <c r="IB40" s="63"/>
      <c r="IC40" s="63"/>
      <c r="ID40" s="63"/>
      <c r="IE40" s="63"/>
      <c r="IF40" s="63"/>
      <c r="IG40" s="63"/>
      <c r="IH40" s="63"/>
      <c r="II40" s="63"/>
      <c r="IJ40" s="63"/>
      <c r="IK40" s="63"/>
      <c r="IL40" s="63"/>
      <c r="IM40" s="63"/>
      <c r="IN40" s="63"/>
      <c r="IO40" s="63"/>
      <c r="IP40" s="63"/>
      <c r="IQ40" s="63"/>
      <c r="IR40" s="63"/>
      <c r="IS40" s="63"/>
      <c r="IT40" s="63"/>
      <c r="IU40" s="63"/>
      <c r="IV40" s="63"/>
      <c r="IW40" s="63"/>
      <c r="IX40" s="63"/>
      <c r="IY40" s="63"/>
      <c r="IZ40" s="63"/>
      <c r="JA40" s="63"/>
      <c r="JB40" s="63"/>
      <c r="JC40" s="63"/>
      <c r="JD40" s="63"/>
      <c r="JE40" s="63"/>
      <c r="JF40" s="63"/>
      <c r="JG40" s="63"/>
      <c r="JH40" s="63"/>
      <c r="JI40" s="63"/>
      <c r="JJ40" s="63"/>
      <c r="JK40" s="63"/>
      <c r="JL40" s="63"/>
      <c r="JM40" s="63"/>
      <c r="JN40" s="63"/>
      <c r="JO40" s="63"/>
      <c r="JP40" s="63"/>
      <c r="JQ40" s="63"/>
      <c r="JR40" s="63"/>
      <c r="JS40" s="63"/>
      <c r="JT40" s="63"/>
      <c r="JU40" s="63"/>
      <c r="JV40" s="63"/>
      <c r="JW40" s="63"/>
      <c r="JX40" s="63"/>
      <c r="JY40" s="63"/>
      <c r="JZ40" s="63"/>
      <c r="KA40" s="63"/>
      <c r="KB40" s="63"/>
      <c r="KC40" s="63"/>
      <c r="KD40" s="63"/>
      <c r="KE40" s="63"/>
      <c r="KF40" s="63"/>
      <c r="KG40" s="63"/>
      <c r="KH40" s="63"/>
      <c r="KI40" s="63"/>
      <c r="KJ40" s="63"/>
      <c r="KK40" s="63"/>
      <c r="KL40" s="63"/>
      <c r="KM40" s="63"/>
      <c r="KN40" s="63"/>
      <c r="KO40" s="63"/>
      <c r="KP40" s="63"/>
      <c r="KQ40" s="63"/>
      <c r="KR40" s="63"/>
      <c r="KS40" s="63"/>
      <c r="KT40" s="63"/>
      <c r="KU40" s="63"/>
      <c r="KV40" s="63"/>
      <c r="KW40" s="63"/>
      <c r="KX40" s="63"/>
      <c r="KY40" s="63"/>
      <c r="KZ40" s="63"/>
      <c r="LA40" s="63"/>
      <c r="LB40" s="63"/>
      <c r="LC40" s="63"/>
      <c r="LD40" s="63"/>
      <c r="LE40" s="63"/>
      <c r="LF40" s="63"/>
      <c r="LG40" s="63"/>
      <c r="LH40" s="63"/>
      <c r="LI40" s="63"/>
      <c r="LJ40" s="63"/>
      <c r="LK40" s="63"/>
      <c r="LL40" s="63"/>
      <c r="LM40" s="63"/>
      <c r="LN40" s="63"/>
      <c r="LO40" s="63"/>
      <c r="LP40" s="63"/>
      <c r="LQ40" s="63"/>
      <c r="LR40" s="63"/>
      <c r="LS40" s="63"/>
      <c r="LT40" s="63"/>
      <c r="LU40" s="63"/>
      <c r="LV40" s="63"/>
      <c r="LW40" s="63"/>
      <c r="LX40" s="63"/>
      <c r="LY40" s="63"/>
      <c r="LZ40" s="63"/>
      <c r="MA40" s="63"/>
      <c r="MB40" s="63"/>
      <c r="MC40" s="63"/>
      <c r="MD40" s="63"/>
      <c r="ME40" s="63"/>
      <c r="MF40" s="63"/>
      <c r="MG40" s="63"/>
      <c r="MH40" s="63"/>
      <c r="MI40" s="63"/>
      <c r="MJ40" s="63"/>
      <c r="MK40" s="63"/>
      <c r="ML40" s="63"/>
      <c r="MM40" s="63"/>
      <c r="MN40" s="63"/>
      <c r="MO40" s="63"/>
      <c r="MP40" s="63"/>
      <c r="MQ40" s="63"/>
      <c r="MR40" s="63"/>
      <c r="MS40" s="63"/>
      <c r="MT40" s="63"/>
      <c r="MU40" s="63"/>
      <c r="MV40" s="63"/>
      <c r="MW40" s="63"/>
      <c r="MX40" s="63"/>
      <c r="MY40" s="63"/>
      <c r="MZ40" s="63"/>
      <c r="NA40" s="63"/>
      <c r="NB40" s="63"/>
    </row>
    <row r="41" spans="2:367" ht="16" customHeight="1" x14ac:dyDescent="0.15">
      <c r="B41" s="71" t="s">
        <v>279</v>
      </c>
      <c r="C41" s="312" t="s">
        <v>150</v>
      </c>
      <c r="D41" s="97">
        <f>-'Assumptions_&amp;_Inputs'!$E$65/12</f>
        <v>-1331.375</v>
      </c>
      <c r="F41" s="37">
        <v>0</v>
      </c>
      <c r="G41" s="37">
        <f t="shared" si="94"/>
        <v>-1331.375</v>
      </c>
      <c r="H41" s="37">
        <f>+G$41*(1+H$18)</f>
        <v>-1331.375</v>
      </c>
      <c r="I41" s="37">
        <f t="shared" ref="I41:BT41" si="99">+H$41*(1+I$18)</f>
        <v>-1331.375</v>
      </c>
      <c r="J41" s="37">
        <f t="shared" si="99"/>
        <v>-1331.375</v>
      </c>
      <c r="K41" s="37">
        <f t="shared" si="99"/>
        <v>-1331.375</v>
      </c>
      <c r="L41" s="37">
        <f t="shared" si="99"/>
        <v>-1331.375</v>
      </c>
      <c r="M41" s="37">
        <f t="shared" si="99"/>
        <v>-1331.375</v>
      </c>
      <c r="N41" s="37">
        <f t="shared" si="99"/>
        <v>-1331.375</v>
      </c>
      <c r="O41" s="37">
        <f t="shared" si="99"/>
        <v>-1331.375</v>
      </c>
      <c r="P41" s="37">
        <f t="shared" si="99"/>
        <v>-1331.375</v>
      </c>
      <c r="Q41" s="37">
        <f t="shared" si="99"/>
        <v>-1331.375</v>
      </c>
      <c r="R41" s="37">
        <f t="shared" si="99"/>
        <v>-1331.375</v>
      </c>
      <c r="S41" s="37">
        <f t="shared" si="99"/>
        <v>-1364.659375</v>
      </c>
      <c r="T41" s="37">
        <f t="shared" si="99"/>
        <v>-1364.659375</v>
      </c>
      <c r="U41" s="37">
        <f t="shared" si="99"/>
        <v>-1364.659375</v>
      </c>
      <c r="V41" s="37">
        <f t="shared" si="99"/>
        <v>-1364.659375</v>
      </c>
      <c r="W41" s="37">
        <f t="shared" si="99"/>
        <v>-1364.659375</v>
      </c>
      <c r="X41" s="37">
        <f t="shared" si="99"/>
        <v>-1364.659375</v>
      </c>
      <c r="Y41" s="37">
        <f t="shared" si="99"/>
        <v>-1364.659375</v>
      </c>
      <c r="Z41" s="37">
        <f t="shared" si="99"/>
        <v>-1364.659375</v>
      </c>
      <c r="AA41" s="37">
        <f t="shared" si="99"/>
        <v>-1364.659375</v>
      </c>
      <c r="AB41" s="37">
        <f t="shared" si="99"/>
        <v>-1364.659375</v>
      </c>
      <c r="AC41" s="37">
        <f t="shared" si="99"/>
        <v>-1364.659375</v>
      </c>
      <c r="AD41" s="37">
        <f t="shared" si="99"/>
        <v>-1364.659375</v>
      </c>
      <c r="AE41" s="37">
        <f t="shared" si="99"/>
        <v>-1398.7758593749998</v>
      </c>
      <c r="AF41" s="37">
        <f t="shared" si="99"/>
        <v>-1398.7758593749998</v>
      </c>
      <c r="AG41" s="37">
        <f t="shared" si="99"/>
        <v>-1398.7758593749998</v>
      </c>
      <c r="AH41" s="37">
        <f t="shared" si="99"/>
        <v>-1398.7758593749998</v>
      </c>
      <c r="AI41" s="37">
        <f t="shared" si="99"/>
        <v>-1398.7758593749998</v>
      </c>
      <c r="AJ41" s="37">
        <f t="shared" si="99"/>
        <v>-1398.7758593749998</v>
      </c>
      <c r="AK41" s="37">
        <f t="shared" si="99"/>
        <v>-1398.7758593749998</v>
      </c>
      <c r="AL41" s="37">
        <f t="shared" si="99"/>
        <v>-1398.7758593749998</v>
      </c>
      <c r="AM41" s="37">
        <f t="shared" si="99"/>
        <v>-1398.7758593749998</v>
      </c>
      <c r="AN41" s="37">
        <f t="shared" si="99"/>
        <v>-1398.7758593749998</v>
      </c>
      <c r="AO41" s="37">
        <f t="shared" si="99"/>
        <v>-1398.7758593749998</v>
      </c>
      <c r="AP41" s="37">
        <f t="shared" si="99"/>
        <v>-1398.7758593749998</v>
      </c>
      <c r="AQ41" s="37">
        <f t="shared" si="99"/>
        <v>-1433.7452558593745</v>
      </c>
      <c r="AR41" s="37">
        <f t="shared" si="99"/>
        <v>-1433.7452558593745</v>
      </c>
      <c r="AS41" s="37">
        <f t="shared" si="99"/>
        <v>-1433.7452558593745</v>
      </c>
      <c r="AT41" s="37">
        <f t="shared" si="99"/>
        <v>-1433.7452558593745</v>
      </c>
      <c r="AU41" s="37">
        <f t="shared" si="99"/>
        <v>-1433.7452558593745</v>
      </c>
      <c r="AV41" s="37">
        <f t="shared" si="99"/>
        <v>-1433.7452558593745</v>
      </c>
      <c r="AW41" s="37">
        <f t="shared" si="99"/>
        <v>-1433.7452558593745</v>
      </c>
      <c r="AX41" s="37">
        <f t="shared" si="99"/>
        <v>-1433.7452558593745</v>
      </c>
      <c r="AY41" s="37">
        <f t="shared" si="99"/>
        <v>-1433.7452558593745</v>
      </c>
      <c r="AZ41" s="37">
        <f t="shared" si="99"/>
        <v>-1433.7452558593745</v>
      </c>
      <c r="BA41" s="37">
        <f t="shared" si="99"/>
        <v>-1433.7452558593745</v>
      </c>
      <c r="BB41" s="37">
        <f t="shared" si="99"/>
        <v>-1433.7452558593745</v>
      </c>
      <c r="BC41" s="37">
        <f t="shared" si="99"/>
        <v>-1469.5888872558587</v>
      </c>
      <c r="BD41" s="37">
        <f t="shared" si="99"/>
        <v>-1469.5888872558587</v>
      </c>
      <c r="BE41" s="37">
        <f t="shared" si="99"/>
        <v>-1469.5888872558587</v>
      </c>
      <c r="BF41" s="37">
        <f t="shared" si="99"/>
        <v>-1469.5888872558587</v>
      </c>
      <c r="BG41" s="37">
        <f t="shared" si="99"/>
        <v>-1469.5888872558587</v>
      </c>
      <c r="BH41" s="37">
        <f t="shared" si="99"/>
        <v>-1469.5888872558587</v>
      </c>
      <c r="BI41" s="37">
        <f t="shared" si="99"/>
        <v>-1469.5888872558587</v>
      </c>
      <c r="BJ41" s="37">
        <f t="shared" si="99"/>
        <v>-1469.5888872558587</v>
      </c>
      <c r="BK41" s="37">
        <f t="shared" si="99"/>
        <v>-1469.5888872558587</v>
      </c>
      <c r="BL41" s="37">
        <f t="shared" si="99"/>
        <v>-1469.5888872558587</v>
      </c>
      <c r="BM41" s="37">
        <f t="shared" si="99"/>
        <v>-1469.5888872558587</v>
      </c>
      <c r="BN41" s="37">
        <f t="shared" si="99"/>
        <v>-1469.5888872558587</v>
      </c>
      <c r="BO41" s="37">
        <f t="shared" si="99"/>
        <v>-1506.328609437255</v>
      </c>
      <c r="BP41" s="37">
        <f t="shared" si="99"/>
        <v>-1506.328609437255</v>
      </c>
      <c r="BQ41" s="37">
        <f t="shared" si="99"/>
        <v>-1506.328609437255</v>
      </c>
      <c r="BR41" s="37">
        <f t="shared" si="99"/>
        <v>-1506.328609437255</v>
      </c>
      <c r="BS41" s="37">
        <f t="shared" si="99"/>
        <v>-1506.328609437255</v>
      </c>
      <c r="BT41" s="37">
        <f t="shared" si="99"/>
        <v>-1506.328609437255</v>
      </c>
      <c r="BU41" s="37">
        <f t="shared" ref="BU41:EF41" si="100">+BT$41*(1+BU$18)</f>
        <v>-1506.328609437255</v>
      </c>
      <c r="BV41" s="37">
        <f t="shared" si="100"/>
        <v>-1506.328609437255</v>
      </c>
      <c r="BW41" s="37">
        <f t="shared" si="100"/>
        <v>-1506.328609437255</v>
      </c>
      <c r="BX41" s="37">
        <f t="shared" si="100"/>
        <v>-1506.328609437255</v>
      </c>
      <c r="BY41" s="37">
        <f t="shared" si="100"/>
        <v>-1506.328609437255</v>
      </c>
      <c r="BZ41" s="37">
        <f t="shared" si="100"/>
        <v>-1506.328609437255</v>
      </c>
      <c r="CA41" s="37">
        <f t="shared" si="100"/>
        <v>-1543.9868246731862</v>
      </c>
      <c r="CB41" s="37">
        <f t="shared" si="100"/>
        <v>-1543.9868246731862</v>
      </c>
      <c r="CC41" s="37">
        <f t="shared" si="100"/>
        <v>-1543.9868246731862</v>
      </c>
      <c r="CD41" s="37">
        <f t="shared" si="100"/>
        <v>-1543.9868246731862</v>
      </c>
      <c r="CE41" s="37">
        <f t="shared" si="100"/>
        <v>-1543.9868246731862</v>
      </c>
      <c r="CF41" s="37">
        <f t="shared" si="100"/>
        <v>-1543.9868246731862</v>
      </c>
      <c r="CG41" s="37">
        <f t="shared" si="100"/>
        <v>-1543.9868246731862</v>
      </c>
      <c r="CH41" s="37">
        <f t="shared" si="100"/>
        <v>-1543.9868246731862</v>
      </c>
      <c r="CI41" s="37">
        <f t="shared" si="100"/>
        <v>-1543.9868246731862</v>
      </c>
      <c r="CJ41" s="37">
        <f t="shared" si="100"/>
        <v>-1543.9868246731862</v>
      </c>
      <c r="CK41" s="37">
        <f t="shared" si="100"/>
        <v>-1543.9868246731862</v>
      </c>
      <c r="CL41" s="37">
        <f t="shared" si="100"/>
        <v>-1543.9868246731862</v>
      </c>
      <c r="CM41" s="37">
        <f t="shared" si="100"/>
        <v>-1582.5864952900158</v>
      </c>
      <c r="CN41" s="37">
        <f t="shared" si="100"/>
        <v>-1582.5864952900158</v>
      </c>
      <c r="CO41" s="37">
        <f t="shared" si="100"/>
        <v>-1582.5864952900158</v>
      </c>
      <c r="CP41" s="37">
        <f t="shared" si="100"/>
        <v>-1582.5864952900158</v>
      </c>
      <c r="CQ41" s="37">
        <f t="shared" si="100"/>
        <v>-1582.5864952900158</v>
      </c>
      <c r="CR41" s="37">
        <f t="shared" si="100"/>
        <v>-1582.5864952900158</v>
      </c>
      <c r="CS41" s="37">
        <f t="shared" si="100"/>
        <v>-1582.5864952900158</v>
      </c>
      <c r="CT41" s="37">
        <f t="shared" si="100"/>
        <v>-1582.5864952900158</v>
      </c>
      <c r="CU41" s="37">
        <f t="shared" si="100"/>
        <v>-1582.5864952900158</v>
      </c>
      <c r="CV41" s="37">
        <f t="shared" si="100"/>
        <v>-1582.5864952900158</v>
      </c>
      <c r="CW41" s="37">
        <f t="shared" si="100"/>
        <v>-1582.5864952900158</v>
      </c>
      <c r="CX41" s="37">
        <f t="shared" si="100"/>
        <v>-1582.5864952900158</v>
      </c>
      <c r="CY41" s="37">
        <f t="shared" si="100"/>
        <v>-1622.151157672266</v>
      </c>
      <c r="CZ41" s="37">
        <f t="shared" si="100"/>
        <v>-1622.151157672266</v>
      </c>
      <c r="DA41" s="37">
        <f t="shared" si="100"/>
        <v>-1622.151157672266</v>
      </c>
      <c r="DB41" s="37">
        <f t="shared" si="100"/>
        <v>-1622.151157672266</v>
      </c>
      <c r="DC41" s="37">
        <f t="shared" si="100"/>
        <v>-1622.151157672266</v>
      </c>
      <c r="DD41" s="37">
        <f t="shared" si="100"/>
        <v>-1622.151157672266</v>
      </c>
      <c r="DE41" s="37">
        <f t="shared" si="100"/>
        <v>-1622.151157672266</v>
      </c>
      <c r="DF41" s="37">
        <f t="shared" si="100"/>
        <v>-1622.151157672266</v>
      </c>
      <c r="DG41" s="37">
        <f t="shared" si="100"/>
        <v>-1622.151157672266</v>
      </c>
      <c r="DH41" s="37">
        <f t="shared" si="100"/>
        <v>-1622.151157672266</v>
      </c>
      <c r="DI41" s="37">
        <f t="shared" si="100"/>
        <v>-1622.151157672266</v>
      </c>
      <c r="DJ41" s="37">
        <f t="shared" si="100"/>
        <v>-1622.151157672266</v>
      </c>
      <c r="DK41" s="37">
        <f t="shared" si="100"/>
        <v>-1662.7049366140725</v>
      </c>
      <c r="DL41" s="37">
        <f t="shared" si="100"/>
        <v>-1662.7049366140725</v>
      </c>
      <c r="DM41" s="37">
        <f t="shared" si="100"/>
        <v>-1662.7049366140725</v>
      </c>
      <c r="DN41" s="37">
        <f t="shared" si="100"/>
        <v>-1662.7049366140725</v>
      </c>
      <c r="DO41" s="37">
        <f t="shared" si="100"/>
        <v>-1662.7049366140725</v>
      </c>
      <c r="DP41" s="37">
        <f t="shared" si="100"/>
        <v>-1662.7049366140725</v>
      </c>
      <c r="DQ41" s="37">
        <f t="shared" si="100"/>
        <v>-1662.7049366140725</v>
      </c>
      <c r="DR41" s="37">
        <f t="shared" si="100"/>
        <v>-1662.7049366140725</v>
      </c>
      <c r="DS41" s="37">
        <f t="shared" si="100"/>
        <v>-1662.7049366140725</v>
      </c>
      <c r="DT41" s="37">
        <f t="shared" si="100"/>
        <v>-1662.7049366140725</v>
      </c>
      <c r="DU41" s="37">
        <f t="shared" si="100"/>
        <v>-1662.7049366140725</v>
      </c>
      <c r="DV41" s="37">
        <f t="shared" si="100"/>
        <v>-1662.7049366140725</v>
      </c>
      <c r="DW41" s="37">
        <f t="shared" si="100"/>
        <v>-1704.2725600294241</v>
      </c>
      <c r="DX41" s="37">
        <f t="shared" si="100"/>
        <v>-1704.2725600294241</v>
      </c>
      <c r="DY41" s="37">
        <f t="shared" si="100"/>
        <v>-1704.2725600294241</v>
      </c>
      <c r="DZ41" s="37">
        <f t="shared" si="100"/>
        <v>-1704.2725600294241</v>
      </c>
      <c r="EA41" s="37">
        <f t="shared" si="100"/>
        <v>-1704.2725600294241</v>
      </c>
      <c r="EB41" s="37">
        <f t="shared" si="100"/>
        <v>-1704.2725600294241</v>
      </c>
      <c r="EC41" s="37">
        <f t="shared" si="100"/>
        <v>-1704.2725600294241</v>
      </c>
      <c r="ED41" s="37">
        <f t="shared" si="100"/>
        <v>-1704.2725600294241</v>
      </c>
      <c r="EE41" s="37">
        <f t="shared" si="100"/>
        <v>-1704.2725600294241</v>
      </c>
      <c r="EF41" s="37">
        <f t="shared" si="100"/>
        <v>-1704.2725600294241</v>
      </c>
      <c r="EG41" s="37">
        <f t="shared" ref="EG41:GD41" si="101">+EF$41*(1+EG$18)</f>
        <v>-1704.2725600294241</v>
      </c>
      <c r="EH41" s="37">
        <f t="shared" si="101"/>
        <v>-1704.2725600294241</v>
      </c>
      <c r="EI41" s="37">
        <f t="shared" si="101"/>
        <v>-1746.8793740301596</v>
      </c>
      <c r="EJ41" s="37">
        <f t="shared" si="101"/>
        <v>-1746.8793740301596</v>
      </c>
      <c r="EK41" s="37">
        <f t="shared" si="101"/>
        <v>-1746.8793740301596</v>
      </c>
      <c r="EL41" s="37">
        <f t="shared" si="101"/>
        <v>-1746.8793740301596</v>
      </c>
      <c r="EM41" s="37">
        <f t="shared" si="101"/>
        <v>-1746.8793740301596</v>
      </c>
      <c r="EN41" s="37">
        <f t="shared" si="101"/>
        <v>-1746.8793740301596</v>
      </c>
      <c r="EO41" s="37">
        <f t="shared" si="101"/>
        <v>-1746.8793740301596</v>
      </c>
      <c r="EP41" s="37">
        <f t="shared" si="101"/>
        <v>-1746.8793740301596</v>
      </c>
      <c r="EQ41" s="37">
        <f t="shared" si="101"/>
        <v>-1746.8793740301596</v>
      </c>
      <c r="ER41" s="37">
        <f t="shared" si="101"/>
        <v>-1746.8793740301596</v>
      </c>
      <c r="ES41" s="37">
        <f t="shared" si="101"/>
        <v>-1746.8793740301596</v>
      </c>
      <c r="ET41" s="37">
        <f t="shared" si="101"/>
        <v>-1746.8793740301596</v>
      </c>
      <c r="EU41" s="37">
        <f t="shared" si="101"/>
        <v>-1790.5513583809134</v>
      </c>
      <c r="EV41" s="37">
        <f t="shared" si="101"/>
        <v>-1790.5513583809134</v>
      </c>
      <c r="EW41" s="37">
        <f t="shared" si="101"/>
        <v>-1790.5513583809134</v>
      </c>
      <c r="EX41" s="37">
        <f t="shared" si="101"/>
        <v>-1790.5513583809134</v>
      </c>
      <c r="EY41" s="37">
        <f t="shared" si="101"/>
        <v>-1790.5513583809134</v>
      </c>
      <c r="EZ41" s="37">
        <f t="shared" si="101"/>
        <v>-1790.5513583809134</v>
      </c>
      <c r="FA41" s="37">
        <f t="shared" si="101"/>
        <v>-1790.5513583809134</v>
      </c>
      <c r="FB41" s="37">
        <f t="shared" si="101"/>
        <v>-1790.5513583809134</v>
      </c>
      <c r="FC41" s="37">
        <f t="shared" si="101"/>
        <v>-1790.5513583809134</v>
      </c>
      <c r="FD41" s="37">
        <f t="shared" si="101"/>
        <v>-1790.5513583809134</v>
      </c>
      <c r="FE41" s="37">
        <f t="shared" si="101"/>
        <v>-1790.5513583809134</v>
      </c>
      <c r="FF41" s="37">
        <f t="shared" si="101"/>
        <v>-1790.5513583809134</v>
      </c>
      <c r="FG41" s="37">
        <f t="shared" si="101"/>
        <v>-1835.3151423404361</v>
      </c>
      <c r="FH41" s="37">
        <f t="shared" si="101"/>
        <v>-1835.3151423404361</v>
      </c>
      <c r="FI41" s="37">
        <f t="shared" si="101"/>
        <v>-1835.3151423404361</v>
      </c>
      <c r="FJ41" s="37">
        <f t="shared" si="101"/>
        <v>-1835.3151423404361</v>
      </c>
      <c r="FK41" s="37">
        <f t="shared" si="101"/>
        <v>-1835.3151423404361</v>
      </c>
      <c r="FL41" s="37">
        <f t="shared" si="101"/>
        <v>-1835.3151423404361</v>
      </c>
      <c r="FM41" s="37">
        <f t="shared" si="101"/>
        <v>-1835.3151423404361</v>
      </c>
      <c r="FN41" s="37">
        <f t="shared" si="101"/>
        <v>-1835.3151423404361</v>
      </c>
      <c r="FO41" s="37">
        <f t="shared" si="101"/>
        <v>-1835.3151423404361</v>
      </c>
      <c r="FP41" s="37">
        <f t="shared" si="101"/>
        <v>-1835.3151423404361</v>
      </c>
      <c r="FQ41" s="37">
        <f t="shared" si="101"/>
        <v>-1835.3151423404361</v>
      </c>
      <c r="FR41" s="37">
        <f t="shared" si="101"/>
        <v>-1835.3151423404361</v>
      </c>
      <c r="FS41" s="37">
        <f t="shared" si="101"/>
        <v>-1881.1980208989469</v>
      </c>
      <c r="FT41" s="37">
        <f t="shared" si="101"/>
        <v>-1881.1980208989469</v>
      </c>
      <c r="FU41" s="37">
        <f t="shared" si="101"/>
        <v>-1881.1980208989469</v>
      </c>
      <c r="FV41" s="37">
        <f t="shared" si="101"/>
        <v>-1881.1980208989469</v>
      </c>
      <c r="FW41" s="37">
        <f t="shared" si="101"/>
        <v>-1881.1980208989469</v>
      </c>
      <c r="FX41" s="37">
        <f t="shared" si="101"/>
        <v>-1881.1980208989469</v>
      </c>
      <c r="FY41" s="37">
        <f t="shared" si="101"/>
        <v>-1881.1980208989469</v>
      </c>
      <c r="FZ41" s="37">
        <f t="shared" si="101"/>
        <v>-1881.1980208989469</v>
      </c>
      <c r="GA41" s="37">
        <f t="shared" si="101"/>
        <v>-1881.1980208989469</v>
      </c>
      <c r="GB41" s="37">
        <f t="shared" si="101"/>
        <v>-1881.1980208989469</v>
      </c>
      <c r="GC41" s="37">
        <f t="shared" si="101"/>
        <v>-1881.1980208989469</v>
      </c>
      <c r="GD41" s="37">
        <f t="shared" si="101"/>
        <v>-1881.1980208989469</v>
      </c>
      <c r="GE41" s="37">
        <f t="shared" ref="GE41:GM41" si="102">+GD$41*(1+GE$18)</f>
        <v>-1928.2279714214203</v>
      </c>
      <c r="GF41" s="37">
        <f t="shared" si="102"/>
        <v>-1928.2279714214203</v>
      </c>
      <c r="GG41" s="37">
        <f t="shared" si="102"/>
        <v>-1928.2279714214203</v>
      </c>
      <c r="GH41" s="37">
        <f t="shared" si="102"/>
        <v>-1928.2279714214203</v>
      </c>
      <c r="GI41" s="37">
        <f t="shared" si="102"/>
        <v>-1928.2279714214203</v>
      </c>
      <c r="GJ41" s="37">
        <f t="shared" si="102"/>
        <v>-1928.2279714214203</v>
      </c>
      <c r="GK41" s="37">
        <f t="shared" si="102"/>
        <v>-1928.2279714214203</v>
      </c>
      <c r="GL41" s="37">
        <f t="shared" si="102"/>
        <v>-1928.2279714214203</v>
      </c>
      <c r="GM41" s="37">
        <f t="shared" si="102"/>
        <v>-1928.2279714214203</v>
      </c>
      <c r="GN41" s="63"/>
      <c r="GO41" s="63"/>
      <c r="GP41" s="63"/>
      <c r="GQ41" s="63"/>
      <c r="GR41" s="63"/>
      <c r="GS41" s="63"/>
      <c r="GT41" s="63"/>
      <c r="GU41" s="63"/>
      <c r="GV41" s="63"/>
      <c r="GW41" s="63"/>
      <c r="GX41" s="63"/>
      <c r="GY41" s="63"/>
      <c r="GZ41" s="63"/>
      <c r="HA41" s="63"/>
      <c r="HB41" s="63"/>
      <c r="HC41" s="63"/>
      <c r="HD41" s="63"/>
      <c r="HE41" s="63"/>
      <c r="HF41" s="63"/>
      <c r="HG41" s="63"/>
      <c r="HH41" s="63"/>
      <c r="HI41" s="63"/>
      <c r="HJ41" s="63"/>
      <c r="HK41" s="63"/>
      <c r="HL41" s="63"/>
      <c r="HM41" s="63"/>
      <c r="HN41" s="63"/>
      <c r="HO41" s="63"/>
      <c r="HP41" s="63"/>
      <c r="HQ41" s="63"/>
      <c r="HR41" s="63"/>
      <c r="HS41" s="63"/>
      <c r="HT41" s="63"/>
      <c r="HU41" s="63"/>
      <c r="HV41" s="63"/>
      <c r="HW41" s="63"/>
      <c r="HX41" s="63"/>
      <c r="HY41" s="63"/>
      <c r="HZ41" s="63"/>
      <c r="IA41" s="63"/>
      <c r="IB41" s="63"/>
      <c r="IC41" s="63"/>
      <c r="ID41" s="63"/>
      <c r="IE41" s="63"/>
      <c r="IF41" s="63"/>
      <c r="IG41" s="63"/>
      <c r="IH41" s="63"/>
      <c r="II41" s="63"/>
      <c r="IJ41" s="63"/>
      <c r="IK41" s="63"/>
      <c r="IL41" s="63"/>
      <c r="IM41" s="63"/>
      <c r="IN41" s="63"/>
      <c r="IO41" s="63"/>
      <c r="IP41" s="63"/>
      <c r="IQ41" s="63"/>
      <c r="IR41" s="63"/>
      <c r="IS41" s="63"/>
      <c r="IT41" s="63"/>
      <c r="IU41" s="63"/>
      <c r="IV41" s="63"/>
      <c r="IW41" s="63"/>
      <c r="IX41" s="63"/>
      <c r="IY41" s="63"/>
      <c r="IZ41" s="63"/>
      <c r="JA41" s="63"/>
      <c r="JB41" s="63"/>
      <c r="JC41" s="63"/>
      <c r="JD41" s="63"/>
      <c r="JE41" s="63"/>
      <c r="JF41" s="63"/>
      <c r="JG41" s="63"/>
      <c r="JH41" s="63"/>
      <c r="JI41" s="63"/>
      <c r="JJ41" s="63"/>
      <c r="JK41" s="63"/>
      <c r="JL41" s="63"/>
      <c r="JM41" s="63"/>
      <c r="JN41" s="63"/>
      <c r="JO41" s="63"/>
      <c r="JP41" s="63"/>
      <c r="JQ41" s="63"/>
      <c r="JR41" s="63"/>
      <c r="JS41" s="63"/>
      <c r="JT41" s="63"/>
      <c r="JU41" s="63"/>
      <c r="JV41" s="63"/>
      <c r="JW41" s="63"/>
      <c r="JX41" s="63"/>
      <c r="JY41" s="63"/>
      <c r="JZ41" s="63"/>
      <c r="KA41" s="63"/>
      <c r="KB41" s="63"/>
      <c r="KC41" s="63"/>
      <c r="KD41" s="63"/>
      <c r="KE41" s="63"/>
      <c r="KF41" s="63"/>
      <c r="KG41" s="63"/>
      <c r="KH41" s="63"/>
      <c r="KI41" s="63"/>
      <c r="KJ41" s="63"/>
      <c r="KK41" s="63"/>
      <c r="KL41" s="63"/>
      <c r="KM41" s="63"/>
      <c r="KN41" s="63"/>
      <c r="KO41" s="63"/>
      <c r="KP41" s="63"/>
      <c r="KQ41" s="63"/>
      <c r="KR41" s="63"/>
      <c r="KS41" s="63"/>
      <c r="KT41" s="63"/>
      <c r="KU41" s="63"/>
      <c r="KV41" s="63"/>
      <c r="KW41" s="63"/>
      <c r="KX41" s="63"/>
      <c r="KY41" s="63"/>
      <c r="KZ41" s="63"/>
      <c r="LA41" s="63"/>
      <c r="LB41" s="63"/>
      <c r="LC41" s="63"/>
      <c r="LD41" s="63"/>
      <c r="LE41" s="63"/>
      <c r="LF41" s="63"/>
      <c r="LG41" s="63"/>
      <c r="LH41" s="63"/>
      <c r="LI41" s="63"/>
      <c r="LJ41" s="63"/>
      <c r="LK41" s="63"/>
      <c r="LL41" s="63"/>
      <c r="LM41" s="63"/>
      <c r="LN41" s="63"/>
      <c r="LO41" s="63"/>
      <c r="LP41" s="63"/>
      <c r="LQ41" s="63"/>
      <c r="LR41" s="63"/>
      <c r="LS41" s="63"/>
      <c r="LT41" s="63"/>
      <c r="LU41" s="63"/>
      <c r="LV41" s="63"/>
      <c r="LW41" s="63"/>
      <c r="LX41" s="63"/>
      <c r="LY41" s="63"/>
      <c r="LZ41" s="63"/>
      <c r="MA41" s="63"/>
      <c r="MB41" s="63"/>
      <c r="MC41" s="63"/>
      <c r="MD41" s="63"/>
      <c r="ME41" s="63"/>
      <c r="MF41" s="63"/>
      <c r="MG41" s="63"/>
      <c r="MH41" s="63"/>
      <c r="MI41" s="63"/>
      <c r="MJ41" s="63"/>
      <c r="MK41" s="63"/>
      <c r="ML41" s="63"/>
      <c r="MM41" s="63"/>
      <c r="MN41" s="63"/>
      <c r="MO41" s="63"/>
      <c r="MP41" s="63"/>
      <c r="MQ41" s="63"/>
      <c r="MR41" s="63"/>
      <c r="MS41" s="63"/>
      <c r="MT41" s="63"/>
      <c r="MU41" s="63"/>
      <c r="MV41" s="63"/>
      <c r="MW41" s="63"/>
      <c r="MX41" s="63"/>
      <c r="MY41" s="63"/>
      <c r="MZ41" s="63"/>
      <c r="NA41" s="63"/>
      <c r="NB41" s="63"/>
    </row>
    <row r="42" spans="2:367" ht="16" customHeight="1" x14ac:dyDescent="0.15">
      <c r="B42" s="373" t="s">
        <v>280</v>
      </c>
      <c r="C42" s="314" t="s">
        <v>150</v>
      </c>
      <c r="D42" s="102">
        <f>-'Assumptions_&amp;_Inputs'!$I$60/12</f>
        <v>-4526.15625</v>
      </c>
      <c r="E42" s="24"/>
      <c r="F42" s="35">
        <v>0</v>
      </c>
      <c r="G42" s="35">
        <f t="shared" si="94"/>
        <v>-4526.15625</v>
      </c>
      <c r="H42" s="35">
        <f>+G$42*(1+H$19)</f>
        <v>-4526.15625</v>
      </c>
      <c r="I42" s="35">
        <f t="shared" ref="I42:BT42" si="103">+H$42*(1+I$19)</f>
        <v>-4526.15625</v>
      </c>
      <c r="J42" s="35">
        <f t="shared" si="103"/>
        <v>-4526.15625</v>
      </c>
      <c r="K42" s="35">
        <f t="shared" si="103"/>
        <v>-4526.15625</v>
      </c>
      <c r="L42" s="317">
        <f t="shared" si="103"/>
        <v>-4526.15625</v>
      </c>
      <c r="M42" s="35">
        <f t="shared" si="103"/>
        <v>-4526.15625</v>
      </c>
      <c r="N42" s="35">
        <f t="shared" si="103"/>
        <v>-4526.15625</v>
      </c>
      <c r="O42" s="35">
        <f t="shared" si="103"/>
        <v>-4526.15625</v>
      </c>
      <c r="P42" s="35">
        <f t="shared" si="103"/>
        <v>-4526.15625</v>
      </c>
      <c r="Q42" s="35">
        <f t="shared" si="103"/>
        <v>-4526.15625</v>
      </c>
      <c r="R42" s="35">
        <f t="shared" si="103"/>
        <v>-4526.15625</v>
      </c>
      <c r="S42" s="35">
        <f t="shared" si="103"/>
        <v>-4616.6793749999997</v>
      </c>
      <c r="T42" s="35">
        <f t="shared" si="103"/>
        <v>-4616.6793749999997</v>
      </c>
      <c r="U42" s="35">
        <f t="shared" si="103"/>
        <v>-4616.6793749999997</v>
      </c>
      <c r="V42" s="35">
        <f t="shared" si="103"/>
        <v>-4616.6793749999997</v>
      </c>
      <c r="W42" s="35">
        <f t="shared" si="103"/>
        <v>-4616.6793749999997</v>
      </c>
      <c r="X42" s="35">
        <f t="shared" si="103"/>
        <v>-4616.6793749999997</v>
      </c>
      <c r="Y42" s="35">
        <f t="shared" si="103"/>
        <v>-4616.6793749999997</v>
      </c>
      <c r="Z42" s="35">
        <f t="shared" si="103"/>
        <v>-4616.6793749999997</v>
      </c>
      <c r="AA42" s="35">
        <f t="shared" si="103"/>
        <v>-4616.6793749999997</v>
      </c>
      <c r="AB42" s="35">
        <f t="shared" si="103"/>
        <v>-4616.6793749999997</v>
      </c>
      <c r="AC42" s="35">
        <f t="shared" si="103"/>
        <v>-4616.6793749999997</v>
      </c>
      <c r="AD42" s="35">
        <f t="shared" si="103"/>
        <v>-4616.6793749999997</v>
      </c>
      <c r="AE42" s="35">
        <f t="shared" si="103"/>
        <v>-4709.0129625</v>
      </c>
      <c r="AF42" s="35">
        <f t="shared" si="103"/>
        <v>-4709.0129625</v>
      </c>
      <c r="AG42" s="35">
        <f t="shared" si="103"/>
        <v>-4709.0129625</v>
      </c>
      <c r="AH42" s="35">
        <f t="shared" si="103"/>
        <v>-4709.0129625</v>
      </c>
      <c r="AI42" s="35">
        <f t="shared" si="103"/>
        <v>-4709.0129625</v>
      </c>
      <c r="AJ42" s="35">
        <f t="shared" si="103"/>
        <v>-4709.0129625</v>
      </c>
      <c r="AK42" s="35">
        <f t="shared" si="103"/>
        <v>-4709.0129625</v>
      </c>
      <c r="AL42" s="35">
        <f t="shared" si="103"/>
        <v>-4709.0129625</v>
      </c>
      <c r="AM42" s="35">
        <f t="shared" si="103"/>
        <v>-4709.0129625</v>
      </c>
      <c r="AN42" s="35">
        <f t="shared" si="103"/>
        <v>-4709.0129625</v>
      </c>
      <c r="AO42" s="35">
        <f t="shared" si="103"/>
        <v>-4709.0129625</v>
      </c>
      <c r="AP42" s="35">
        <f t="shared" si="103"/>
        <v>-4709.0129625</v>
      </c>
      <c r="AQ42" s="35">
        <f t="shared" si="103"/>
        <v>-4803.1932217499998</v>
      </c>
      <c r="AR42" s="35">
        <f t="shared" si="103"/>
        <v>-4803.1932217499998</v>
      </c>
      <c r="AS42" s="35">
        <f t="shared" si="103"/>
        <v>-4803.1932217499998</v>
      </c>
      <c r="AT42" s="35">
        <f t="shared" si="103"/>
        <v>-4803.1932217499998</v>
      </c>
      <c r="AU42" s="35">
        <f t="shared" si="103"/>
        <v>-4803.1932217499998</v>
      </c>
      <c r="AV42" s="35">
        <f t="shared" si="103"/>
        <v>-4803.1932217499998</v>
      </c>
      <c r="AW42" s="35">
        <f t="shared" si="103"/>
        <v>-4803.1932217499998</v>
      </c>
      <c r="AX42" s="35">
        <f t="shared" si="103"/>
        <v>-4803.1932217499998</v>
      </c>
      <c r="AY42" s="35">
        <f t="shared" si="103"/>
        <v>-4803.1932217499998</v>
      </c>
      <c r="AZ42" s="35">
        <f t="shared" si="103"/>
        <v>-4803.1932217499998</v>
      </c>
      <c r="BA42" s="35">
        <f t="shared" si="103"/>
        <v>-4803.1932217499998</v>
      </c>
      <c r="BB42" s="35">
        <f t="shared" si="103"/>
        <v>-4803.1932217499998</v>
      </c>
      <c r="BC42" s="35">
        <f t="shared" si="103"/>
        <v>-4899.2570861849999</v>
      </c>
      <c r="BD42" s="35">
        <f t="shared" si="103"/>
        <v>-4899.2570861849999</v>
      </c>
      <c r="BE42" s="35">
        <f t="shared" si="103"/>
        <v>-4899.2570861849999</v>
      </c>
      <c r="BF42" s="35">
        <f t="shared" si="103"/>
        <v>-4899.2570861849999</v>
      </c>
      <c r="BG42" s="35">
        <f t="shared" si="103"/>
        <v>-4899.2570861849999</v>
      </c>
      <c r="BH42" s="35">
        <f t="shared" si="103"/>
        <v>-4899.2570861849999</v>
      </c>
      <c r="BI42" s="35">
        <f t="shared" si="103"/>
        <v>-4899.2570861849999</v>
      </c>
      <c r="BJ42" s="35">
        <f t="shared" si="103"/>
        <v>-4899.2570861849999</v>
      </c>
      <c r="BK42" s="35">
        <f t="shared" si="103"/>
        <v>-4899.2570861849999</v>
      </c>
      <c r="BL42" s="35">
        <f t="shared" si="103"/>
        <v>-4899.2570861849999</v>
      </c>
      <c r="BM42" s="35">
        <f t="shared" si="103"/>
        <v>-4899.2570861849999</v>
      </c>
      <c r="BN42" s="35">
        <f t="shared" si="103"/>
        <v>-4899.2570861849999</v>
      </c>
      <c r="BO42" s="35">
        <f t="shared" si="103"/>
        <v>-4997.2422279087004</v>
      </c>
      <c r="BP42" s="35">
        <f t="shared" si="103"/>
        <v>-4997.2422279087004</v>
      </c>
      <c r="BQ42" s="35">
        <f t="shared" si="103"/>
        <v>-4997.2422279087004</v>
      </c>
      <c r="BR42" s="35">
        <f t="shared" si="103"/>
        <v>-4997.2422279087004</v>
      </c>
      <c r="BS42" s="35">
        <f t="shared" si="103"/>
        <v>-4997.2422279087004</v>
      </c>
      <c r="BT42" s="35">
        <f t="shared" si="103"/>
        <v>-4997.2422279087004</v>
      </c>
      <c r="BU42" s="35">
        <f t="shared" ref="BU42:EF42" si="104">+BT$42*(1+BU$19)</f>
        <v>-4997.2422279087004</v>
      </c>
      <c r="BV42" s="35">
        <f t="shared" si="104"/>
        <v>-4997.2422279087004</v>
      </c>
      <c r="BW42" s="35">
        <f t="shared" si="104"/>
        <v>-4997.2422279087004</v>
      </c>
      <c r="BX42" s="35">
        <f t="shared" si="104"/>
        <v>-4997.2422279087004</v>
      </c>
      <c r="BY42" s="35">
        <f t="shared" si="104"/>
        <v>-4997.2422279087004</v>
      </c>
      <c r="BZ42" s="35">
        <f t="shared" si="104"/>
        <v>-4997.2422279087004</v>
      </c>
      <c r="CA42" s="35">
        <f t="shared" si="104"/>
        <v>-5097.1870724668743</v>
      </c>
      <c r="CB42" s="35">
        <f t="shared" si="104"/>
        <v>-5097.1870724668743</v>
      </c>
      <c r="CC42" s="35">
        <f t="shared" si="104"/>
        <v>-5097.1870724668743</v>
      </c>
      <c r="CD42" s="35">
        <f t="shared" si="104"/>
        <v>-5097.1870724668743</v>
      </c>
      <c r="CE42" s="35">
        <f t="shared" si="104"/>
        <v>-5097.1870724668743</v>
      </c>
      <c r="CF42" s="35">
        <f t="shared" si="104"/>
        <v>-5097.1870724668743</v>
      </c>
      <c r="CG42" s="35">
        <f t="shared" si="104"/>
        <v>-5097.1870724668743</v>
      </c>
      <c r="CH42" s="35">
        <f t="shared" si="104"/>
        <v>-5097.1870724668743</v>
      </c>
      <c r="CI42" s="35">
        <f t="shared" si="104"/>
        <v>-5097.1870724668743</v>
      </c>
      <c r="CJ42" s="35">
        <f t="shared" si="104"/>
        <v>-5097.1870724668743</v>
      </c>
      <c r="CK42" s="35">
        <f t="shared" si="104"/>
        <v>-5097.1870724668743</v>
      </c>
      <c r="CL42" s="35">
        <f t="shared" si="104"/>
        <v>-5097.1870724668743</v>
      </c>
      <c r="CM42" s="35">
        <f t="shared" si="104"/>
        <v>-5199.130813916212</v>
      </c>
      <c r="CN42" s="35">
        <f t="shared" si="104"/>
        <v>-5199.130813916212</v>
      </c>
      <c r="CO42" s="35">
        <f t="shared" si="104"/>
        <v>-5199.130813916212</v>
      </c>
      <c r="CP42" s="35">
        <f t="shared" si="104"/>
        <v>-5199.130813916212</v>
      </c>
      <c r="CQ42" s="35">
        <f t="shared" si="104"/>
        <v>-5199.130813916212</v>
      </c>
      <c r="CR42" s="35">
        <f t="shared" si="104"/>
        <v>-5199.130813916212</v>
      </c>
      <c r="CS42" s="35">
        <f t="shared" si="104"/>
        <v>-5199.130813916212</v>
      </c>
      <c r="CT42" s="35">
        <f t="shared" si="104"/>
        <v>-5199.130813916212</v>
      </c>
      <c r="CU42" s="35">
        <f t="shared" si="104"/>
        <v>-5199.130813916212</v>
      </c>
      <c r="CV42" s="35">
        <f t="shared" si="104"/>
        <v>-5199.130813916212</v>
      </c>
      <c r="CW42" s="35">
        <f t="shared" si="104"/>
        <v>-5199.130813916212</v>
      </c>
      <c r="CX42" s="35">
        <f t="shared" si="104"/>
        <v>-5199.130813916212</v>
      </c>
      <c r="CY42" s="35">
        <f t="shared" si="104"/>
        <v>-5303.1134301945367</v>
      </c>
      <c r="CZ42" s="35">
        <f t="shared" si="104"/>
        <v>-5303.1134301945367</v>
      </c>
      <c r="DA42" s="35">
        <f t="shared" si="104"/>
        <v>-5303.1134301945367</v>
      </c>
      <c r="DB42" s="35">
        <f t="shared" si="104"/>
        <v>-5303.1134301945367</v>
      </c>
      <c r="DC42" s="35">
        <f t="shared" si="104"/>
        <v>-5303.1134301945367</v>
      </c>
      <c r="DD42" s="35">
        <f t="shared" si="104"/>
        <v>-5303.1134301945367</v>
      </c>
      <c r="DE42" s="35">
        <f t="shared" si="104"/>
        <v>-5303.1134301945367</v>
      </c>
      <c r="DF42" s="35">
        <f t="shared" si="104"/>
        <v>-5303.1134301945367</v>
      </c>
      <c r="DG42" s="35">
        <f t="shared" si="104"/>
        <v>-5303.1134301945367</v>
      </c>
      <c r="DH42" s="35">
        <f t="shared" si="104"/>
        <v>-5303.1134301945367</v>
      </c>
      <c r="DI42" s="35">
        <f t="shared" si="104"/>
        <v>-5303.1134301945367</v>
      </c>
      <c r="DJ42" s="35">
        <f t="shared" si="104"/>
        <v>-5303.1134301945367</v>
      </c>
      <c r="DK42" s="35">
        <f t="shared" si="104"/>
        <v>-5409.1756987984272</v>
      </c>
      <c r="DL42" s="35">
        <f t="shared" si="104"/>
        <v>-5409.1756987984272</v>
      </c>
      <c r="DM42" s="35">
        <f t="shared" si="104"/>
        <v>-5409.1756987984272</v>
      </c>
      <c r="DN42" s="35">
        <f t="shared" si="104"/>
        <v>-5409.1756987984272</v>
      </c>
      <c r="DO42" s="35">
        <f t="shared" si="104"/>
        <v>-5409.1756987984272</v>
      </c>
      <c r="DP42" s="35">
        <f t="shared" si="104"/>
        <v>-5409.1756987984272</v>
      </c>
      <c r="DQ42" s="35">
        <f t="shared" si="104"/>
        <v>-5409.1756987984272</v>
      </c>
      <c r="DR42" s="35">
        <f t="shared" si="104"/>
        <v>-5409.1756987984272</v>
      </c>
      <c r="DS42" s="35">
        <f t="shared" si="104"/>
        <v>-5409.1756987984272</v>
      </c>
      <c r="DT42" s="35">
        <f t="shared" si="104"/>
        <v>-5409.1756987984272</v>
      </c>
      <c r="DU42" s="35">
        <f t="shared" si="104"/>
        <v>-5409.1756987984272</v>
      </c>
      <c r="DV42" s="35">
        <f t="shared" si="104"/>
        <v>-5409.1756987984272</v>
      </c>
      <c r="DW42" s="35">
        <f t="shared" si="104"/>
        <v>-5517.3592127743959</v>
      </c>
      <c r="DX42" s="35">
        <f t="shared" si="104"/>
        <v>-5517.3592127743959</v>
      </c>
      <c r="DY42" s="35">
        <f t="shared" si="104"/>
        <v>-5517.3592127743959</v>
      </c>
      <c r="DZ42" s="35">
        <f t="shared" si="104"/>
        <v>-5517.3592127743959</v>
      </c>
      <c r="EA42" s="35">
        <f t="shared" si="104"/>
        <v>-5517.3592127743959</v>
      </c>
      <c r="EB42" s="35">
        <f t="shared" si="104"/>
        <v>-5517.3592127743959</v>
      </c>
      <c r="EC42" s="35">
        <f t="shared" si="104"/>
        <v>-5517.3592127743959</v>
      </c>
      <c r="ED42" s="35">
        <f t="shared" si="104"/>
        <v>-5517.3592127743959</v>
      </c>
      <c r="EE42" s="35">
        <f t="shared" si="104"/>
        <v>-5517.3592127743959</v>
      </c>
      <c r="EF42" s="35">
        <f t="shared" si="104"/>
        <v>-5517.3592127743959</v>
      </c>
      <c r="EG42" s="35">
        <f t="shared" ref="EG42:GD42" si="105">+EF$42*(1+EG$19)</f>
        <v>-5517.3592127743959</v>
      </c>
      <c r="EH42" s="35">
        <f t="shared" si="105"/>
        <v>-5517.3592127743959</v>
      </c>
      <c r="EI42" s="35">
        <f t="shared" si="105"/>
        <v>-5627.7063970298841</v>
      </c>
      <c r="EJ42" s="35">
        <f t="shared" si="105"/>
        <v>-5627.7063970298841</v>
      </c>
      <c r="EK42" s="35">
        <f t="shared" si="105"/>
        <v>-5627.7063970298841</v>
      </c>
      <c r="EL42" s="35">
        <f t="shared" si="105"/>
        <v>-5627.7063970298841</v>
      </c>
      <c r="EM42" s="35">
        <f t="shared" si="105"/>
        <v>-5627.7063970298841</v>
      </c>
      <c r="EN42" s="35">
        <f t="shared" si="105"/>
        <v>-5627.7063970298841</v>
      </c>
      <c r="EO42" s="35">
        <f t="shared" si="105"/>
        <v>-5627.7063970298841</v>
      </c>
      <c r="EP42" s="35">
        <f t="shared" si="105"/>
        <v>-5627.7063970298841</v>
      </c>
      <c r="EQ42" s="35">
        <f t="shared" si="105"/>
        <v>-5627.7063970298841</v>
      </c>
      <c r="ER42" s="35">
        <f t="shared" si="105"/>
        <v>-5627.7063970298841</v>
      </c>
      <c r="ES42" s="35">
        <f t="shared" si="105"/>
        <v>-5627.7063970298841</v>
      </c>
      <c r="ET42" s="35">
        <f t="shared" si="105"/>
        <v>-5627.7063970298841</v>
      </c>
      <c r="EU42" s="35">
        <f t="shared" si="105"/>
        <v>-5740.260524970482</v>
      </c>
      <c r="EV42" s="35">
        <f t="shared" si="105"/>
        <v>-5740.260524970482</v>
      </c>
      <c r="EW42" s="35">
        <f t="shared" si="105"/>
        <v>-5740.260524970482</v>
      </c>
      <c r="EX42" s="35">
        <f t="shared" si="105"/>
        <v>-5740.260524970482</v>
      </c>
      <c r="EY42" s="35">
        <f t="shared" si="105"/>
        <v>-5740.260524970482</v>
      </c>
      <c r="EZ42" s="35">
        <f t="shared" si="105"/>
        <v>-5740.260524970482</v>
      </c>
      <c r="FA42" s="35">
        <f t="shared" si="105"/>
        <v>-5740.260524970482</v>
      </c>
      <c r="FB42" s="35">
        <f t="shared" si="105"/>
        <v>-5740.260524970482</v>
      </c>
      <c r="FC42" s="35">
        <f t="shared" si="105"/>
        <v>-5740.260524970482</v>
      </c>
      <c r="FD42" s="35">
        <f t="shared" si="105"/>
        <v>-5740.260524970482</v>
      </c>
      <c r="FE42" s="35">
        <f t="shared" si="105"/>
        <v>-5740.260524970482</v>
      </c>
      <c r="FF42" s="35">
        <f t="shared" si="105"/>
        <v>-5740.260524970482</v>
      </c>
      <c r="FG42" s="35">
        <f t="shared" si="105"/>
        <v>-5855.0657354698915</v>
      </c>
      <c r="FH42" s="35">
        <f t="shared" si="105"/>
        <v>-5855.0657354698915</v>
      </c>
      <c r="FI42" s="35">
        <f t="shared" si="105"/>
        <v>-5855.0657354698915</v>
      </c>
      <c r="FJ42" s="35">
        <f t="shared" si="105"/>
        <v>-5855.0657354698915</v>
      </c>
      <c r="FK42" s="35">
        <f t="shared" si="105"/>
        <v>-5855.0657354698915</v>
      </c>
      <c r="FL42" s="35">
        <f t="shared" si="105"/>
        <v>-5855.0657354698915</v>
      </c>
      <c r="FM42" s="35">
        <f t="shared" si="105"/>
        <v>-5855.0657354698915</v>
      </c>
      <c r="FN42" s="35">
        <f t="shared" si="105"/>
        <v>-5855.0657354698915</v>
      </c>
      <c r="FO42" s="35">
        <f t="shared" si="105"/>
        <v>-5855.0657354698915</v>
      </c>
      <c r="FP42" s="35">
        <f t="shared" si="105"/>
        <v>-5855.0657354698915</v>
      </c>
      <c r="FQ42" s="35">
        <f t="shared" si="105"/>
        <v>-5855.0657354698915</v>
      </c>
      <c r="FR42" s="35">
        <f t="shared" si="105"/>
        <v>-5855.0657354698915</v>
      </c>
      <c r="FS42" s="35">
        <f t="shared" si="105"/>
        <v>-5972.1670501792896</v>
      </c>
      <c r="FT42" s="35">
        <f t="shared" si="105"/>
        <v>-5972.1670501792896</v>
      </c>
      <c r="FU42" s="35">
        <f t="shared" si="105"/>
        <v>-5972.1670501792896</v>
      </c>
      <c r="FV42" s="35">
        <f t="shared" si="105"/>
        <v>-5972.1670501792896</v>
      </c>
      <c r="FW42" s="35">
        <f t="shared" si="105"/>
        <v>-5972.1670501792896</v>
      </c>
      <c r="FX42" s="35">
        <f t="shared" si="105"/>
        <v>-5972.1670501792896</v>
      </c>
      <c r="FY42" s="35">
        <f t="shared" si="105"/>
        <v>-5972.1670501792896</v>
      </c>
      <c r="FZ42" s="35">
        <f t="shared" si="105"/>
        <v>-5972.1670501792896</v>
      </c>
      <c r="GA42" s="35">
        <f t="shared" si="105"/>
        <v>-5972.1670501792896</v>
      </c>
      <c r="GB42" s="35">
        <f t="shared" si="105"/>
        <v>-5972.1670501792896</v>
      </c>
      <c r="GC42" s="35">
        <f t="shared" si="105"/>
        <v>-5972.1670501792896</v>
      </c>
      <c r="GD42" s="35">
        <f t="shared" si="105"/>
        <v>-5972.1670501792896</v>
      </c>
      <c r="GE42" s="35">
        <f t="shared" ref="GE42:GM42" si="106">+GD$42*(1+GE$19)</f>
        <v>-6091.6103911828759</v>
      </c>
      <c r="GF42" s="35">
        <f t="shared" si="106"/>
        <v>-6091.6103911828759</v>
      </c>
      <c r="GG42" s="35">
        <f t="shared" si="106"/>
        <v>-6091.6103911828759</v>
      </c>
      <c r="GH42" s="35">
        <f t="shared" si="106"/>
        <v>-6091.6103911828759</v>
      </c>
      <c r="GI42" s="35">
        <f t="shared" si="106"/>
        <v>-6091.6103911828759</v>
      </c>
      <c r="GJ42" s="35">
        <f t="shared" si="106"/>
        <v>-6091.6103911828759</v>
      </c>
      <c r="GK42" s="35">
        <f t="shared" si="106"/>
        <v>-6091.6103911828759</v>
      </c>
      <c r="GL42" s="35">
        <f t="shared" si="106"/>
        <v>-6091.6103911828759</v>
      </c>
      <c r="GM42" s="35">
        <f t="shared" si="106"/>
        <v>-6091.6103911828759</v>
      </c>
      <c r="GN42" s="609"/>
      <c r="GO42" s="609"/>
      <c r="GP42" s="609"/>
      <c r="GQ42" s="63"/>
      <c r="GR42" s="63"/>
      <c r="GS42" s="63"/>
      <c r="GT42" s="63"/>
      <c r="GU42" s="63"/>
      <c r="GV42" s="63"/>
      <c r="GW42" s="63"/>
      <c r="GX42" s="63"/>
      <c r="GY42" s="63"/>
      <c r="GZ42" s="63"/>
      <c r="HA42" s="63"/>
      <c r="HB42" s="63"/>
      <c r="HC42" s="63"/>
      <c r="HD42" s="63"/>
      <c r="HE42" s="63"/>
      <c r="HF42" s="63"/>
      <c r="HG42" s="63"/>
      <c r="HH42" s="63"/>
      <c r="HI42" s="63"/>
      <c r="HJ42" s="63"/>
      <c r="HK42" s="63"/>
      <c r="HL42" s="63"/>
      <c r="HM42" s="63"/>
      <c r="HN42" s="63"/>
      <c r="HO42" s="63"/>
      <c r="HP42" s="63"/>
      <c r="HQ42" s="63"/>
      <c r="HR42" s="63"/>
      <c r="HS42" s="63"/>
      <c r="HT42" s="63"/>
      <c r="HU42" s="63"/>
      <c r="HV42" s="63"/>
      <c r="HW42" s="63"/>
      <c r="HX42" s="63"/>
      <c r="HY42" s="63"/>
      <c r="HZ42" s="63"/>
      <c r="IA42" s="63"/>
      <c r="IB42" s="63"/>
      <c r="IC42" s="63"/>
      <c r="ID42" s="63"/>
      <c r="IE42" s="63"/>
      <c r="IF42" s="63"/>
      <c r="IG42" s="63"/>
      <c r="IH42" s="63"/>
      <c r="II42" s="63"/>
      <c r="IJ42" s="63"/>
      <c r="IK42" s="63"/>
      <c r="IL42" s="63"/>
      <c r="IM42" s="63"/>
      <c r="IN42" s="63"/>
      <c r="IO42" s="63"/>
      <c r="IP42" s="63"/>
      <c r="IQ42" s="63"/>
      <c r="IR42" s="63"/>
      <c r="IS42" s="63"/>
      <c r="IT42" s="63"/>
      <c r="IU42" s="63"/>
      <c r="IV42" s="63"/>
      <c r="IW42" s="63"/>
      <c r="IX42" s="63"/>
      <c r="IY42" s="63"/>
      <c r="IZ42" s="63"/>
      <c r="JA42" s="63"/>
      <c r="JB42" s="63"/>
      <c r="JC42" s="63"/>
      <c r="JD42" s="63"/>
      <c r="JE42" s="63"/>
      <c r="JF42" s="63"/>
      <c r="JG42" s="63"/>
      <c r="JH42" s="63"/>
      <c r="JI42" s="63"/>
      <c r="JJ42" s="63"/>
      <c r="JK42" s="63"/>
      <c r="JL42" s="63"/>
      <c r="JM42" s="63"/>
      <c r="JN42" s="63"/>
      <c r="JO42" s="63"/>
      <c r="JP42" s="63"/>
      <c r="JQ42" s="63"/>
      <c r="JR42" s="63"/>
      <c r="JS42" s="63"/>
      <c r="JT42" s="63"/>
      <c r="JU42" s="63"/>
      <c r="JV42" s="63"/>
      <c r="JW42" s="63"/>
      <c r="JX42" s="63"/>
      <c r="JY42" s="63"/>
      <c r="JZ42" s="63"/>
      <c r="KA42" s="63"/>
      <c r="KB42" s="63"/>
      <c r="KC42" s="63"/>
      <c r="KD42" s="63"/>
      <c r="KE42" s="63"/>
      <c r="KF42" s="63"/>
      <c r="KG42" s="63"/>
      <c r="KH42" s="63"/>
      <c r="KI42" s="63"/>
      <c r="KJ42" s="63"/>
      <c r="KK42" s="63"/>
      <c r="KL42" s="63"/>
      <c r="KM42" s="63"/>
      <c r="KN42" s="63"/>
      <c r="KO42" s="63"/>
      <c r="KP42" s="63"/>
      <c r="KQ42" s="63"/>
      <c r="KR42" s="63"/>
      <c r="KS42" s="63"/>
      <c r="KT42" s="63"/>
      <c r="KU42" s="63"/>
      <c r="KV42" s="63"/>
      <c r="KW42" s="63"/>
      <c r="KX42" s="63"/>
      <c r="KY42" s="63"/>
      <c r="KZ42" s="63"/>
      <c r="LA42" s="63"/>
      <c r="LB42" s="63"/>
      <c r="LC42" s="63"/>
      <c r="LD42" s="63"/>
      <c r="LE42" s="63"/>
      <c r="LF42" s="63"/>
      <c r="LG42" s="63"/>
      <c r="LH42" s="63"/>
      <c r="LI42" s="63"/>
      <c r="LJ42" s="63"/>
      <c r="LK42" s="63"/>
      <c r="LL42" s="63"/>
      <c r="LM42" s="63"/>
      <c r="LN42" s="63"/>
      <c r="LO42" s="63"/>
      <c r="LP42" s="63"/>
      <c r="LQ42" s="63"/>
      <c r="LR42" s="63"/>
      <c r="LS42" s="63"/>
      <c r="LT42" s="63"/>
      <c r="LU42" s="63"/>
      <c r="LV42" s="63"/>
      <c r="LW42" s="63"/>
      <c r="LX42" s="63"/>
      <c r="LY42" s="63"/>
      <c r="LZ42" s="63"/>
      <c r="MA42" s="63"/>
      <c r="MB42" s="63"/>
      <c r="MC42" s="63"/>
      <c r="MD42" s="63"/>
      <c r="ME42" s="63"/>
      <c r="MF42" s="63"/>
      <c r="MG42" s="63"/>
      <c r="MH42" s="63"/>
      <c r="MI42" s="63"/>
      <c r="MJ42" s="63"/>
      <c r="MK42" s="63"/>
      <c r="ML42" s="63"/>
      <c r="MM42" s="63"/>
      <c r="MN42" s="63"/>
      <c r="MO42" s="63"/>
      <c r="MP42" s="63"/>
      <c r="MQ42" s="63"/>
      <c r="MR42" s="63"/>
      <c r="MS42" s="63"/>
      <c r="MT42" s="63"/>
      <c r="MU42" s="63"/>
      <c r="MV42" s="63"/>
      <c r="MW42" s="63"/>
      <c r="MX42" s="63"/>
      <c r="MY42" s="63"/>
      <c r="MZ42" s="63"/>
      <c r="NA42" s="63"/>
      <c r="NB42" s="63"/>
      <c r="NC42" s="63"/>
    </row>
    <row r="43" spans="2:367" ht="16" customHeight="1" x14ac:dyDescent="0.15">
      <c r="B43" s="31" t="s">
        <v>66</v>
      </c>
      <c r="C43" s="98"/>
      <c r="F43" s="37">
        <f>SUM(F37:F42)</f>
        <v>0</v>
      </c>
      <c r="G43" s="37">
        <f>SUM(G37:G42)</f>
        <v>-9362.6841343333326</v>
      </c>
      <c r="H43" s="37">
        <f t="shared" ref="H43:BS43" si="107">SUM(H37:H42)</f>
        <v>-9362.6841343333326</v>
      </c>
      <c r="I43" s="37">
        <f t="shared" si="107"/>
        <v>-9362.6841343333326</v>
      </c>
      <c r="J43" s="37">
        <f t="shared" si="107"/>
        <v>-9362.6841343333326</v>
      </c>
      <c r="K43" s="37">
        <f t="shared" si="107"/>
        <v>-9362.6841343333326</v>
      </c>
      <c r="L43" s="37">
        <f t="shared" si="107"/>
        <v>-9362.6841343333326</v>
      </c>
      <c r="M43" s="37">
        <f t="shared" si="107"/>
        <v>-9362.6841343333326</v>
      </c>
      <c r="N43" s="37">
        <f t="shared" si="107"/>
        <v>-9362.6841343333326</v>
      </c>
      <c r="O43" s="37">
        <f t="shared" si="107"/>
        <v>-9512.219600833334</v>
      </c>
      <c r="P43" s="37">
        <f t="shared" si="107"/>
        <v>-9512.219600833334</v>
      </c>
      <c r="Q43" s="37">
        <f t="shared" si="107"/>
        <v>-9512.219600833334</v>
      </c>
      <c r="R43" s="37">
        <f t="shared" si="107"/>
        <v>-9512.219600833334</v>
      </c>
      <c r="S43" s="37">
        <f t="shared" si="107"/>
        <v>-9727.3943096041658</v>
      </c>
      <c r="T43" s="37">
        <f t="shared" si="107"/>
        <v>-9727.3943096041658</v>
      </c>
      <c r="U43" s="37">
        <f t="shared" si="107"/>
        <v>-9727.3943096041658</v>
      </c>
      <c r="V43" s="37">
        <f t="shared" si="107"/>
        <v>-9727.3943096041658</v>
      </c>
      <c r="W43" s="37">
        <f t="shared" si="107"/>
        <v>-9727.3943096041658</v>
      </c>
      <c r="X43" s="37">
        <f t="shared" si="107"/>
        <v>-9727.3943096041658</v>
      </c>
      <c r="Y43" s="37">
        <f t="shared" si="107"/>
        <v>-9727.3943096041658</v>
      </c>
      <c r="Z43" s="37">
        <f t="shared" si="107"/>
        <v>-9727.3943096041658</v>
      </c>
      <c r="AA43" s="37">
        <f t="shared" si="107"/>
        <v>-9727.3943096041658</v>
      </c>
      <c r="AB43" s="37">
        <f t="shared" si="107"/>
        <v>-9727.3943096041658</v>
      </c>
      <c r="AC43" s="37">
        <f t="shared" si="107"/>
        <v>-9727.3943096041658</v>
      </c>
      <c r="AD43" s="37">
        <f t="shared" si="107"/>
        <v>-9727.3943096041658</v>
      </c>
      <c r="AE43" s="37">
        <f t="shared" si="107"/>
        <v>-9947.4957704692697</v>
      </c>
      <c r="AF43" s="37">
        <f t="shared" si="107"/>
        <v>-9947.4957704692697</v>
      </c>
      <c r="AG43" s="37">
        <f t="shared" si="107"/>
        <v>-9947.4957704692697</v>
      </c>
      <c r="AH43" s="37">
        <f t="shared" si="107"/>
        <v>-9947.4957704692697</v>
      </c>
      <c r="AI43" s="37">
        <f t="shared" si="107"/>
        <v>-9947.4957704692697</v>
      </c>
      <c r="AJ43" s="37">
        <f t="shared" si="107"/>
        <v>-9947.4957704692697</v>
      </c>
      <c r="AK43" s="37">
        <f t="shared" si="107"/>
        <v>-9947.4957704692697</v>
      </c>
      <c r="AL43" s="37">
        <f t="shared" si="107"/>
        <v>-9947.4957704692697</v>
      </c>
      <c r="AM43" s="37">
        <f t="shared" si="107"/>
        <v>-9947.4957704692697</v>
      </c>
      <c r="AN43" s="37">
        <f t="shared" si="107"/>
        <v>-9947.4957704692697</v>
      </c>
      <c r="AO43" s="37">
        <f t="shared" si="107"/>
        <v>-9947.4957704692697</v>
      </c>
      <c r="AP43" s="37">
        <f t="shared" si="107"/>
        <v>-9947.4957704692697</v>
      </c>
      <c r="AQ43" s="37">
        <f t="shared" si="107"/>
        <v>-10172.638099918502</v>
      </c>
      <c r="AR43" s="37">
        <f t="shared" si="107"/>
        <v>-10172.638099918502</v>
      </c>
      <c r="AS43" s="37">
        <f t="shared" si="107"/>
        <v>-10172.638099918502</v>
      </c>
      <c r="AT43" s="37">
        <f t="shared" si="107"/>
        <v>-10172.638099918502</v>
      </c>
      <c r="AU43" s="37">
        <f t="shared" si="107"/>
        <v>-10172.638099918502</v>
      </c>
      <c r="AV43" s="37">
        <f t="shared" si="107"/>
        <v>-10172.638099918502</v>
      </c>
      <c r="AW43" s="37">
        <f t="shared" si="107"/>
        <v>-10172.638099918502</v>
      </c>
      <c r="AX43" s="37">
        <f t="shared" si="107"/>
        <v>-10172.638099918502</v>
      </c>
      <c r="AY43" s="37">
        <f t="shared" si="107"/>
        <v>-10172.638099918502</v>
      </c>
      <c r="AZ43" s="37">
        <f t="shared" si="107"/>
        <v>-10172.638099918502</v>
      </c>
      <c r="BA43" s="37">
        <f t="shared" si="107"/>
        <v>-10172.638099918502</v>
      </c>
      <c r="BB43" s="37">
        <f t="shared" si="107"/>
        <v>-10172.638099918502</v>
      </c>
      <c r="BC43" s="37">
        <f t="shared" si="107"/>
        <v>-10402.938086307713</v>
      </c>
      <c r="BD43" s="37">
        <f t="shared" si="107"/>
        <v>-10402.938086307713</v>
      </c>
      <c r="BE43" s="37">
        <f t="shared" si="107"/>
        <v>-10402.938086307713</v>
      </c>
      <c r="BF43" s="37">
        <f t="shared" si="107"/>
        <v>-10402.938086307713</v>
      </c>
      <c r="BG43" s="37">
        <f t="shared" si="107"/>
        <v>-10402.938086307713</v>
      </c>
      <c r="BH43" s="37">
        <f t="shared" si="107"/>
        <v>-10402.938086307713</v>
      </c>
      <c r="BI43" s="37">
        <f t="shared" si="107"/>
        <v>-10402.938086307713</v>
      </c>
      <c r="BJ43" s="37">
        <f t="shared" si="107"/>
        <v>-10402.938086307713</v>
      </c>
      <c r="BK43" s="37">
        <f t="shared" si="107"/>
        <v>-10402.938086307713</v>
      </c>
      <c r="BL43" s="37">
        <f t="shared" si="107"/>
        <v>-10402.938086307713</v>
      </c>
      <c r="BM43" s="37">
        <f t="shared" si="107"/>
        <v>-10402.938086307713</v>
      </c>
      <c r="BN43" s="37">
        <f t="shared" si="107"/>
        <v>-10402.938086307713</v>
      </c>
      <c r="BO43" s="37">
        <f t="shared" si="107"/>
        <v>-10638.515253034482</v>
      </c>
      <c r="BP43" s="37">
        <f t="shared" si="107"/>
        <v>-10638.515253034482</v>
      </c>
      <c r="BQ43" s="37">
        <f t="shared" si="107"/>
        <v>-10638.515253034482</v>
      </c>
      <c r="BR43" s="37">
        <f t="shared" si="107"/>
        <v>-10638.515253034482</v>
      </c>
      <c r="BS43" s="37">
        <f t="shared" si="107"/>
        <v>-10638.515253034482</v>
      </c>
      <c r="BT43" s="37">
        <f t="shared" ref="BT43:EE43" si="108">SUM(BT37:BT42)</f>
        <v>-10638.515253034482</v>
      </c>
      <c r="BU43" s="37">
        <f t="shared" si="108"/>
        <v>-10638.515253034482</v>
      </c>
      <c r="BV43" s="37">
        <f t="shared" si="108"/>
        <v>-10638.515253034482</v>
      </c>
      <c r="BW43" s="37">
        <f t="shared" si="108"/>
        <v>-10638.515253034482</v>
      </c>
      <c r="BX43" s="37">
        <f t="shared" si="108"/>
        <v>-10638.515253034482</v>
      </c>
      <c r="BY43" s="37">
        <f t="shared" si="108"/>
        <v>-10638.515253034482</v>
      </c>
      <c r="BZ43" s="37">
        <f t="shared" si="108"/>
        <v>-10638.515253034482</v>
      </c>
      <c r="CA43" s="37">
        <f t="shared" si="108"/>
        <v>-10879.491923220798</v>
      </c>
      <c r="CB43" s="37">
        <f t="shared" si="108"/>
        <v>-10879.491923220798</v>
      </c>
      <c r="CC43" s="37">
        <f t="shared" si="108"/>
        <v>-10879.491923220798</v>
      </c>
      <c r="CD43" s="37">
        <f t="shared" si="108"/>
        <v>-10879.491923220798</v>
      </c>
      <c r="CE43" s="37">
        <f t="shared" si="108"/>
        <v>-10879.491923220798</v>
      </c>
      <c r="CF43" s="37">
        <f t="shared" si="108"/>
        <v>-10879.491923220798</v>
      </c>
      <c r="CG43" s="37">
        <f t="shared" si="108"/>
        <v>-10879.491923220798</v>
      </c>
      <c r="CH43" s="37">
        <f t="shared" si="108"/>
        <v>-10879.491923220798</v>
      </c>
      <c r="CI43" s="37">
        <f t="shared" si="108"/>
        <v>-10879.491923220798</v>
      </c>
      <c r="CJ43" s="37">
        <f t="shared" si="108"/>
        <v>-10879.491923220798</v>
      </c>
      <c r="CK43" s="37">
        <f t="shared" si="108"/>
        <v>-10879.491923220798</v>
      </c>
      <c r="CL43" s="37">
        <f t="shared" si="108"/>
        <v>-10879.491923220798</v>
      </c>
      <c r="CM43" s="37">
        <f t="shared" si="108"/>
        <v>-11125.993285938985</v>
      </c>
      <c r="CN43" s="37">
        <f t="shared" si="108"/>
        <v>-11125.993285938985</v>
      </c>
      <c r="CO43" s="37">
        <f t="shared" si="108"/>
        <v>-11125.993285938985</v>
      </c>
      <c r="CP43" s="37">
        <f t="shared" si="108"/>
        <v>-11125.993285938985</v>
      </c>
      <c r="CQ43" s="37">
        <f t="shared" si="108"/>
        <v>-11125.993285938985</v>
      </c>
      <c r="CR43" s="37">
        <f t="shared" si="108"/>
        <v>-11125.993285938985</v>
      </c>
      <c r="CS43" s="37">
        <f t="shared" si="108"/>
        <v>-11125.993285938985</v>
      </c>
      <c r="CT43" s="37">
        <f t="shared" si="108"/>
        <v>-11125.993285938985</v>
      </c>
      <c r="CU43" s="37">
        <f t="shared" si="108"/>
        <v>-11125.993285938985</v>
      </c>
      <c r="CV43" s="37">
        <f t="shared" si="108"/>
        <v>-11125.993285938985</v>
      </c>
      <c r="CW43" s="37">
        <f t="shared" si="108"/>
        <v>-11125.993285938985</v>
      </c>
      <c r="CX43" s="37">
        <f t="shared" si="108"/>
        <v>-11125.993285938985</v>
      </c>
      <c r="CY43" s="37">
        <f t="shared" si="108"/>
        <v>-11378.147464017879</v>
      </c>
      <c r="CZ43" s="37">
        <f t="shared" si="108"/>
        <v>-11378.147464017879</v>
      </c>
      <c r="DA43" s="37">
        <f t="shared" si="108"/>
        <v>-11378.147464017879</v>
      </c>
      <c r="DB43" s="37">
        <f t="shared" si="108"/>
        <v>-11378.147464017879</v>
      </c>
      <c r="DC43" s="37">
        <f t="shared" si="108"/>
        <v>-11378.147464017879</v>
      </c>
      <c r="DD43" s="37">
        <f t="shared" si="108"/>
        <v>-11378.147464017879</v>
      </c>
      <c r="DE43" s="37">
        <f t="shared" si="108"/>
        <v>-11378.147464017879</v>
      </c>
      <c r="DF43" s="37">
        <f t="shared" si="108"/>
        <v>-11378.147464017879</v>
      </c>
      <c r="DG43" s="37">
        <f t="shared" si="108"/>
        <v>-11378.147464017879</v>
      </c>
      <c r="DH43" s="37">
        <f t="shared" si="108"/>
        <v>-11378.147464017879</v>
      </c>
      <c r="DI43" s="37">
        <f t="shared" si="108"/>
        <v>-11378.147464017879</v>
      </c>
      <c r="DJ43" s="37">
        <f t="shared" si="108"/>
        <v>-11378.147464017879</v>
      </c>
      <c r="DK43" s="37">
        <f t="shared" si="108"/>
        <v>-11636.085583467351</v>
      </c>
      <c r="DL43" s="37">
        <f t="shared" si="108"/>
        <v>-11636.085583467351</v>
      </c>
      <c r="DM43" s="37">
        <f t="shared" si="108"/>
        <v>-11636.085583467351</v>
      </c>
      <c r="DN43" s="37">
        <f t="shared" si="108"/>
        <v>-11636.085583467351</v>
      </c>
      <c r="DO43" s="37">
        <f t="shared" si="108"/>
        <v>-11636.085583467351</v>
      </c>
      <c r="DP43" s="37">
        <f t="shared" si="108"/>
        <v>-11636.085583467351</v>
      </c>
      <c r="DQ43" s="37">
        <f t="shared" si="108"/>
        <v>-11636.085583467351</v>
      </c>
      <c r="DR43" s="37">
        <f t="shared" si="108"/>
        <v>-11636.085583467351</v>
      </c>
      <c r="DS43" s="37">
        <f t="shared" si="108"/>
        <v>-11636.085583467351</v>
      </c>
      <c r="DT43" s="37">
        <f t="shared" si="108"/>
        <v>-11636.085583467351</v>
      </c>
      <c r="DU43" s="37">
        <f t="shared" si="108"/>
        <v>-11636.085583467351</v>
      </c>
      <c r="DV43" s="37">
        <f t="shared" si="108"/>
        <v>-11636.085583467351</v>
      </c>
      <c r="DW43" s="37">
        <f t="shared" si="108"/>
        <v>-11899.941844560042</v>
      </c>
      <c r="DX43" s="37">
        <f t="shared" si="108"/>
        <v>-11899.941844560042</v>
      </c>
      <c r="DY43" s="37">
        <f t="shared" si="108"/>
        <v>-11899.941844560042</v>
      </c>
      <c r="DZ43" s="37">
        <f t="shared" si="108"/>
        <v>-11899.941844560042</v>
      </c>
      <c r="EA43" s="37">
        <f t="shared" si="108"/>
        <v>-11899.941844560042</v>
      </c>
      <c r="EB43" s="37">
        <f t="shared" si="108"/>
        <v>-11899.941844560042</v>
      </c>
      <c r="EC43" s="37">
        <f t="shared" si="108"/>
        <v>-11899.941844560042</v>
      </c>
      <c r="ED43" s="37">
        <f t="shared" si="108"/>
        <v>-11899.941844560042</v>
      </c>
      <c r="EE43" s="37">
        <f t="shared" si="108"/>
        <v>-11899.941844560042</v>
      </c>
      <c r="EF43" s="37">
        <f t="shared" ref="EF43:GD43" si="109">SUM(EF37:EF42)</f>
        <v>-11899.941844560042</v>
      </c>
      <c r="EG43" s="37">
        <f t="shared" si="109"/>
        <v>-11899.941844560042</v>
      </c>
      <c r="EH43" s="37">
        <f t="shared" si="109"/>
        <v>-11899.941844560042</v>
      </c>
      <c r="EI43" s="37">
        <f t="shared" si="109"/>
        <v>-12169.853594610171</v>
      </c>
      <c r="EJ43" s="37">
        <f t="shared" si="109"/>
        <v>-12169.853594610171</v>
      </c>
      <c r="EK43" s="37">
        <f t="shared" si="109"/>
        <v>-12169.853594610171</v>
      </c>
      <c r="EL43" s="37">
        <f t="shared" si="109"/>
        <v>-12169.853594610171</v>
      </c>
      <c r="EM43" s="37">
        <f t="shared" si="109"/>
        <v>-12169.853594610171</v>
      </c>
      <c r="EN43" s="37">
        <f t="shared" si="109"/>
        <v>-12169.853594610171</v>
      </c>
      <c r="EO43" s="37">
        <f t="shared" si="109"/>
        <v>-12169.853594610171</v>
      </c>
      <c r="EP43" s="37">
        <f t="shared" si="109"/>
        <v>-12169.853594610171</v>
      </c>
      <c r="EQ43" s="37">
        <f t="shared" si="109"/>
        <v>-12169.853594610171</v>
      </c>
      <c r="ER43" s="37">
        <f t="shared" si="109"/>
        <v>-12169.853594610171</v>
      </c>
      <c r="ES43" s="37">
        <f t="shared" si="109"/>
        <v>-12169.853594610171</v>
      </c>
      <c r="ET43" s="37">
        <f t="shared" si="109"/>
        <v>-12169.853594610171</v>
      </c>
      <c r="EU43" s="37">
        <f t="shared" si="109"/>
        <v>-12445.961402490277</v>
      </c>
      <c r="EV43" s="37">
        <f t="shared" si="109"/>
        <v>-12445.961402490277</v>
      </c>
      <c r="EW43" s="37">
        <f t="shared" si="109"/>
        <v>-12445.961402490277</v>
      </c>
      <c r="EX43" s="37">
        <f t="shared" si="109"/>
        <v>-12445.961402490277</v>
      </c>
      <c r="EY43" s="37">
        <f t="shared" si="109"/>
        <v>-12445.961402490277</v>
      </c>
      <c r="EZ43" s="37">
        <f t="shared" si="109"/>
        <v>-12445.961402490277</v>
      </c>
      <c r="FA43" s="37">
        <f t="shared" si="109"/>
        <v>-12445.961402490277</v>
      </c>
      <c r="FB43" s="37">
        <f t="shared" si="109"/>
        <v>-12445.961402490277</v>
      </c>
      <c r="FC43" s="37">
        <f t="shared" si="109"/>
        <v>-12445.961402490277</v>
      </c>
      <c r="FD43" s="37">
        <f t="shared" si="109"/>
        <v>-12445.961402490277</v>
      </c>
      <c r="FE43" s="37">
        <f t="shared" si="109"/>
        <v>-12445.961402490277</v>
      </c>
      <c r="FF43" s="37">
        <f t="shared" si="109"/>
        <v>-12445.961402490277</v>
      </c>
      <c r="FG43" s="37">
        <f t="shared" si="109"/>
        <v>-12728.409134927679</v>
      </c>
      <c r="FH43" s="37">
        <f t="shared" si="109"/>
        <v>-12728.409134927679</v>
      </c>
      <c r="FI43" s="37">
        <f t="shared" si="109"/>
        <v>-12728.409134927679</v>
      </c>
      <c r="FJ43" s="37">
        <f t="shared" si="109"/>
        <v>-12728.409134927679</v>
      </c>
      <c r="FK43" s="37">
        <f t="shared" si="109"/>
        <v>-12728.409134927679</v>
      </c>
      <c r="FL43" s="37">
        <f t="shared" si="109"/>
        <v>-12728.409134927679</v>
      </c>
      <c r="FM43" s="37">
        <f t="shared" si="109"/>
        <v>-12728.409134927679</v>
      </c>
      <c r="FN43" s="37">
        <f t="shared" si="109"/>
        <v>-12728.409134927679</v>
      </c>
      <c r="FO43" s="37">
        <f t="shared" si="109"/>
        <v>-12728.409134927679</v>
      </c>
      <c r="FP43" s="37">
        <f t="shared" si="109"/>
        <v>-12728.409134927679</v>
      </c>
      <c r="FQ43" s="37">
        <f t="shared" si="109"/>
        <v>-12728.409134927679</v>
      </c>
      <c r="FR43" s="37">
        <f t="shared" si="109"/>
        <v>-12728.409134927679</v>
      </c>
      <c r="FS43" s="37">
        <f t="shared" si="109"/>
        <v>-13017.344034623522</v>
      </c>
      <c r="FT43" s="37">
        <f t="shared" si="109"/>
        <v>-13017.344034623522</v>
      </c>
      <c r="FU43" s="37">
        <f t="shared" si="109"/>
        <v>-13017.344034623522</v>
      </c>
      <c r="FV43" s="37">
        <f t="shared" si="109"/>
        <v>-13017.344034623522</v>
      </c>
      <c r="FW43" s="37">
        <f t="shared" si="109"/>
        <v>-13017.344034623522</v>
      </c>
      <c r="FX43" s="37">
        <f t="shared" si="109"/>
        <v>-13017.344034623522</v>
      </c>
      <c r="FY43" s="37">
        <f t="shared" si="109"/>
        <v>-13017.344034623522</v>
      </c>
      <c r="FZ43" s="37">
        <f t="shared" si="109"/>
        <v>-13017.344034623522</v>
      </c>
      <c r="GA43" s="37">
        <f t="shared" si="109"/>
        <v>-13017.344034623522</v>
      </c>
      <c r="GB43" s="37">
        <f t="shared" si="109"/>
        <v>-13017.344034623522</v>
      </c>
      <c r="GC43" s="37">
        <f t="shared" si="109"/>
        <v>-13017.344034623522</v>
      </c>
      <c r="GD43" s="37">
        <f t="shared" si="109"/>
        <v>-13017.344034623522</v>
      </c>
      <c r="GE43" s="37">
        <f t="shared" ref="GE43" si="110">SUM(GE37:GE42)</f>
        <v>-13312.916800238214</v>
      </c>
      <c r="GF43" s="37">
        <f t="shared" ref="GF43" si="111">SUM(GF37:GF42)</f>
        <v>-13312.916800238214</v>
      </c>
      <c r="GG43" s="37">
        <f t="shared" ref="GG43" si="112">SUM(GG37:GG42)</f>
        <v>-13312.916800238214</v>
      </c>
      <c r="GH43" s="37">
        <f t="shared" ref="GH43" si="113">SUM(GH37:GH42)</f>
        <v>-13312.916800238214</v>
      </c>
      <c r="GI43" s="37">
        <f t="shared" ref="GI43" si="114">SUM(GI37:GI42)</f>
        <v>-13312.916800238214</v>
      </c>
      <c r="GJ43" s="37">
        <f t="shared" ref="GJ43" si="115">SUM(GJ37:GJ42)</f>
        <v>-13312.916800238214</v>
      </c>
      <c r="GK43" s="37">
        <f t="shared" ref="GK43" si="116">SUM(GK37:GK42)</f>
        <v>-13312.916800238214</v>
      </c>
      <c r="GL43" s="37">
        <f t="shared" ref="GL43" si="117">SUM(GL37:GL42)</f>
        <v>-13312.916800238214</v>
      </c>
      <c r="GM43" s="37">
        <f t="shared" ref="GM43" si="118">SUM(GM37:GM42)</f>
        <v>-13312.916800238214</v>
      </c>
      <c r="GN43" s="63"/>
      <c r="GO43" s="63"/>
      <c r="GP43" s="63"/>
      <c r="GQ43" s="63"/>
      <c r="GR43" s="63"/>
      <c r="GS43" s="63"/>
      <c r="GT43" s="63"/>
      <c r="GU43" s="63"/>
      <c r="GV43" s="63"/>
      <c r="GW43" s="63"/>
      <c r="GX43" s="63"/>
      <c r="GY43" s="63"/>
      <c r="GZ43" s="63"/>
      <c r="HA43" s="63"/>
      <c r="HB43" s="63"/>
      <c r="HC43" s="63"/>
      <c r="HD43" s="63"/>
      <c r="HE43" s="63"/>
      <c r="HF43" s="63"/>
      <c r="HG43" s="63"/>
      <c r="HH43" s="63"/>
      <c r="HI43" s="63"/>
      <c r="HJ43" s="63"/>
      <c r="HK43" s="63"/>
      <c r="HL43" s="63"/>
      <c r="HM43" s="63"/>
      <c r="HN43" s="63"/>
      <c r="HO43" s="63"/>
      <c r="HP43" s="63"/>
      <c r="HQ43" s="63"/>
      <c r="HR43" s="63"/>
      <c r="HS43" s="63"/>
      <c r="HT43" s="63"/>
      <c r="HU43" s="63"/>
      <c r="HV43" s="63"/>
      <c r="HW43" s="63"/>
      <c r="HX43" s="63"/>
      <c r="HY43" s="63"/>
      <c r="HZ43" s="63"/>
      <c r="IA43" s="63"/>
      <c r="IB43" s="63"/>
      <c r="IC43" s="63"/>
      <c r="ID43" s="63"/>
      <c r="IE43" s="63"/>
      <c r="IF43" s="63"/>
      <c r="IG43" s="63"/>
      <c r="IH43" s="63"/>
      <c r="II43" s="63"/>
      <c r="IJ43" s="63"/>
      <c r="IK43" s="63"/>
      <c r="IL43" s="63"/>
      <c r="IM43" s="63"/>
      <c r="IN43" s="63"/>
      <c r="IO43" s="63"/>
      <c r="IP43" s="63"/>
      <c r="IQ43" s="63"/>
      <c r="IR43" s="63"/>
      <c r="IS43" s="63"/>
      <c r="IT43" s="63"/>
      <c r="IU43" s="63"/>
      <c r="IV43" s="63"/>
      <c r="IW43" s="63"/>
      <c r="IX43" s="63"/>
      <c r="IY43" s="63"/>
      <c r="IZ43" s="63"/>
      <c r="JA43" s="63"/>
      <c r="JB43" s="63"/>
      <c r="JC43" s="63"/>
      <c r="JD43" s="63"/>
      <c r="JE43" s="63"/>
      <c r="JF43" s="63"/>
      <c r="JG43" s="63"/>
      <c r="JH43" s="63"/>
      <c r="JI43" s="63"/>
      <c r="JJ43" s="63"/>
      <c r="JK43" s="63"/>
      <c r="JL43" s="63"/>
      <c r="JM43" s="63"/>
      <c r="JN43" s="63"/>
      <c r="JO43" s="63"/>
      <c r="JP43" s="63"/>
      <c r="JQ43" s="63"/>
      <c r="JR43" s="63"/>
      <c r="JS43" s="63"/>
      <c r="JT43" s="63"/>
      <c r="JU43" s="63"/>
      <c r="JV43" s="63"/>
      <c r="JW43" s="63"/>
      <c r="JX43" s="63"/>
      <c r="JY43" s="63"/>
      <c r="JZ43" s="63"/>
      <c r="KA43" s="63"/>
      <c r="KB43" s="63"/>
      <c r="KC43" s="63"/>
      <c r="KD43" s="63"/>
      <c r="KE43" s="63"/>
      <c r="KF43" s="63"/>
      <c r="KG43" s="63"/>
      <c r="KH43" s="63"/>
      <c r="KI43" s="63"/>
      <c r="KJ43" s="63"/>
      <c r="KK43" s="63"/>
      <c r="KL43" s="63"/>
      <c r="KM43" s="63"/>
      <c r="KN43" s="63"/>
      <c r="KO43" s="63"/>
      <c r="KP43" s="63"/>
      <c r="KQ43" s="63"/>
      <c r="KR43" s="63"/>
      <c r="KS43" s="63"/>
      <c r="KT43" s="63"/>
      <c r="KU43" s="63"/>
      <c r="KV43" s="63"/>
      <c r="KW43" s="63"/>
      <c r="KX43" s="63"/>
      <c r="KY43" s="63"/>
      <c r="KZ43" s="63"/>
      <c r="LA43" s="63"/>
      <c r="LB43" s="63"/>
      <c r="LC43" s="63"/>
      <c r="LD43" s="63"/>
      <c r="LE43" s="63"/>
      <c r="LF43" s="63"/>
      <c r="LG43" s="63"/>
      <c r="LH43" s="63"/>
      <c r="LI43" s="63"/>
      <c r="LJ43" s="63"/>
      <c r="LK43" s="63"/>
      <c r="LL43" s="63"/>
      <c r="LM43" s="63"/>
      <c r="LN43" s="63"/>
      <c r="LO43" s="63"/>
      <c r="LP43" s="63"/>
      <c r="LQ43" s="63"/>
      <c r="LR43" s="63"/>
      <c r="LS43" s="63"/>
      <c r="LT43" s="63"/>
      <c r="LU43" s="63"/>
      <c r="LV43" s="63"/>
      <c r="LW43" s="63"/>
      <c r="LX43" s="63"/>
      <c r="LY43" s="63"/>
      <c r="LZ43" s="63"/>
      <c r="MA43" s="63"/>
      <c r="MB43" s="63"/>
      <c r="MC43" s="63"/>
      <c r="MD43" s="63"/>
      <c r="ME43" s="63"/>
      <c r="MF43" s="63"/>
      <c r="MG43" s="63"/>
      <c r="MH43" s="63"/>
      <c r="MI43" s="63"/>
      <c r="MJ43" s="63"/>
      <c r="MK43" s="63"/>
      <c r="ML43" s="63"/>
      <c r="MM43" s="63"/>
      <c r="MN43" s="63"/>
      <c r="MO43" s="63"/>
      <c r="MP43" s="63"/>
      <c r="MQ43" s="63"/>
      <c r="MR43" s="63"/>
      <c r="MS43" s="63"/>
      <c r="MT43" s="63"/>
      <c r="MU43" s="63"/>
      <c r="MV43" s="63"/>
      <c r="MW43" s="63"/>
      <c r="MX43" s="63"/>
      <c r="MY43" s="63"/>
      <c r="MZ43" s="63"/>
      <c r="NA43" s="63"/>
      <c r="NB43" s="63"/>
    </row>
    <row r="44" spans="2:367" ht="16" customHeight="1" x14ac:dyDescent="0.15">
      <c r="B44" s="71"/>
      <c r="C44" s="98"/>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c r="BT44" s="37"/>
      <c r="BU44" s="37"/>
      <c r="BV44" s="37"/>
      <c r="BW44" s="37"/>
      <c r="BX44" s="37"/>
      <c r="BY44" s="37"/>
      <c r="BZ44" s="37"/>
      <c r="CA44" s="37"/>
      <c r="CB44" s="37"/>
      <c r="CC44" s="37"/>
      <c r="CD44" s="37"/>
      <c r="CE44" s="37"/>
      <c r="CF44" s="37"/>
      <c r="CG44" s="37"/>
      <c r="CH44" s="37"/>
      <c r="CI44" s="37"/>
      <c r="CJ44" s="37"/>
      <c r="CK44" s="37"/>
    </row>
    <row r="45" spans="2:367" ht="16" customHeight="1" x14ac:dyDescent="0.15">
      <c r="B45" s="353" t="s">
        <v>48</v>
      </c>
      <c r="C45" s="375" t="s">
        <v>150</v>
      </c>
      <c r="D45" s="353"/>
      <c r="E45" s="354"/>
      <c r="F45" s="355">
        <f t="shared" ref="F45:BQ45" si="119">F34+F43</f>
        <v>0</v>
      </c>
      <c r="G45" s="355">
        <f>G34+G43</f>
        <v>21542.574465666665</v>
      </c>
      <c r="H45" s="355">
        <f t="shared" si="119"/>
        <v>21542.574465666665</v>
      </c>
      <c r="I45" s="355">
        <f t="shared" si="119"/>
        <v>21542.574465666665</v>
      </c>
      <c r="J45" s="355">
        <f t="shared" si="119"/>
        <v>21542.574465666665</v>
      </c>
      <c r="K45" s="355">
        <f t="shared" si="119"/>
        <v>21542.574465666665</v>
      </c>
      <c r="L45" s="355">
        <f t="shared" si="119"/>
        <v>21542.574465666665</v>
      </c>
      <c r="M45" s="355">
        <f t="shared" si="119"/>
        <v>21542.574465666665</v>
      </c>
      <c r="N45" s="355">
        <f t="shared" si="119"/>
        <v>21542.574465666665</v>
      </c>
      <c r="O45" s="355">
        <f t="shared" si="119"/>
        <v>28450.780899166675</v>
      </c>
      <c r="P45" s="355">
        <f t="shared" si="119"/>
        <v>28450.780899166675</v>
      </c>
      <c r="Q45" s="355">
        <f t="shared" si="119"/>
        <v>28450.780899166675</v>
      </c>
      <c r="R45" s="355">
        <f t="shared" si="119"/>
        <v>28450.780899166675</v>
      </c>
      <c r="S45" s="355">
        <f t="shared" si="119"/>
        <v>29184.681202895841</v>
      </c>
      <c r="T45" s="355">
        <f t="shared" si="119"/>
        <v>29184.681202895841</v>
      </c>
      <c r="U45" s="355">
        <f t="shared" si="119"/>
        <v>29184.681202895841</v>
      </c>
      <c r="V45" s="355">
        <f t="shared" si="119"/>
        <v>29184.681202895841</v>
      </c>
      <c r="W45" s="355">
        <f t="shared" si="119"/>
        <v>29184.681202895841</v>
      </c>
      <c r="X45" s="355">
        <f t="shared" si="119"/>
        <v>29184.681202895841</v>
      </c>
      <c r="Y45" s="355">
        <f t="shared" si="119"/>
        <v>29184.681202895841</v>
      </c>
      <c r="Z45" s="355">
        <f t="shared" si="119"/>
        <v>29184.681202895841</v>
      </c>
      <c r="AA45" s="355">
        <f t="shared" si="119"/>
        <v>29184.681202895841</v>
      </c>
      <c r="AB45" s="355">
        <f t="shared" si="119"/>
        <v>29184.681202895841</v>
      </c>
      <c r="AC45" s="355">
        <f t="shared" si="119"/>
        <v>29184.681202895841</v>
      </c>
      <c r="AD45" s="355">
        <f t="shared" si="119"/>
        <v>29184.681202895841</v>
      </c>
      <c r="AE45" s="355">
        <f t="shared" si="119"/>
        <v>29937.381629843228</v>
      </c>
      <c r="AF45" s="355">
        <f t="shared" si="119"/>
        <v>29937.381629843228</v>
      </c>
      <c r="AG45" s="355">
        <f t="shared" si="119"/>
        <v>29937.381629843228</v>
      </c>
      <c r="AH45" s="355">
        <f t="shared" si="119"/>
        <v>29937.381629843228</v>
      </c>
      <c r="AI45" s="355">
        <f t="shared" si="119"/>
        <v>29937.381629843228</v>
      </c>
      <c r="AJ45" s="355">
        <f t="shared" si="119"/>
        <v>29937.381629843228</v>
      </c>
      <c r="AK45" s="355">
        <f t="shared" si="119"/>
        <v>29937.381629843228</v>
      </c>
      <c r="AL45" s="355">
        <f t="shared" si="119"/>
        <v>29937.381629843228</v>
      </c>
      <c r="AM45" s="355">
        <f t="shared" si="119"/>
        <v>29937.381629843228</v>
      </c>
      <c r="AN45" s="355">
        <f t="shared" si="119"/>
        <v>29937.381629843228</v>
      </c>
      <c r="AO45" s="355">
        <f t="shared" si="119"/>
        <v>29937.381629843228</v>
      </c>
      <c r="AP45" s="355">
        <f t="shared" si="119"/>
        <v>29937.381629843228</v>
      </c>
      <c r="AQ45" s="355">
        <f t="shared" si="119"/>
        <v>30709.361235401801</v>
      </c>
      <c r="AR45" s="355">
        <f t="shared" si="119"/>
        <v>30709.361235401801</v>
      </c>
      <c r="AS45" s="355">
        <f t="shared" si="119"/>
        <v>30709.361235401801</v>
      </c>
      <c r="AT45" s="355">
        <f t="shared" si="119"/>
        <v>30709.361235401801</v>
      </c>
      <c r="AU45" s="355">
        <f t="shared" si="119"/>
        <v>30709.361235401801</v>
      </c>
      <c r="AV45" s="355">
        <f t="shared" si="119"/>
        <v>30709.361235401801</v>
      </c>
      <c r="AW45" s="355">
        <f t="shared" si="119"/>
        <v>30709.361235401801</v>
      </c>
      <c r="AX45" s="355">
        <f t="shared" si="119"/>
        <v>30709.361235401801</v>
      </c>
      <c r="AY45" s="355">
        <f t="shared" si="119"/>
        <v>30709.361235401801</v>
      </c>
      <c r="AZ45" s="355">
        <f t="shared" si="119"/>
        <v>30709.361235401801</v>
      </c>
      <c r="BA45" s="355">
        <f t="shared" si="119"/>
        <v>30709.361235401801</v>
      </c>
      <c r="BB45" s="355">
        <f t="shared" si="119"/>
        <v>30709.361235401801</v>
      </c>
      <c r="BC45" s="355">
        <f t="shared" si="119"/>
        <v>31501.1112323956</v>
      </c>
      <c r="BD45" s="355">
        <f t="shared" si="119"/>
        <v>31501.1112323956</v>
      </c>
      <c r="BE45" s="355">
        <f t="shared" si="119"/>
        <v>31501.1112323956</v>
      </c>
      <c r="BF45" s="355">
        <f t="shared" si="119"/>
        <v>31501.1112323956</v>
      </c>
      <c r="BG45" s="355">
        <f t="shared" si="119"/>
        <v>31501.1112323956</v>
      </c>
      <c r="BH45" s="355">
        <f t="shared" si="119"/>
        <v>31501.1112323956</v>
      </c>
      <c r="BI45" s="355">
        <f t="shared" si="119"/>
        <v>31501.1112323956</v>
      </c>
      <c r="BJ45" s="355">
        <f t="shared" si="119"/>
        <v>31501.1112323956</v>
      </c>
      <c r="BK45" s="355">
        <f t="shared" si="119"/>
        <v>31501.1112323956</v>
      </c>
      <c r="BL45" s="355">
        <f t="shared" si="119"/>
        <v>31501.1112323956</v>
      </c>
      <c r="BM45" s="355">
        <f t="shared" si="119"/>
        <v>31501.1112323956</v>
      </c>
      <c r="BN45" s="355">
        <f t="shared" si="119"/>
        <v>31501.1112323956</v>
      </c>
      <c r="BO45" s="355">
        <f t="shared" si="119"/>
        <v>32313.135298636411</v>
      </c>
      <c r="BP45" s="355">
        <f t="shared" si="119"/>
        <v>32313.135298636411</v>
      </c>
      <c r="BQ45" s="355">
        <f t="shared" si="119"/>
        <v>32313.135298636411</v>
      </c>
      <c r="BR45" s="355">
        <f t="shared" ref="BR45:EC45" si="120">BR34+BR43</f>
        <v>32313.135298636411</v>
      </c>
      <c r="BS45" s="355">
        <f t="shared" si="120"/>
        <v>32313.135298636411</v>
      </c>
      <c r="BT45" s="355">
        <f t="shared" si="120"/>
        <v>32313.135298636411</v>
      </c>
      <c r="BU45" s="355">
        <f t="shared" si="120"/>
        <v>32313.135298636411</v>
      </c>
      <c r="BV45" s="355">
        <f t="shared" si="120"/>
        <v>32313.135298636411</v>
      </c>
      <c r="BW45" s="355">
        <f t="shared" si="120"/>
        <v>32313.135298636411</v>
      </c>
      <c r="BX45" s="355">
        <f t="shared" si="120"/>
        <v>32313.135298636411</v>
      </c>
      <c r="BY45" s="355">
        <f t="shared" si="120"/>
        <v>32313.135298636411</v>
      </c>
      <c r="BZ45" s="355">
        <f t="shared" si="120"/>
        <v>32313.135298636411</v>
      </c>
      <c r="CA45" s="355">
        <f t="shared" si="120"/>
        <v>33145.949892241857</v>
      </c>
      <c r="CB45" s="355">
        <f t="shared" si="120"/>
        <v>33145.949892241857</v>
      </c>
      <c r="CC45" s="355">
        <f t="shared" si="120"/>
        <v>33145.949892241857</v>
      </c>
      <c r="CD45" s="355">
        <f t="shared" si="120"/>
        <v>33145.949892241857</v>
      </c>
      <c r="CE45" s="355">
        <f t="shared" si="120"/>
        <v>33145.949892241857</v>
      </c>
      <c r="CF45" s="355">
        <f t="shared" si="120"/>
        <v>33145.949892241857</v>
      </c>
      <c r="CG45" s="355">
        <f t="shared" si="120"/>
        <v>33145.949892241857</v>
      </c>
      <c r="CH45" s="355">
        <f t="shared" si="120"/>
        <v>33145.949892241857</v>
      </c>
      <c r="CI45" s="355">
        <f t="shared" si="120"/>
        <v>33145.949892241857</v>
      </c>
      <c r="CJ45" s="355">
        <f t="shared" si="120"/>
        <v>33145.949892241857</v>
      </c>
      <c r="CK45" s="355">
        <f t="shared" si="120"/>
        <v>33145.949892241857</v>
      </c>
      <c r="CL45" s="355">
        <f t="shared" si="120"/>
        <v>33145.949892241857</v>
      </c>
      <c r="CM45" s="355">
        <f t="shared" si="120"/>
        <v>34000.08457491023</v>
      </c>
      <c r="CN45" s="355">
        <f t="shared" si="120"/>
        <v>34000.08457491023</v>
      </c>
      <c r="CO45" s="355">
        <f t="shared" si="120"/>
        <v>34000.08457491023</v>
      </c>
      <c r="CP45" s="355">
        <f t="shared" si="120"/>
        <v>34000.08457491023</v>
      </c>
      <c r="CQ45" s="355">
        <f t="shared" si="120"/>
        <v>34000.08457491023</v>
      </c>
      <c r="CR45" s="355">
        <f t="shared" si="120"/>
        <v>34000.08457491023</v>
      </c>
      <c r="CS45" s="355">
        <f t="shared" si="120"/>
        <v>34000.08457491023</v>
      </c>
      <c r="CT45" s="355">
        <f t="shared" si="120"/>
        <v>34000.08457491023</v>
      </c>
      <c r="CU45" s="355">
        <f t="shared" si="120"/>
        <v>34000.08457491023</v>
      </c>
      <c r="CV45" s="355">
        <f t="shared" si="120"/>
        <v>34000.08457491023</v>
      </c>
      <c r="CW45" s="355">
        <f t="shared" si="120"/>
        <v>34000.08457491023</v>
      </c>
      <c r="CX45" s="355">
        <f t="shared" si="120"/>
        <v>34000.08457491023</v>
      </c>
      <c r="CY45" s="355">
        <f t="shared" si="120"/>
        <v>34876.082343352566</v>
      </c>
      <c r="CZ45" s="355">
        <f t="shared" si="120"/>
        <v>34876.082343352566</v>
      </c>
      <c r="DA45" s="355">
        <f t="shared" si="120"/>
        <v>34876.082343352566</v>
      </c>
      <c r="DB45" s="355">
        <f t="shared" si="120"/>
        <v>34876.082343352566</v>
      </c>
      <c r="DC45" s="355">
        <f t="shared" si="120"/>
        <v>34876.082343352566</v>
      </c>
      <c r="DD45" s="355">
        <f t="shared" si="120"/>
        <v>34876.082343352566</v>
      </c>
      <c r="DE45" s="355">
        <f t="shared" si="120"/>
        <v>34876.082343352566</v>
      </c>
      <c r="DF45" s="355">
        <f t="shared" si="120"/>
        <v>34876.082343352566</v>
      </c>
      <c r="DG45" s="355">
        <f t="shared" si="120"/>
        <v>34876.082343352566</v>
      </c>
      <c r="DH45" s="355">
        <f t="shared" si="120"/>
        <v>34876.082343352566</v>
      </c>
      <c r="DI45" s="355">
        <f t="shared" si="120"/>
        <v>34876.082343352566</v>
      </c>
      <c r="DJ45" s="355">
        <f t="shared" si="120"/>
        <v>34876.082343352566</v>
      </c>
      <c r="DK45" s="355">
        <f t="shared" si="120"/>
        <v>35774.499969087345</v>
      </c>
      <c r="DL45" s="355">
        <f t="shared" si="120"/>
        <v>35774.499969087345</v>
      </c>
      <c r="DM45" s="355">
        <f t="shared" si="120"/>
        <v>35774.499969087345</v>
      </c>
      <c r="DN45" s="355">
        <f t="shared" si="120"/>
        <v>35774.499969087345</v>
      </c>
      <c r="DO45" s="355">
        <f t="shared" si="120"/>
        <v>35774.499969087345</v>
      </c>
      <c r="DP45" s="355">
        <f t="shared" si="120"/>
        <v>35774.499969087345</v>
      </c>
      <c r="DQ45" s="355">
        <f t="shared" si="120"/>
        <v>35774.499969087345</v>
      </c>
      <c r="DR45" s="355">
        <f t="shared" si="120"/>
        <v>35774.499969087345</v>
      </c>
      <c r="DS45" s="355">
        <f t="shared" si="120"/>
        <v>35774.499969087345</v>
      </c>
      <c r="DT45" s="355">
        <f t="shared" si="120"/>
        <v>35774.499969087345</v>
      </c>
      <c r="DU45" s="355">
        <f t="shared" si="120"/>
        <v>35774.499969087345</v>
      </c>
      <c r="DV45" s="355">
        <f t="shared" si="120"/>
        <v>35774.499969087345</v>
      </c>
      <c r="DW45" s="355">
        <f t="shared" si="120"/>
        <v>36695.908346808515</v>
      </c>
      <c r="DX45" s="355">
        <f t="shared" si="120"/>
        <v>36695.908346808515</v>
      </c>
      <c r="DY45" s="355">
        <f t="shared" si="120"/>
        <v>36695.908346808515</v>
      </c>
      <c r="DZ45" s="355">
        <f t="shared" si="120"/>
        <v>36695.908346808515</v>
      </c>
      <c r="EA45" s="355">
        <f t="shared" si="120"/>
        <v>36695.908346808515</v>
      </c>
      <c r="EB45" s="355">
        <f t="shared" si="120"/>
        <v>36695.908346808515</v>
      </c>
      <c r="EC45" s="355">
        <f t="shared" si="120"/>
        <v>36695.908346808515</v>
      </c>
      <c r="ED45" s="355">
        <f t="shared" ref="ED45:GD45" si="121">ED34+ED43</f>
        <v>36695.908346808515</v>
      </c>
      <c r="EE45" s="355">
        <f t="shared" si="121"/>
        <v>36695.908346808515</v>
      </c>
      <c r="EF45" s="355">
        <f t="shared" si="121"/>
        <v>36695.908346808515</v>
      </c>
      <c r="EG45" s="355">
        <f t="shared" si="121"/>
        <v>36695.908346808515</v>
      </c>
      <c r="EH45" s="355">
        <f t="shared" si="121"/>
        <v>36695.908346808515</v>
      </c>
      <c r="EI45" s="355">
        <f t="shared" si="121"/>
        <v>37640.892851542594</v>
      </c>
      <c r="EJ45" s="355">
        <f t="shared" si="121"/>
        <v>37640.892851542594</v>
      </c>
      <c r="EK45" s="355">
        <f t="shared" si="121"/>
        <v>37640.892851542594</v>
      </c>
      <c r="EL45" s="355">
        <f t="shared" si="121"/>
        <v>37640.892851542594</v>
      </c>
      <c r="EM45" s="355">
        <f t="shared" si="121"/>
        <v>37640.892851542594</v>
      </c>
      <c r="EN45" s="355">
        <f t="shared" si="121"/>
        <v>37640.892851542594</v>
      </c>
      <c r="EO45" s="355">
        <f t="shared" si="121"/>
        <v>37640.892851542594</v>
      </c>
      <c r="EP45" s="355">
        <f t="shared" si="121"/>
        <v>37640.892851542594</v>
      </c>
      <c r="EQ45" s="355">
        <f t="shared" si="121"/>
        <v>37640.892851542594</v>
      </c>
      <c r="ER45" s="355">
        <f t="shared" si="121"/>
        <v>37640.892851542594</v>
      </c>
      <c r="ES45" s="355">
        <f t="shared" si="121"/>
        <v>37640.892851542594</v>
      </c>
      <c r="ET45" s="355">
        <f t="shared" si="121"/>
        <v>37640.892851542594</v>
      </c>
      <c r="EU45" s="355">
        <f t="shared" si="121"/>
        <v>38610.053704816302</v>
      </c>
      <c r="EV45" s="355">
        <f t="shared" si="121"/>
        <v>38610.053704816302</v>
      </c>
      <c r="EW45" s="355">
        <f t="shared" si="121"/>
        <v>38610.053704816302</v>
      </c>
      <c r="EX45" s="355">
        <f t="shared" si="121"/>
        <v>38610.053704816302</v>
      </c>
      <c r="EY45" s="355">
        <f t="shared" si="121"/>
        <v>38610.053704816302</v>
      </c>
      <c r="EZ45" s="355">
        <f t="shared" si="121"/>
        <v>38610.053704816302</v>
      </c>
      <c r="FA45" s="355">
        <f t="shared" si="121"/>
        <v>38610.053704816302</v>
      </c>
      <c r="FB45" s="355">
        <f t="shared" si="121"/>
        <v>38610.053704816302</v>
      </c>
      <c r="FC45" s="355">
        <f t="shared" si="121"/>
        <v>38610.053704816302</v>
      </c>
      <c r="FD45" s="355">
        <f t="shared" si="121"/>
        <v>38610.053704816302</v>
      </c>
      <c r="FE45" s="355">
        <f t="shared" si="121"/>
        <v>38610.053704816302</v>
      </c>
      <c r="FF45" s="355">
        <f t="shared" si="121"/>
        <v>38610.053704816302</v>
      </c>
      <c r="FG45" s="355">
        <f t="shared" si="121"/>
        <v>39604.006350061558</v>
      </c>
      <c r="FH45" s="355">
        <f t="shared" si="121"/>
        <v>39604.006350061558</v>
      </c>
      <c r="FI45" s="355">
        <f t="shared" si="121"/>
        <v>39604.006350061558</v>
      </c>
      <c r="FJ45" s="355">
        <f t="shared" si="121"/>
        <v>39604.006350061558</v>
      </c>
      <c r="FK45" s="355">
        <f t="shared" si="121"/>
        <v>39604.006350061558</v>
      </c>
      <c r="FL45" s="355">
        <f t="shared" si="121"/>
        <v>39604.006350061558</v>
      </c>
      <c r="FM45" s="355">
        <f t="shared" si="121"/>
        <v>39604.006350061558</v>
      </c>
      <c r="FN45" s="355">
        <f t="shared" si="121"/>
        <v>39604.006350061558</v>
      </c>
      <c r="FO45" s="355">
        <f t="shared" si="121"/>
        <v>39604.006350061558</v>
      </c>
      <c r="FP45" s="355">
        <f t="shared" si="121"/>
        <v>39604.006350061558</v>
      </c>
      <c r="FQ45" s="355">
        <f t="shared" si="121"/>
        <v>39604.006350061558</v>
      </c>
      <c r="FR45" s="355">
        <f t="shared" si="121"/>
        <v>39604.006350061558</v>
      </c>
      <c r="FS45" s="355">
        <f t="shared" si="121"/>
        <v>40623.381837490444</v>
      </c>
      <c r="FT45" s="355">
        <f t="shared" si="121"/>
        <v>40623.381837490444</v>
      </c>
      <c r="FU45" s="355">
        <f t="shared" si="121"/>
        <v>40623.381837490444</v>
      </c>
      <c r="FV45" s="355">
        <f t="shared" si="121"/>
        <v>40623.381837490444</v>
      </c>
      <c r="FW45" s="355">
        <f t="shared" si="121"/>
        <v>40623.381837490444</v>
      </c>
      <c r="FX45" s="355">
        <f t="shared" si="121"/>
        <v>40623.381837490444</v>
      </c>
      <c r="FY45" s="355">
        <f t="shared" si="121"/>
        <v>40623.381837490444</v>
      </c>
      <c r="FZ45" s="355">
        <f t="shared" si="121"/>
        <v>40623.381837490444</v>
      </c>
      <c r="GA45" s="355">
        <f t="shared" si="121"/>
        <v>40623.381837490444</v>
      </c>
      <c r="GB45" s="355">
        <f t="shared" si="121"/>
        <v>40623.381837490444</v>
      </c>
      <c r="GC45" s="355">
        <f t="shared" si="121"/>
        <v>40623.381837490444</v>
      </c>
      <c r="GD45" s="355">
        <f t="shared" si="121"/>
        <v>40623.381837490444</v>
      </c>
      <c r="GE45" s="355">
        <f t="shared" ref="GE45:GM45" si="122">GE34+GE43</f>
        <v>41668.827218678591</v>
      </c>
      <c r="GF45" s="355">
        <f t="shared" si="122"/>
        <v>41668.827218678591</v>
      </c>
      <c r="GG45" s="355">
        <f t="shared" si="122"/>
        <v>41668.827218678591</v>
      </c>
      <c r="GH45" s="355">
        <f t="shared" si="122"/>
        <v>41668.827218678591</v>
      </c>
      <c r="GI45" s="355">
        <f t="shared" si="122"/>
        <v>41668.827218678591</v>
      </c>
      <c r="GJ45" s="355">
        <f t="shared" si="122"/>
        <v>41668.827218678591</v>
      </c>
      <c r="GK45" s="355">
        <f t="shared" si="122"/>
        <v>41668.827218678591</v>
      </c>
      <c r="GL45" s="355">
        <f t="shared" si="122"/>
        <v>41668.827218678591</v>
      </c>
      <c r="GM45" s="355">
        <f t="shared" si="122"/>
        <v>41668.827218678591</v>
      </c>
      <c r="GN45" s="611"/>
      <c r="GO45" s="611"/>
      <c r="GP45" s="611"/>
      <c r="GQ45" s="279"/>
      <c r="GR45" s="279"/>
      <c r="GS45" s="279"/>
      <c r="GT45" s="279"/>
      <c r="GU45" s="279"/>
      <c r="GV45" s="279"/>
      <c r="GW45" s="279"/>
      <c r="GX45" s="279"/>
      <c r="GY45" s="279"/>
      <c r="GZ45" s="279"/>
      <c r="HA45" s="279"/>
      <c r="HB45" s="279"/>
      <c r="HC45" s="279"/>
      <c r="HD45" s="279"/>
      <c r="HE45" s="279"/>
      <c r="HF45" s="279"/>
      <c r="HG45" s="279"/>
      <c r="HH45" s="279"/>
      <c r="HI45" s="279"/>
      <c r="HJ45" s="279"/>
      <c r="HK45" s="279"/>
      <c r="HL45" s="279"/>
      <c r="HM45" s="279"/>
      <c r="HN45" s="279"/>
      <c r="HO45" s="279"/>
      <c r="HP45" s="279"/>
      <c r="HQ45" s="279"/>
      <c r="HR45" s="279"/>
      <c r="HS45" s="279"/>
      <c r="HT45" s="279"/>
      <c r="HU45" s="279"/>
      <c r="HV45" s="279"/>
      <c r="HW45" s="279"/>
      <c r="HX45" s="279"/>
      <c r="HY45" s="279"/>
      <c r="HZ45" s="279"/>
      <c r="IA45" s="279"/>
      <c r="IB45" s="279"/>
      <c r="IC45" s="279"/>
      <c r="ID45" s="279"/>
      <c r="IE45" s="279"/>
      <c r="IF45" s="279"/>
      <c r="IG45" s="279"/>
      <c r="IH45" s="279"/>
      <c r="II45" s="279"/>
      <c r="IJ45" s="279"/>
      <c r="IK45" s="279"/>
      <c r="IL45" s="279"/>
      <c r="IM45" s="279"/>
      <c r="IN45" s="279"/>
      <c r="IO45" s="279"/>
      <c r="IP45" s="279"/>
      <c r="IQ45" s="279"/>
      <c r="IR45" s="279"/>
      <c r="IS45" s="279"/>
      <c r="IT45" s="279"/>
      <c r="IU45" s="279"/>
      <c r="IV45" s="279"/>
      <c r="IW45" s="279"/>
      <c r="IX45" s="279"/>
      <c r="IY45" s="279"/>
      <c r="IZ45" s="279"/>
      <c r="JA45" s="279"/>
      <c r="JB45" s="279"/>
      <c r="JC45" s="279"/>
      <c r="JD45" s="279"/>
      <c r="JE45" s="279"/>
      <c r="JF45" s="279"/>
      <c r="JG45" s="279"/>
      <c r="JH45" s="279"/>
      <c r="JI45" s="279"/>
      <c r="JJ45" s="279"/>
      <c r="JK45" s="279"/>
      <c r="JL45" s="279"/>
      <c r="JM45" s="279"/>
      <c r="JN45" s="279"/>
      <c r="JO45" s="279"/>
      <c r="JP45" s="279"/>
      <c r="JQ45" s="279"/>
      <c r="JR45" s="279"/>
      <c r="JS45" s="279"/>
      <c r="JT45" s="279"/>
      <c r="JU45" s="279"/>
      <c r="JV45" s="279"/>
      <c r="JW45" s="279"/>
      <c r="JX45" s="279"/>
      <c r="JY45" s="279"/>
      <c r="JZ45" s="279"/>
      <c r="KA45" s="279"/>
      <c r="KB45" s="279"/>
      <c r="KC45" s="279"/>
      <c r="KD45" s="279"/>
      <c r="KE45" s="279"/>
      <c r="KF45" s="279"/>
      <c r="KG45" s="279"/>
      <c r="KH45" s="279"/>
      <c r="KI45" s="279"/>
      <c r="KJ45" s="279"/>
      <c r="KK45" s="279"/>
      <c r="KL45" s="279"/>
      <c r="KM45" s="279"/>
      <c r="KN45" s="279"/>
      <c r="KO45" s="279"/>
      <c r="KP45" s="279"/>
      <c r="KQ45" s="279"/>
      <c r="KR45" s="279"/>
      <c r="KS45" s="279"/>
      <c r="KT45" s="279"/>
      <c r="KU45" s="279"/>
      <c r="KV45" s="279"/>
      <c r="KW45" s="279"/>
      <c r="KX45" s="279"/>
      <c r="KY45" s="279"/>
      <c r="KZ45" s="279"/>
      <c r="LA45" s="279"/>
      <c r="LB45" s="279"/>
      <c r="LC45" s="279"/>
      <c r="LD45" s="279"/>
      <c r="LE45" s="279"/>
      <c r="LF45" s="279"/>
      <c r="LG45" s="279"/>
      <c r="LH45" s="279"/>
      <c r="LI45" s="279"/>
      <c r="LJ45" s="279"/>
      <c r="LK45" s="279"/>
      <c r="LL45" s="279"/>
      <c r="LM45" s="279"/>
      <c r="LN45" s="279"/>
      <c r="LO45" s="279"/>
      <c r="LP45" s="279"/>
      <c r="LQ45" s="279"/>
      <c r="LR45" s="279"/>
      <c r="LS45" s="279"/>
      <c r="LT45" s="279"/>
      <c r="LU45" s="279"/>
      <c r="LV45" s="279"/>
      <c r="LW45" s="279"/>
      <c r="LX45" s="279"/>
      <c r="LY45" s="279"/>
      <c r="LZ45" s="279"/>
      <c r="MA45" s="279"/>
      <c r="MB45" s="279"/>
      <c r="MC45" s="279"/>
      <c r="MD45" s="279"/>
      <c r="ME45" s="279"/>
      <c r="MF45" s="279"/>
      <c r="MG45" s="279"/>
      <c r="MH45" s="279"/>
      <c r="MI45" s="279"/>
      <c r="MJ45" s="279"/>
      <c r="MK45" s="279"/>
      <c r="ML45" s="279"/>
      <c r="MM45" s="279"/>
      <c r="MN45" s="279"/>
      <c r="MO45" s="279"/>
      <c r="MP45" s="279"/>
      <c r="MQ45" s="279"/>
      <c r="MR45" s="279"/>
      <c r="MS45" s="279"/>
      <c r="MT45" s="279"/>
      <c r="MU45" s="279"/>
      <c r="MV45" s="279"/>
      <c r="MW45" s="279"/>
      <c r="MX45" s="279"/>
      <c r="MY45" s="279"/>
      <c r="MZ45" s="279"/>
      <c r="NA45" s="279"/>
      <c r="NB45" s="279"/>
      <c r="NC45" s="27"/>
    </row>
    <row r="46" spans="2:367" ht="16" customHeight="1" x14ac:dyDescent="0.15">
      <c r="B46" s="71"/>
      <c r="D46" s="6"/>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c r="BT46" s="37"/>
      <c r="BU46" s="37"/>
      <c r="BV46" s="37"/>
      <c r="BW46" s="37"/>
      <c r="BX46" s="37"/>
      <c r="BY46" s="37"/>
      <c r="BZ46" s="37"/>
      <c r="CA46" s="37"/>
      <c r="CB46" s="37"/>
      <c r="CC46" s="37"/>
      <c r="CD46" s="37"/>
      <c r="CE46" s="37"/>
      <c r="CF46" s="37"/>
      <c r="CG46" s="37"/>
      <c r="CH46" s="37"/>
      <c r="CI46" s="37"/>
      <c r="CJ46" s="37"/>
      <c r="CK46" s="37"/>
      <c r="CL46" s="37"/>
      <c r="CM46" s="37"/>
      <c r="CN46" s="37"/>
      <c r="CO46" s="37"/>
      <c r="CP46" s="37"/>
      <c r="CQ46" s="37"/>
      <c r="CR46" s="37"/>
      <c r="CS46" s="37"/>
      <c r="CT46" s="37"/>
      <c r="CU46" s="37"/>
      <c r="CV46" s="37"/>
      <c r="CW46" s="37"/>
      <c r="CX46" s="37"/>
      <c r="CY46" s="37"/>
      <c r="CZ46" s="37"/>
      <c r="DA46" s="37"/>
      <c r="DB46" s="37"/>
      <c r="DC46" s="37"/>
      <c r="DD46" s="37"/>
      <c r="DE46" s="37"/>
      <c r="DF46" s="37"/>
      <c r="DG46" s="37"/>
      <c r="DH46" s="37"/>
      <c r="DI46" s="37"/>
      <c r="DJ46" s="37"/>
      <c r="DK46" s="37"/>
      <c r="DL46" s="37"/>
      <c r="DM46" s="37"/>
      <c r="DN46" s="37"/>
      <c r="DO46" s="37"/>
      <c r="DP46" s="37"/>
      <c r="DQ46" s="37"/>
      <c r="DR46" s="37"/>
      <c r="DS46" s="37"/>
      <c r="DT46" s="37"/>
      <c r="DU46" s="37"/>
      <c r="DV46" s="37"/>
      <c r="DW46" s="37"/>
      <c r="DX46" s="37"/>
      <c r="DY46" s="37"/>
      <c r="DZ46" s="37"/>
      <c r="EA46" s="37"/>
      <c r="EB46" s="37"/>
      <c r="EC46" s="37"/>
      <c r="ED46" s="37"/>
      <c r="EE46" s="37"/>
      <c r="EF46" s="37"/>
      <c r="EG46" s="37"/>
      <c r="EH46" s="37"/>
      <c r="EI46" s="37"/>
      <c r="EJ46" s="37"/>
      <c r="EK46" s="37"/>
      <c r="EL46" s="37"/>
      <c r="EM46" s="37"/>
      <c r="EN46" s="37"/>
      <c r="EO46" s="37"/>
      <c r="EP46" s="37"/>
      <c r="EQ46" s="37"/>
      <c r="ER46" s="37"/>
      <c r="ES46" s="37"/>
      <c r="ET46" s="37"/>
      <c r="EU46" s="37"/>
      <c r="EV46" s="37"/>
      <c r="EW46" s="37"/>
      <c r="EX46" s="37"/>
      <c r="EY46" s="37"/>
      <c r="EZ46" s="37"/>
      <c r="FA46" s="37"/>
      <c r="FB46" s="37"/>
      <c r="FC46" s="37"/>
      <c r="FD46" s="37"/>
      <c r="FE46" s="37"/>
      <c r="FF46" s="37"/>
      <c r="FG46" s="37"/>
      <c r="FH46" s="37"/>
      <c r="FI46" s="37"/>
      <c r="FJ46" s="37"/>
      <c r="FK46" s="37"/>
      <c r="FL46" s="37"/>
      <c r="FM46" s="37"/>
      <c r="FN46" s="37"/>
      <c r="FO46" s="37"/>
      <c r="FP46" s="37"/>
      <c r="FQ46" s="37"/>
      <c r="FR46" s="37"/>
      <c r="FS46" s="37"/>
      <c r="FT46" s="37"/>
      <c r="FU46" s="37"/>
      <c r="FV46" s="37"/>
      <c r="FW46" s="37"/>
      <c r="FX46" s="37"/>
      <c r="FY46" s="37"/>
      <c r="FZ46" s="37"/>
      <c r="GA46" s="37"/>
      <c r="GB46" s="37"/>
      <c r="GC46" s="37"/>
      <c r="GD46" s="37"/>
      <c r="GE46" s="37"/>
      <c r="GF46" s="37"/>
      <c r="GG46" s="37"/>
      <c r="GH46" s="37"/>
      <c r="GI46" s="37"/>
      <c r="GJ46" s="37"/>
      <c r="GK46" s="37"/>
      <c r="GL46" s="37"/>
      <c r="GM46" s="37"/>
      <c r="GN46" s="63"/>
      <c r="GO46" s="63"/>
      <c r="GP46" s="63"/>
      <c r="GQ46" s="63"/>
      <c r="GR46" s="63"/>
      <c r="GS46" s="63"/>
      <c r="GT46" s="63"/>
      <c r="GU46" s="63"/>
      <c r="GV46" s="63"/>
      <c r="GW46" s="63"/>
      <c r="GX46" s="63"/>
      <c r="GY46" s="63"/>
      <c r="GZ46" s="63"/>
      <c r="HA46" s="63"/>
      <c r="HB46" s="63"/>
      <c r="HC46" s="63"/>
      <c r="HD46" s="63"/>
      <c r="HE46" s="63"/>
      <c r="HF46" s="63"/>
      <c r="HG46" s="63"/>
      <c r="HH46" s="63"/>
      <c r="HI46" s="63"/>
      <c r="HJ46" s="63"/>
      <c r="HK46" s="63"/>
      <c r="HL46" s="63"/>
      <c r="HM46" s="63"/>
      <c r="HN46" s="63"/>
      <c r="HO46" s="63"/>
      <c r="HP46" s="63"/>
      <c r="HQ46" s="63"/>
      <c r="HR46" s="63"/>
      <c r="HS46" s="63"/>
      <c r="HT46" s="63"/>
      <c r="HU46" s="63"/>
      <c r="HV46" s="63"/>
      <c r="HW46" s="63"/>
      <c r="HX46" s="63"/>
      <c r="HY46" s="63"/>
      <c r="HZ46" s="63"/>
      <c r="IA46" s="63"/>
      <c r="IB46" s="63"/>
      <c r="IC46" s="63"/>
      <c r="ID46" s="63"/>
      <c r="IE46" s="63"/>
      <c r="IF46" s="63"/>
      <c r="IG46" s="63"/>
      <c r="IH46" s="63"/>
      <c r="II46" s="63"/>
      <c r="IJ46" s="63"/>
      <c r="IK46" s="63"/>
      <c r="IL46" s="63"/>
      <c r="IM46" s="63"/>
      <c r="IN46" s="63"/>
      <c r="IO46" s="63"/>
      <c r="IP46" s="63"/>
      <c r="IQ46" s="63"/>
      <c r="IR46" s="63"/>
      <c r="IS46" s="63"/>
      <c r="IT46" s="63"/>
      <c r="IU46" s="63"/>
      <c r="IV46" s="63"/>
      <c r="IW46" s="63"/>
      <c r="IX46" s="63"/>
      <c r="IY46" s="63"/>
      <c r="IZ46" s="63"/>
      <c r="JA46" s="63"/>
      <c r="JB46" s="63"/>
      <c r="JC46" s="63"/>
      <c r="JD46" s="63"/>
      <c r="JE46" s="63"/>
      <c r="JF46" s="63"/>
      <c r="JG46" s="63"/>
      <c r="JH46" s="63"/>
      <c r="JI46" s="63"/>
      <c r="JJ46" s="63"/>
      <c r="JK46" s="63"/>
      <c r="JL46" s="63"/>
      <c r="JM46" s="63"/>
      <c r="JN46" s="63"/>
      <c r="JO46" s="63"/>
      <c r="JP46" s="63"/>
      <c r="JQ46" s="63"/>
      <c r="JR46" s="63"/>
      <c r="JS46" s="63"/>
      <c r="JT46" s="63"/>
      <c r="JU46" s="63"/>
      <c r="JV46" s="63"/>
      <c r="JW46" s="63"/>
      <c r="JX46" s="63"/>
      <c r="JY46" s="63"/>
      <c r="JZ46" s="63"/>
      <c r="KA46" s="63"/>
      <c r="KB46" s="63"/>
      <c r="KC46" s="63"/>
      <c r="KD46" s="63"/>
      <c r="KE46" s="63"/>
      <c r="KF46" s="63"/>
      <c r="KG46" s="63"/>
      <c r="KH46" s="63"/>
      <c r="KI46" s="63"/>
      <c r="KJ46" s="63"/>
      <c r="KK46" s="63"/>
      <c r="KL46" s="63"/>
      <c r="KM46" s="63"/>
      <c r="KN46" s="63"/>
      <c r="KO46" s="63"/>
      <c r="KP46" s="63"/>
      <c r="KQ46" s="63"/>
      <c r="KR46" s="63"/>
      <c r="KS46" s="63"/>
      <c r="KT46" s="63"/>
      <c r="KU46" s="63"/>
      <c r="KV46" s="63"/>
      <c r="KW46" s="63"/>
      <c r="KX46" s="63"/>
      <c r="KY46" s="63"/>
      <c r="KZ46" s="63"/>
      <c r="LA46" s="63"/>
      <c r="LB46" s="63"/>
      <c r="LC46" s="63"/>
      <c r="LD46" s="63"/>
      <c r="LE46" s="63"/>
      <c r="LF46" s="63"/>
      <c r="LG46" s="63"/>
      <c r="LH46" s="63"/>
      <c r="LI46" s="63"/>
      <c r="LJ46" s="63"/>
      <c r="LK46" s="63"/>
      <c r="LL46" s="63"/>
      <c r="LM46" s="63"/>
      <c r="LN46" s="63"/>
      <c r="LO46" s="63"/>
      <c r="LP46" s="63"/>
      <c r="LQ46" s="63"/>
      <c r="LR46" s="63"/>
      <c r="LS46" s="63"/>
      <c r="LT46" s="63"/>
      <c r="LU46" s="63"/>
      <c r="LV46" s="63"/>
      <c r="LW46" s="63"/>
      <c r="LX46" s="63"/>
      <c r="LY46" s="63"/>
      <c r="LZ46" s="63"/>
      <c r="MA46" s="63"/>
      <c r="MB46" s="63"/>
      <c r="MC46" s="63"/>
      <c r="MD46" s="63"/>
      <c r="ME46" s="63"/>
      <c r="MF46" s="63"/>
      <c r="MG46" s="63"/>
      <c r="MH46" s="63"/>
      <c r="MI46" s="63"/>
      <c r="MJ46" s="63"/>
      <c r="MK46" s="63"/>
      <c r="ML46" s="63"/>
      <c r="MM46" s="63"/>
      <c r="MN46" s="63"/>
      <c r="MO46" s="63"/>
      <c r="MP46" s="63"/>
      <c r="MQ46" s="63"/>
      <c r="MR46" s="63"/>
      <c r="MS46" s="63"/>
      <c r="MT46" s="63"/>
      <c r="MU46" s="63"/>
      <c r="MV46" s="63"/>
      <c r="MW46" s="63"/>
      <c r="MX46" s="63"/>
      <c r="MY46" s="63"/>
      <c r="MZ46" s="63"/>
      <c r="NA46" s="63"/>
      <c r="NB46" s="63"/>
    </row>
    <row r="47" spans="2:367" ht="16" customHeight="1" x14ac:dyDescent="0.15">
      <c r="B47" s="372" t="s">
        <v>281</v>
      </c>
      <c r="C47" s="314" t="s">
        <v>150</v>
      </c>
      <c r="D47" s="317"/>
      <c r="E47" s="320"/>
      <c r="F47" s="356">
        <f>-IF(F$12=1,'Assumptions_&amp;_Inputs'!$E$41/'Assumptions_&amp;_Inputs'!$E$43,0)</f>
        <v>0</v>
      </c>
      <c r="G47" s="356">
        <f>-IF(G$12=1,'Assumptions_&amp;_Inputs'!$E$41/'Assumptions_&amp;_Inputs'!$E$43,0)</f>
        <v>-53255</v>
      </c>
      <c r="H47" s="356">
        <f>-IF(H$12=1,'Assumptions_&amp;_Inputs'!$E$41/'Assumptions_&amp;_Inputs'!$E$43,0)</f>
        <v>-53255</v>
      </c>
      <c r="I47" s="356">
        <f>-IF(I$12=1,'Assumptions_&amp;_Inputs'!$E$41/'Assumptions_&amp;_Inputs'!$E$43,0)</f>
        <v>-53255</v>
      </c>
      <c r="J47" s="356">
        <f>-IF(J$12=1,'Assumptions_&amp;_Inputs'!$E$41/'Assumptions_&amp;_Inputs'!$E$43,0)</f>
        <v>-53255</v>
      </c>
      <c r="K47" s="356">
        <f>-IF(K$12=1,'Assumptions_&amp;_Inputs'!$E$41/'Assumptions_&amp;_Inputs'!$E$43,0)</f>
        <v>-53255</v>
      </c>
      <c r="L47" s="356">
        <f>-IF(L$12=1,'Assumptions_&amp;_Inputs'!$E$41/'Assumptions_&amp;_Inputs'!$E$43,0)</f>
        <v>-53255</v>
      </c>
      <c r="M47" s="356">
        <f>-IF(M$12=1,'Assumptions_&amp;_Inputs'!$E$41/'Assumptions_&amp;_Inputs'!$E$43,0)</f>
        <v>-53255</v>
      </c>
      <c r="N47" s="356">
        <f>-IF(N$12=1,'Assumptions_&amp;_Inputs'!$E$41/'Assumptions_&amp;_Inputs'!$E$43,0)</f>
        <v>-53255</v>
      </c>
      <c r="O47" s="356">
        <f>-IF(O$12=1,'Assumptions_&amp;_Inputs'!$E$41/'Assumptions_&amp;_Inputs'!$E$43,0)</f>
        <v>0</v>
      </c>
      <c r="P47" s="356">
        <f>-IF(P$12=1,'Assumptions_&amp;_Inputs'!$E$41/'Assumptions_&amp;_Inputs'!$E$43,0)</f>
        <v>0</v>
      </c>
      <c r="Q47" s="356">
        <f>-IF(Q$12=1,'Assumptions_&amp;_Inputs'!$E$41/'Assumptions_&amp;_Inputs'!$E$43,0)</f>
        <v>0</v>
      </c>
      <c r="R47" s="356">
        <f>-IF(R$12=1,'Assumptions_&amp;_Inputs'!$E$41/'Assumptions_&amp;_Inputs'!$E$43,0)</f>
        <v>0</v>
      </c>
      <c r="S47" s="356">
        <f>-IF(S$12=1,'Assumptions_&amp;_Inputs'!$E$41/'Assumptions_&amp;_Inputs'!$E$43,0)</f>
        <v>0</v>
      </c>
      <c r="T47" s="356">
        <f>-IF(T$12=1,'Assumptions_&amp;_Inputs'!$E$41/'Assumptions_&amp;_Inputs'!$E$43,0)</f>
        <v>0</v>
      </c>
      <c r="U47" s="356">
        <f>-IF(U$12=1,'Assumptions_&amp;_Inputs'!$E$41/'Assumptions_&amp;_Inputs'!$E$43,0)</f>
        <v>0</v>
      </c>
      <c r="V47" s="356">
        <f>-IF(V$12=1,'Assumptions_&amp;_Inputs'!$E$41/'Assumptions_&amp;_Inputs'!$E$43,0)</f>
        <v>0</v>
      </c>
      <c r="W47" s="356">
        <f>-IF(W$12=1,'Assumptions_&amp;_Inputs'!$E$41/'Assumptions_&amp;_Inputs'!$E$43,0)</f>
        <v>0</v>
      </c>
      <c r="X47" s="356">
        <f>-IF(X$12=1,'Assumptions_&amp;_Inputs'!$E$41/'Assumptions_&amp;_Inputs'!$E$43,0)</f>
        <v>0</v>
      </c>
      <c r="Y47" s="356">
        <f>-IF(Y$12=1,'Assumptions_&amp;_Inputs'!$E$41/'Assumptions_&amp;_Inputs'!$E$43,0)</f>
        <v>0</v>
      </c>
      <c r="Z47" s="356">
        <f>-IF(Z$12=1,'Assumptions_&amp;_Inputs'!$E$41/'Assumptions_&amp;_Inputs'!$E$43,0)</f>
        <v>0</v>
      </c>
      <c r="AA47" s="356">
        <f>-IF(AA$12=1,'Assumptions_&amp;_Inputs'!$E$41/'Assumptions_&amp;_Inputs'!$E$43,0)</f>
        <v>0</v>
      </c>
      <c r="AB47" s="356">
        <f>-IF(AB$12=1,'Assumptions_&amp;_Inputs'!$E$41/'Assumptions_&amp;_Inputs'!$E$43,0)</f>
        <v>0</v>
      </c>
      <c r="AC47" s="356">
        <f>-IF(AC$12=1,'Assumptions_&amp;_Inputs'!$E$41/'Assumptions_&amp;_Inputs'!$E$43,0)</f>
        <v>0</v>
      </c>
      <c r="AD47" s="356">
        <f>-IF(AD$12=1,'Assumptions_&amp;_Inputs'!$E$41/'Assumptions_&amp;_Inputs'!$E$43,0)</f>
        <v>0</v>
      </c>
      <c r="AE47" s="356">
        <f>-IF(AE$12=1,'Assumptions_&amp;_Inputs'!$E$41/'Assumptions_&amp;_Inputs'!$E$43,0)</f>
        <v>0</v>
      </c>
      <c r="AF47" s="356">
        <f>-IF(AF$12=1,'Assumptions_&amp;_Inputs'!$E$41/'Assumptions_&amp;_Inputs'!$E$43,0)</f>
        <v>0</v>
      </c>
      <c r="AG47" s="356">
        <f>-IF(AG$12=1,'Assumptions_&amp;_Inputs'!$E$41/'Assumptions_&amp;_Inputs'!$E$43,0)</f>
        <v>0</v>
      </c>
      <c r="AH47" s="356">
        <f>-IF(AH$12=1,'Assumptions_&amp;_Inputs'!$E$41/'Assumptions_&amp;_Inputs'!$E$43,0)</f>
        <v>0</v>
      </c>
      <c r="AI47" s="356">
        <f>-IF(AI$12=1,'Assumptions_&amp;_Inputs'!$E$41/'Assumptions_&amp;_Inputs'!$E$43,0)</f>
        <v>0</v>
      </c>
      <c r="AJ47" s="356">
        <f>-IF(AJ$12=1,'Assumptions_&amp;_Inputs'!$E$41/'Assumptions_&amp;_Inputs'!$E$43,0)</f>
        <v>0</v>
      </c>
      <c r="AK47" s="356">
        <f>-IF(AK$12=1,'Assumptions_&amp;_Inputs'!$E$41/'Assumptions_&amp;_Inputs'!$E$43,0)</f>
        <v>0</v>
      </c>
      <c r="AL47" s="356">
        <f>-IF(AL$12=1,'Assumptions_&amp;_Inputs'!$E$41/'Assumptions_&amp;_Inputs'!$E$43,0)</f>
        <v>0</v>
      </c>
      <c r="AM47" s="356">
        <f>-IF(AM$12=1,'Assumptions_&amp;_Inputs'!$E$41/'Assumptions_&amp;_Inputs'!$E$43,0)</f>
        <v>0</v>
      </c>
      <c r="AN47" s="356">
        <f>-IF(AN$12=1,'Assumptions_&amp;_Inputs'!$E$41/'Assumptions_&amp;_Inputs'!$E$43,0)</f>
        <v>0</v>
      </c>
      <c r="AO47" s="356">
        <f>-IF(AO$12=1,'Assumptions_&amp;_Inputs'!$E$41/'Assumptions_&amp;_Inputs'!$E$43,0)</f>
        <v>0</v>
      </c>
      <c r="AP47" s="356">
        <f>-IF(AP$12=1,'Assumptions_&amp;_Inputs'!$E$41/'Assumptions_&amp;_Inputs'!$E$43,0)</f>
        <v>0</v>
      </c>
      <c r="AQ47" s="356">
        <f>-IF(AQ$12=1,'Assumptions_&amp;_Inputs'!$E$41/'Assumptions_&amp;_Inputs'!$E$43,0)</f>
        <v>0</v>
      </c>
      <c r="AR47" s="356">
        <f>-IF(AR$12=1,'Assumptions_&amp;_Inputs'!$E$41/'Assumptions_&amp;_Inputs'!$E$43,0)</f>
        <v>0</v>
      </c>
      <c r="AS47" s="356">
        <f>-IF(AS$12=1,'Assumptions_&amp;_Inputs'!$E$41/'Assumptions_&amp;_Inputs'!$E$43,0)</f>
        <v>0</v>
      </c>
      <c r="AT47" s="356">
        <f>-IF(AT$12=1,'Assumptions_&amp;_Inputs'!$E$41/'Assumptions_&amp;_Inputs'!$E$43,0)</f>
        <v>0</v>
      </c>
      <c r="AU47" s="356">
        <f>-IF(AU$12=1,'Assumptions_&amp;_Inputs'!$E$41/'Assumptions_&amp;_Inputs'!$E$43,0)</f>
        <v>0</v>
      </c>
      <c r="AV47" s="356">
        <f>-IF(AV$12=1,'Assumptions_&amp;_Inputs'!$E$41/'Assumptions_&amp;_Inputs'!$E$43,0)</f>
        <v>0</v>
      </c>
      <c r="AW47" s="356">
        <f>-IF(AW$12=1,'Assumptions_&amp;_Inputs'!$E$41/'Assumptions_&amp;_Inputs'!$E$43,0)</f>
        <v>0</v>
      </c>
      <c r="AX47" s="356">
        <f>-IF(AX$12=1,'Assumptions_&amp;_Inputs'!$E$41/'Assumptions_&amp;_Inputs'!$E$43,0)</f>
        <v>0</v>
      </c>
      <c r="AY47" s="356">
        <f>-IF(AY$12=1,'Assumptions_&amp;_Inputs'!$E$41/'Assumptions_&amp;_Inputs'!$E$43,0)</f>
        <v>0</v>
      </c>
      <c r="AZ47" s="356">
        <f>-IF(AZ$12=1,'Assumptions_&amp;_Inputs'!$E$41/'Assumptions_&amp;_Inputs'!$E$43,0)</f>
        <v>0</v>
      </c>
      <c r="BA47" s="356">
        <f>-IF(BA$12=1,'Assumptions_&amp;_Inputs'!$E$41/'Assumptions_&amp;_Inputs'!$E$43,0)</f>
        <v>0</v>
      </c>
      <c r="BB47" s="356">
        <f>-IF(BB$12=1,'Assumptions_&amp;_Inputs'!$E$41/'Assumptions_&amp;_Inputs'!$E$43,0)</f>
        <v>0</v>
      </c>
      <c r="BC47" s="356">
        <f>-IF(BC$12=1,'Assumptions_&amp;_Inputs'!$E$41/'Assumptions_&amp;_Inputs'!$E$43,0)</f>
        <v>0</v>
      </c>
      <c r="BD47" s="356">
        <f>-IF(BD$12=1,'Assumptions_&amp;_Inputs'!$E$41/'Assumptions_&amp;_Inputs'!$E$43,0)</f>
        <v>0</v>
      </c>
      <c r="BE47" s="356">
        <f>-IF(BE$12=1,'Assumptions_&amp;_Inputs'!$E$41/'Assumptions_&amp;_Inputs'!$E$43,0)</f>
        <v>0</v>
      </c>
      <c r="BF47" s="356">
        <f>-IF(BF$12=1,'Assumptions_&amp;_Inputs'!$E$41/'Assumptions_&amp;_Inputs'!$E$43,0)</f>
        <v>0</v>
      </c>
      <c r="BG47" s="356">
        <f>-IF(BG$12=1,'Assumptions_&amp;_Inputs'!$E$41/'Assumptions_&amp;_Inputs'!$E$43,0)</f>
        <v>0</v>
      </c>
      <c r="BH47" s="356">
        <f>-IF(BH$12=1,'Assumptions_&amp;_Inputs'!$E$41/'Assumptions_&amp;_Inputs'!$E$43,0)</f>
        <v>0</v>
      </c>
      <c r="BI47" s="356">
        <f>-IF(BI$12=1,'Assumptions_&amp;_Inputs'!$E$41/'Assumptions_&amp;_Inputs'!$E$43,0)</f>
        <v>0</v>
      </c>
      <c r="BJ47" s="356">
        <f>-IF(BJ$12=1,'Assumptions_&amp;_Inputs'!$E$41/'Assumptions_&amp;_Inputs'!$E$43,0)</f>
        <v>0</v>
      </c>
      <c r="BK47" s="356">
        <f>-IF(BK$12=1,'Assumptions_&amp;_Inputs'!$E$41/'Assumptions_&amp;_Inputs'!$E$43,0)</f>
        <v>0</v>
      </c>
      <c r="BL47" s="356">
        <f>-IF(BL$12=1,'Assumptions_&amp;_Inputs'!$E$41/'Assumptions_&amp;_Inputs'!$E$43,0)</f>
        <v>0</v>
      </c>
      <c r="BM47" s="356">
        <f>-IF(BM$12=1,'Assumptions_&amp;_Inputs'!$E$41/'Assumptions_&amp;_Inputs'!$E$43,0)</f>
        <v>0</v>
      </c>
      <c r="BN47" s="356">
        <f>-IF(BN$12=1,'Assumptions_&amp;_Inputs'!$E$41/'Assumptions_&amp;_Inputs'!$E$43,0)</f>
        <v>0</v>
      </c>
      <c r="BO47" s="356">
        <f>-IF(BO$12=1,'Assumptions_&amp;_Inputs'!$E$41/'Assumptions_&amp;_Inputs'!$E$43,0)</f>
        <v>0</v>
      </c>
      <c r="BP47" s="356">
        <f>-IF(BP$12=1,'Assumptions_&amp;_Inputs'!$E$41/'Assumptions_&amp;_Inputs'!$E$43,0)</f>
        <v>0</v>
      </c>
      <c r="BQ47" s="356">
        <f>-IF(BQ$12=1,'Assumptions_&amp;_Inputs'!$E$41/'Assumptions_&amp;_Inputs'!$E$43,0)</f>
        <v>0</v>
      </c>
      <c r="BR47" s="356">
        <f>-IF(BR$12=1,'Assumptions_&amp;_Inputs'!$E$41/'Assumptions_&amp;_Inputs'!$E$43,0)</f>
        <v>0</v>
      </c>
      <c r="BS47" s="356">
        <f>-IF(BS$12=1,'Assumptions_&amp;_Inputs'!$E$41/'Assumptions_&amp;_Inputs'!$E$43,0)</f>
        <v>0</v>
      </c>
      <c r="BT47" s="356">
        <f>-IF(BT$12=1,'Assumptions_&amp;_Inputs'!$E$41/'Assumptions_&amp;_Inputs'!$E$43,0)</f>
        <v>0</v>
      </c>
      <c r="BU47" s="356">
        <f>-IF(BU$12=1,'Assumptions_&amp;_Inputs'!$E$41/'Assumptions_&amp;_Inputs'!$E$43,0)</f>
        <v>0</v>
      </c>
      <c r="BV47" s="356">
        <f>-IF(BV$12=1,'Assumptions_&amp;_Inputs'!$E$41/'Assumptions_&amp;_Inputs'!$E$43,0)</f>
        <v>0</v>
      </c>
      <c r="BW47" s="356">
        <f>-IF(BW$12=1,'Assumptions_&amp;_Inputs'!$E$41/'Assumptions_&amp;_Inputs'!$E$43,0)</f>
        <v>0</v>
      </c>
      <c r="BX47" s="356">
        <f>-IF(BX$12=1,'Assumptions_&amp;_Inputs'!$E$41/'Assumptions_&amp;_Inputs'!$E$43,0)</f>
        <v>0</v>
      </c>
      <c r="BY47" s="356">
        <f>-IF(BY$12=1,'Assumptions_&amp;_Inputs'!$E$41/'Assumptions_&amp;_Inputs'!$E$43,0)</f>
        <v>0</v>
      </c>
      <c r="BZ47" s="356">
        <f>-IF(BZ$12=1,'Assumptions_&amp;_Inputs'!$E$41/'Assumptions_&amp;_Inputs'!$E$43,0)</f>
        <v>0</v>
      </c>
      <c r="CA47" s="356">
        <f>-IF(CA$12=1,'Assumptions_&amp;_Inputs'!$E$41/'Assumptions_&amp;_Inputs'!$E$43,0)</f>
        <v>0</v>
      </c>
      <c r="CB47" s="356">
        <f>-IF(CB$12=1,'Assumptions_&amp;_Inputs'!$E$41/'Assumptions_&amp;_Inputs'!$E$43,0)</f>
        <v>0</v>
      </c>
      <c r="CC47" s="356">
        <f>-IF(CC$12=1,'Assumptions_&amp;_Inputs'!$E$41/'Assumptions_&amp;_Inputs'!$E$43,0)</f>
        <v>0</v>
      </c>
      <c r="CD47" s="356">
        <f>-IF(CD$12=1,'Assumptions_&amp;_Inputs'!$E$41/'Assumptions_&amp;_Inputs'!$E$43,0)</f>
        <v>0</v>
      </c>
      <c r="CE47" s="356">
        <f>-IF(CE$12=1,'Assumptions_&amp;_Inputs'!$E$41/'Assumptions_&amp;_Inputs'!$E$43,0)</f>
        <v>0</v>
      </c>
      <c r="CF47" s="356">
        <f>-IF(CF$12=1,'Assumptions_&amp;_Inputs'!$E$41/'Assumptions_&amp;_Inputs'!$E$43,0)</f>
        <v>0</v>
      </c>
      <c r="CG47" s="356">
        <f>-IF(CG$12=1,'Assumptions_&amp;_Inputs'!$E$41/'Assumptions_&amp;_Inputs'!$E$43,0)</f>
        <v>0</v>
      </c>
      <c r="CH47" s="356">
        <f>-IF(CH$12=1,'Assumptions_&amp;_Inputs'!$E$41/'Assumptions_&amp;_Inputs'!$E$43,0)</f>
        <v>0</v>
      </c>
      <c r="CI47" s="356">
        <f>-IF(CI$12=1,'Assumptions_&amp;_Inputs'!$E$41/'Assumptions_&amp;_Inputs'!$E$43,0)</f>
        <v>0</v>
      </c>
      <c r="CJ47" s="356">
        <f>-IF(CJ$12=1,'Assumptions_&amp;_Inputs'!$E$41/'Assumptions_&amp;_Inputs'!$E$43,0)</f>
        <v>0</v>
      </c>
      <c r="CK47" s="356">
        <f>-IF(CK$12=1,'Assumptions_&amp;_Inputs'!$E$41/'Assumptions_&amp;_Inputs'!$E$43,0)</f>
        <v>0</v>
      </c>
      <c r="CL47" s="356">
        <f>-IF(CL$12=1,'Assumptions_&amp;_Inputs'!$E$41/'Assumptions_&amp;_Inputs'!$E$43,0)</f>
        <v>0</v>
      </c>
      <c r="CM47" s="356">
        <f>-IF(CM$12=1,'Assumptions_&amp;_Inputs'!$E$41/'Assumptions_&amp;_Inputs'!$E$43,0)</f>
        <v>0</v>
      </c>
      <c r="CN47" s="356">
        <f>-IF(CN$12=1,'Assumptions_&amp;_Inputs'!$E$41/'Assumptions_&amp;_Inputs'!$E$43,0)</f>
        <v>0</v>
      </c>
      <c r="CO47" s="356">
        <f>-IF(CO$12=1,'Assumptions_&amp;_Inputs'!$E$41/'Assumptions_&amp;_Inputs'!$E$43,0)</f>
        <v>0</v>
      </c>
      <c r="CP47" s="356">
        <f>-IF(CP$12=1,'Assumptions_&amp;_Inputs'!$E$41/'Assumptions_&amp;_Inputs'!$E$43,0)</f>
        <v>0</v>
      </c>
      <c r="CQ47" s="356">
        <f>-IF(CQ$12=1,'Assumptions_&amp;_Inputs'!$E$41/'Assumptions_&amp;_Inputs'!$E$43,0)</f>
        <v>0</v>
      </c>
      <c r="CR47" s="356">
        <f>-IF(CR$12=1,'Assumptions_&amp;_Inputs'!$E$41/'Assumptions_&amp;_Inputs'!$E$43,0)</f>
        <v>0</v>
      </c>
      <c r="CS47" s="356">
        <f>-IF(CS$12=1,'Assumptions_&amp;_Inputs'!$E$41/'Assumptions_&amp;_Inputs'!$E$43,0)</f>
        <v>0</v>
      </c>
      <c r="CT47" s="356">
        <f>-IF(CT$12=1,'Assumptions_&amp;_Inputs'!$E$41/'Assumptions_&amp;_Inputs'!$E$43,0)</f>
        <v>0</v>
      </c>
      <c r="CU47" s="356">
        <f>-IF(CU$12=1,'Assumptions_&amp;_Inputs'!$E$41/'Assumptions_&amp;_Inputs'!$E$43,0)</f>
        <v>0</v>
      </c>
      <c r="CV47" s="356">
        <f>-IF(CV$12=1,'Assumptions_&amp;_Inputs'!$E$41/'Assumptions_&amp;_Inputs'!$E$43,0)</f>
        <v>0</v>
      </c>
      <c r="CW47" s="356">
        <f>-IF(CW$12=1,'Assumptions_&amp;_Inputs'!$E$41/'Assumptions_&amp;_Inputs'!$E$43,0)</f>
        <v>0</v>
      </c>
      <c r="CX47" s="356">
        <f>-IF(CX$12=1,'Assumptions_&amp;_Inputs'!$E$41/'Assumptions_&amp;_Inputs'!$E$43,0)</f>
        <v>0</v>
      </c>
      <c r="CY47" s="356">
        <f>-IF(CY$12=1,'Assumptions_&amp;_Inputs'!$E$41/'Assumptions_&amp;_Inputs'!$E$43,0)</f>
        <v>0</v>
      </c>
      <c r="CZ47" s="356">
        <f>-IF(CZ$12=1,'Assumptions_&amp;_Inputs'!$E$41/'Assumptions_&amp;_Inputs'!$E$43,0)</f>
        <v>0</v>
      </c>
      <c r="DA47" s="356">
        <f>-IF(DA$12=1,'Assumptions_&amp;_Inputs'!$E$41/'Assumptions_&amp;_Inputs'!$E$43,0)</f>
        <v>0</v>
      </c>
      <c r="DB47" s="356">
        <f>-IF(DB$12=1,'Assumptions_&amp;_Inputs'!$E$41/'Assumptions_&amp;_Inputs'!$E$43,0)</f>
        <v>0</v>
      </c>
      <c r="DC47" s="356">
        <f>-IF(DC$12=1,'Assumptions_&amp;_Inputs'!$E$41/'Assumptions_&amp;_Inputs'!$E$43,0)</f>
        <v>0</v>
      </c>
      <c r="DD47" s="356">
        <f>-IF(DD$12=1,'Assumptions_&amp;_Inputs'!$E$41/'Assumptions_&amp;_Inputs'!$E$43,0)</f>
        <v>0</v>
      </c>
      <c r="DE47" s="356">
        <f>-IF(DE$12=1,'Assumptions_&amp;_Inputs'!$E$41/'Assumptions_&amp;_Inputs'!$E$43,0)</f>
        <v>0</v>
      </c>
      <c r="DF47" s="356">
        <f>-IF(DF$12=1,'Assumptions_&amp;_Inputs'!$E$41/'Assumptions_&amp;_Inputs'!$E$43,0)</f>
        <v>0</v>
      </c>
      <c r="DG47" s="356">
        <f>-IF(DG$12=1,'Assumptions_&amp;_Inputs'!$E$41/'Assumptions_&amp;_Inputs'!$E$43,0)</f>
        <v>0</v>
      </c>
      <c r="DH47" s="356">
        <f>-IF(DH$12=1,'Assumptions_&amp;_Inputs'!$E$41/'Assumptions_&amp;_Inputs'!$E$43,0)</f>
        <v>0</v>
      </c>
      <c r="DI47" s="356">
        <f>-IF(DI$12=1,'Assumptions_&amp;_Inputs'!$E$41/'Assumptions_&amp;_Inputs'!$E$43,0)</f>
        <v>0</v>
      </c>
      <c r="DJ47" s="356">
        <f>-IF(DJ$12=1,'Assumptions_&amp;_Inputs'!$E$41/'Assumptions_&amp;_Inputs'!$E$43,0)</f>
        <v>0</v>
      </c>
      <c r="DK47" s="356">
        <f>-IF(DK$12=1,'Assumptions_&amp;_Inputs'!$E$41/'Assumptions_&amp;_Inputs'!$E$43,0)</f>
        <v>0</v>
      </c>
      <c r="DL47" s="356">
        <f>-IF(DL$12=1,'Assumptions_&amp;_Inputs'!$E$41/'Assumptions_&amp;_Inputs'!$E$43,0)</f>
        <v>0</v>
      </c>
      <c r="DM47" s="356">
        <f>-IF(DM$12=1,'Assumptions_&amp;_Inputs'!$E$41/'Assumptions_&amp;_Inputs'!$E$43,0)</f>
        <v>0</v>
      </c>
      <c r="DN47" s="356">
        <f>-IF(DN$12=1,'Assumptions_&amp;_Inputs'!$E$41/'Assumptions_&amp;_Inputs'!$E$43,0)</f>
        <v>0</v>
      </c>
      <c r="DO47" s="356">
        <f>-IF(DO$12=1,'Assumptions_&amp;_Inputs'!$E$41/'Assumptions_&amp;_Inputs'!$E$43,0)</f>
        <v>0</v>
      </c>
      <c r="DP47" s="356">
        <f>-IF(DP$12=1,'Assumptions_&amp;_Inputs'!$E$41/'Assumptions_&amp;_Inputs'!$E$43,0)</f>
        <v>0</v>
      </c>
      <c r="DQ47" s="356">
        <f>-IF(DQ$12=1,'Assumptions_&amp;_Inputs'!$E$41/'Assumptions_&amp;_Inputs'!$E$43,0)</f>
        <v>0</v>
      </c>
      <c r="DR47" s="356">
        <f>-IF(DR$12=1,'Assumptions_&amp;_Inputs'!$E$41/'Assumptions_&amp;_Inputs'!$E$43,0)</f>
        <v>0</v>
      </c>
      <c r="DS47" s="356">
        <f>-IF(DS$12=1,'Assumptions_&amp;_Inputs'!$E$41/'Assumptions_&amp;_Inputs'!$E$43,0)</f>
        <v>0</v>
      </c>
      <c r="DT47" s="356">
        <f>-IF(DT$12=1,'Assumptions_&amp;_Inputs'!$E$41/'Assumptions_&amp;_Inputs'!$E$43,0)</f>
        <v>0</v>
      </c>
      <c r="DU47" s="356">
        <f>-IF(DU$12=1,'Assumptions_&amp;_Inputs'!$E$41/'Assumptions_&amp;_Inputs'!$E$43,0)</f>
        <v>0</v>
      </c>
      <c r="DV47" s="356">
        <f>-IF(DV$12=1,'Assumptions_&amp;_Inputs'!$E$41/'Assumptions_&amp;_Inputs'!$E$43,0)</f>
        <v>0</v>
      </c>
      <c r="DW47" s="356">
        <f>-IF(DW$12=1,'Assumptions_&amp;_Inputs'!$E$41/'Assumptions_&amp;_Inputs'!$E$43,0)</f>
        <v>0</v>
      </c>
      <c r="DX47" s="356">
        <f>-IF(DX$12=1,'Assumptions_&amp;_Inputs'!$E$41/'Assumptions_&amp;_Inputs'!$E$43,0)</f>
        <v>0</v>
      </c>
      <c r="DY47" s="356">
        <f>-IF(DY$12=1,'Assumptions_&amp;_Inputs'!$E$41/'Assumptions_&amp;_Inputs'!$E$43,0)</f>
        <v>0</v>
      </c>
      <c r="DZ47" s="356">
        <f>-IF(DZ$12=1,'Assumptions_&amp;_Inputs'!$E$41/'Assumptions_&amp;_Inputs'!$E$43,0)</f>
        <v>0</v>
      </c>
      <c r="EA47" s="356">
        <f>-IF(EA$12=1,'Assumptions_&amp;_Inputs'!$E$41/'Assumptions_&amp;_Inputs'!$E$43,0)</f>
        <v>0</v>
      </c>
      <c r="EB47" s="356">
        <f>-IF(EB$12=1,'Assumptions_&amp;_Inputs'!$E$41/'Assumptions_&amp;_Inputs'!$E$43,0)</f>
        <v>0</v>
      </c>
      <c r="EC47" s="356">
        <f>-IF(EC$12=1,'Assumptions_&amp;_Inputs'!$E$41/'Assumptions_&amp;_Inputs'!$E$43,0)</f>
        <v>0</v>
      </c>
      <c r="ED47" s="356">
        <f>-IF(ED$12=1,'Assumptions_&amp;_Inputs'!$E$41/'Assumptions_&amp;_Inputs'!$E$43,0)</f>
        <v>0</v>
      </c>
      <c r="EE47" s="356">
        <f>-IF(EE$12=1,'Assumptions_&amp;_Inputs'!$E$41/'Assumptions_&amp;_Inputs'!$E$43,0)</f>
        <v>0</v>
      </c>
      <c r="EF47" s="356">
        <f>-IF(EF$12=1,'Assumptions_&amp;_Inputs'!$E$41/'Assumptions_&amp;_Inputs'!$E$43,0)</f>
        <v>0</v>
      </c>
      <c r="EG47" s="356">
        <f>-IF(EG$12=1,'Assumptions_&amp;_Inputs'!$E$41/'Assumptions_&amp;_Inputs'!$E$43,0)</f>
        <v>0</v>
      </c>
      <c r="EH47" s="356">
        <f>-IF(EH$12=1,'Assumptions_&amp;_Inputs'!$E$41/'Assumptions_&amp;_Inputs'!$E$43,0)</f>
        <v>0</v>
      </c>
      <c r="EI47" s="356">
        <f>-IF(EI$12=1,'Assumptions_&amp;_Inputs'!$E$41/'Assumptions_&amp;_Inputs'!$E$43,0)</f>
        <v>0</v>
      </c>
      <c r="EJ47" s="356">
        <f>-IF(EJ$12=1,'Assumptions_&amp;_Inputs'!$E$41/'Assumptions_&amp;_Inputs'!$E$43,0)</f>
        <v>0</v>
      </c>
      <c r="EK47" s="356">
        <f>-IF(EK$12=1,'Assumptions_&amp;_Inputs'!$E$41/'Assumptions_&amp;_Inputs'!$E$43,0)</f>
        <v>0</v>
      </c>
      <c r="EL47" s="356">
        <f>-IF(EL$12=1,'Assumptions_&amp;_Inputs'!$E$41/'Assumptions_&amp;_Inputs'!$E$43,0)</f>
        <v>0</v>
      </c>
      <c r="EM47" s="356">
        <f>-IF(EM$12=1,'Assumptions_&amp;_Inputs'!$E$41/'Assumptions_&amp;_Inputs'!$E$43,0)</f>
        <v>0</v>
      </c>
      <c r="EN47" s="356">
        <f>-IF(EN$12=1,'Assumptions_&amp;_Inputs'!$E$41/'Assumptions_&amp;_Inputs'!$E$43,0)</f>
        <v>0</v>
      </c>
      <c r="EO47" s="356">
        <f>-IF(EO$12=1,'Assumptions_&amp;_Inputs'!$E$41/'Assumptions_&amp;_Inputs'!$E$43,0)</f>
        <v>0</v>
      </c>
      <c r="EP47" s="356">
        <f>-IF(EP$12=1,'Assumptions_&amp;_Inputs'!$E$41/'Assumptions_&amp;_Inputs'!$E$43,0)</f>
        <v>0</v>
      </c>
      <c r="EQ47" s="356">
        <f>-IF(EQ$12=1,'Assumptions_&amp;_Inputs'!$E$41/'Assumptions_&amp;_Inputs'!$E$43,0)</f>
        <v>0</v>
      </c>
      <c r="ER47" s="356">
        <f>-IF(ER$12=1,'Assumptions_&amp;_Inputs'!$E$41/'Assumptions_&amp;_Inputs'!$E$43,0)</f>
        <v>0</v>
      </c>
      <c r="ES47" s="356">
        <f>-IF(ES$12=1,'Assumptions_&amp;_Inputs'!$E$41/'Assumptions_&amp;_Inputs'!$E$43,0)</f>
        <v>0</v>
      </c>
      <c r="ET47" s="356">
        <f>-IF(ET$12=1,'Assumptions_&amp;_Inputs'!$E$41/'Assumptions_&amp;_Inputs'!$E$43,0)</f>
        <v>0</v>
      </c>
      <c r="EU47" s="356">
        <f>-IF(EU$12=1,'Assumptions_&amp;_Inputs'!$E$41/'Assumptions_&amp;_Inputs'!$E$43,0)</f>
        <v>0</v>
      </c>
      <c r="EV47" s="356">
        <f>-IF(EV$12=1,'Assumptions_&amp;_Inputs'!$E$41/'Assumptions_&amp;_Inputs'!$E$43,0)</f>
        <v>0</v>
      </c>
      <c r="EW47" s="356">
        <f>-IF(EW$12=1,'Assumptions_&amp;_Inputs'!$E$41/'Assumptions_&amp;_Inputs'!$E$43,0)</f>
        <v>0</v>
      </c>
      <c r="EX47" s="356">
        <f>-IF(EX$12=1,'Assumptions_&amp;_Inputs'!$E$41/'Assumptions_&amp;_Inputs'!$E$43,0)</f>
        <v>0</v>
      </c>
      <c r="EY47" s="356">
        <f>-IF(EY$12=1,'Assumptions_&amp;_Inputs'!$E$41/'Assumptions_&amp;_Inputs'!$E$43,0)</f>
        <v>0</v>
      </c>
      <c r="EZ47" s="356">
        <f>-IF(EZ$12=1,'Assumptions_&amp;_Inputs'!$E$41/'Assumptions_&amp;_Inputs'!$E$43,0)</f>
        <v>0</v>
      </c>
      <c r="FA47" s="356">
        <f>-IF(FA$12=1,'Assumptions_&amp;_Inputs'!$E$41/'Assumptions_&amp;_Inputs'!$E$43,0)</f>
        <v>0</v>
      </c>
      <c r="FB47" s="356">
        <f>-IF(FB$12=1,'Assumptions_&amp;_Inputs'!$E$41/'Assumptions_&amp;_Inputs'!$E$43,0)</f>
        <v>0</v>
      </c>
      <c r="FC47" s="356">
        <f>-IF(FC$12=1,'Assumptions_&amp;_Inputs'!$E$41/'Assumptions_&amp;_Inputs'!$E$43,0)</f>
        <v>0</v>
      </c>
      <c r="FD47" s="356">
        <f>-IF(FD$12=1,'Assumptions_&amp;_Inputs'!$E$41/'Assumptions_&amp;_Inputs'!$E$43,0)</f>
        <v>0</v>
      </c>
      <c r="FE47" s="356">
        <f>-IF(FE$12=1,'Assumptions_&amp;_Inputs'!$E$41/'Assumptions_&amp;_Inputs'!$E$43,0)</f>
        <v>0</v>
      </c>
      <c r="FF47" s="356">
        <f>-IF(FF$12=1,'Assumptions_&amp;_Inputs'!$E$41/'Assumptions_&amp;_Inputs'!$E$43,0)</f>
        <v>0</v>
      </c>
      <c r="FG47" s="356">
        <f>-IF(FG$12=1,'Assumptions_&amp;_Inputs'!$E$41/'Assumptions_&amp;_Inputs'!$E$43,0)</f>
        <v>0</v>
      </c>
      <c r="FH47" s="356">
        <f>-IF(FH$12=1,'Assumptions_&amp;_Inputs'!$E$41/'Assumptions_&amp;_Inputs'!$E$43,0)</f>
        <v>0</v>
      </c>
      <c r="FI47" s="356">
        <f>-IF(FI$12=1,'Assumptions_&amp;_Inputs'!$E$41/'Assumptions_&amp;_Inputs'!$E$43,0)</f>
        <v>0</v>
      </c>
      <c r="FJ47" s="356">
        <f>-IF(FJ$12=1,'Assumptions_&amp;_Inputs'!$E$41/'Assumptions_&amp;_Inputs'!$E$43,0)</f>
        <v>0</v>
      </c>
      <c r="FK47" s="356">
        <f>-IF(FK$12=1,'Assumptions_&amp;_Inputs'!$E$41/'Assumptions_&amp;_Inputs'!$E$43,0)</f>
        <v>0</v>
      </c>
      <c r="FL47" s="356">
        <f>-IF(FL$12=1,'Assumptions_&amp;_Inputs'!$E$41/'Assumptions_&amp;_Inputs'!$E$43,0)</f>
        <v>0</v>
      </c>
      <c r="FM47" s="356">
        <f>-IF(FM$12=1,'Assumptions_&amp;_Inputs'!$E$41/'Assumptions_&amp;_Inputs'!$E$43,0)</f>
        <v>0</v>
      </c>
      <c r="FN47" s="356">
        <f>-IF(FN$12=1,'Assumptions_&amp;_Inputs'!$E$41/'Assumptions_&amp;_Inputs'!$E$43,0)</f>
        <v>0</v>
      </c>
      <c r="FO47" s="356">
        <f>-IF(FO$12=1,'Assumptions_&amp;_Inputs'!$E$41/'Assumptions_&amp;_Inputs'!$E$43,0)</f>
        <v>0</v>
      </c>
      <c r="FP47" s="356">
        <f>-IF(FP$12=1,'Assumptions_&amp;_Inputs'!$E$41/'Assumptions_&amp;_Inputs'!$E$43,0)</f>
        <v>0</v>
      </c>
      <c r="FQ47" s="356">
        <f>-IF(FQ$12=1,'Assumptions_&amp;_Inputs'!$E$41/'Assumptions_&amp;_Inputs'!$E$43,0)</f>
        <v>0</v>
      </c>
      <c r="FR47" s="356">
        <f>-IF(FR$12=1,'Assumptions_&amp;_Inputs'!$E$41/'Assumptions_&amp;_Inputs'!$E$43,0)</f>
        <v>0</v>
      </c>
      <c r="FS47" s="356">
        <f>-IF(FS$12=1,'Assumptions_&amp;_Inputs'!$E$41/'Assumptions_&amp;_Inputs'!$E$43,0)</f>
        <v>0</v>
      </c>
      <c r="FT47" s="356">
        <f>-IF(FT$12=1,'Assumptions_&amp;_Inputs'!$E$41/'Assumptions_&amp;_Inputs'!$E$43,0)</f>
        <v>0</v>
      </c>
      <c r="FU47" s="356">
        <f>-IF(FU$12=1,'Assumptions_&amp;_Inputs'!$E$41/'Assumptions_&amp;_Inputs'!$E$43,0)</f>
        <v>0</v>
      </c>
      <c r="FV47" s="356">
        <f>-IF(FV$12=1,'Assumptions_&amp;_Inputs'!$E$41/'Assumptions_&amp;_Inputs'!$E$43,0)</f>
        <v>0</v>
      </c>
      <c r="FW47" s="356">
        <f>-IF(FW$12=1,'Assumptions_&amp;_Inputs'!$E$41/'Assumptions_&amp;_Inputs'!$E$43,0)</f>
        <v>0</v>
      </c>
      <c r="FX47" s="356">
        <f>-IF(FX$12=1,'Assumptions_&amp;_Inputs'!$E$41/'Assumptions_&amp;_Inputs'!$E$43,0)</f>
        <v>0</v>
      </c>
      <c r="FY47" s="356">
        <f>-IF(FY$12=1,'Assumptions_&amp;_Inputs'!$E$41/'Assumptions_&amp;_Inputs'!$E$43,0)</f>
        <v>0</v>
      </c>
      <c r="FZ47" s="356">
        <f>-IF(FZ$12=1,'Assumptions_&amp;_Inputs'!$E$41/'Assumptions_&amp;_Inputs'!$E$43,0)</f>
        <v>0</v>
      </c>
      <c r="GA47" s="356">
        <f>-IF(GA$12=1,'Assumptions_&amp;_Inputs'!$E$41/'Assumptions_&amp;_Inputs'!$E$43,0)</f>
        <v>0</v>
      </c>
      <c r="GB47" s="356">
        <f>-IF(GB$12=1,'Assumptions_&amp;_Inputs'!$E$41/'Assumptions_&amp;_Inputs'!$E$43,0)</f>
        <v>0</v>
      </c>
      <c r="GC47" s="356">
        <f>-IF(GC$12=1,'Assumptions_&amp;_Inputs'!$E$41/'Assumptions_&amp;_Inputs'!$E$43,0)</f>
        <v>0</v>
      </c>
      <c r="GD47" s="356">
        <f>-IF(GD$12=1,'Assumptions_&amp;_Inputs'!$E$41/'Assumptions_&amp;_Inputs'!$E$43,0)</f>
        <v>0</v>
      </c>
      <c r="GE47" s="356">
        <f>-IF(GE$12=1,'Assumptions_&amp;_Inputs'!$E$41/'Assumptions_&amp;_Inputs'!$E$43,0)</f>
        <v>0</v>
      </c>
      <c r="GF47" s="356">
        <f>-IF(GF$12=1,'Assumptions_&amp;_Inputs'!$E$41/'Assumptions_&amp;_Inputs'!$E$43,0)</f>
        <v>0</v>
      </c>
      <c r="GG47" s="356">
        <f>-IF(GG$12=1,'Assumptions_&amp;_Inputs'!$E$41/'Assumptions_&amp;_Inputs'!$E$43,0)</f>
        <v>0</v>
      </c>
      <c r="GH47" s="356">
        <f>-IF(GH$12=1,'Assumptions_&amp;_Inputs'!$E$41/'Assumptions_&amp;_Inputs'!$E$43,0)</f>
        <v>0</v>
      </c>
      <c r="GI47" s="356">
        <f>-IF(GI$12=1,'Assumptions_&amp;_Inputs'!$E$41/'Assumptions_&amp;_Inputs'!$E$43,0)</f>
        <v>0</v>
      </c>
      <c r="GJ47" s="356">
        <f>-IF(GJ$12=1,'Assumptions_&amp;_Inputs'!$E$41/'Assumptions_&amp;_Inputs'!$E$43,0)</f>
        <v>0</v>
      </c>
      <c r="GK47" s="356">
        <f>-IF(GK$12=1,'Assumptions_&amp;_Inputs'!$E$41/'Assumptions_&amp;_Inputs'!$E$43,0)</f>
        <v>0</v>
      </c>
      <c r="GL47" s="356">
        <f>-IF(GL$12=1,'Assumptions_&amp;_Inputs'!$E$41/'Assumptions_&amp;_Inputs'!$E$43,0)</f>
        <v>0</v>
      </c>
      <c r="GM47" s="356">
        <f>-IF(GM$12=1,'Assumptions_&amp;_Inputs'!$E$41/'Assumptions_&amp;_Inputs'!$E$43,0)</f>
        <v>0</v>
      </c>
      <c r="GN47" s="356"/>
      <c r="GO47" s="356"/>
      <c r="GP47" s="356"/>
      <c r="GQ47" s="27"/>
      <c r="GR47" s="27"/>
      <c r="GS47" s="27"/>
      <c r="GT47" s="27"/>
      <c r="GU47" s="27"/>
      <c r="GV47" s="27"/>
      <c r="GW47" s="27"/>
      <c r="GX47" s="27"/>
      <c r="GY47" s="27"/>
      <c r="GZ47" s="27"/>
      <c r="HA47" s="27"/>
      <c r="HB47" s="27"/>
      <c r="HC47" s="27"/>
      <c r="HD47" s="27"/>
      <c r="HE47" s="27"/>
      <c r="HF47" s="27"/>
      <c r="HG47" s="27"/>
      <c r="HH47" s="27"/>
      <c r="HI47" s="27"/>
      <c r="HJ47" s="27"/>
      <c r="HK47" s="27"/>
      <c r="HL47" s="27"/>
      <c r="HM47" s="27"/>
      <c r="HN47" s="27"/>
      <c r="HO47" s="27"/>
      <c r="HP47" s="27"/>
      <c r="HQ47" s="27"/>
      <c r="HR47" s="27"/>
      <c r="HS47" s="27"/>
      <c r="HT47" s="27"/>
      <c r="HU47" s="27"/>
      <c r="HV47" s="27"/>
      <c r="HW47" s="27"/>
      <c r="HX47" s="27"/>
      <c r="HY47" s="27"/>
      <c r="HZ47" s="27"/>
      <c r="IA47" s="27"/>
      <c r="IB47" s="27"/>
      <c r="IC47" s="27"/>
      <c r="ID47" s="27"/>
      <c r="IE47" s="27"/>
      <c r="IF47" s="27"/>
      <c r="IG47" s="27"/>
      <c r="IH47" s="27"/>
      <c r="II47" s="27"/>
      <c r="IJ47" s="27"/>
      <c r="IK47" s="27"/>
      <c r="IL47" s="27"/>
      <c r="IM47" s="27"/>
      <c r="IN47" s="27"/>
      <c r="IO47" s="27"/>
      <c r="IP47" s="27"/>
      <c r="IQ47" s="27"/>
      <c r="IR47" s="27"/>
      <c r="IS47" s="27"/>
      <c r="IT47" s="27"/>
      <c r="IU47" s="27"/>
      <c r="IV47" s="27"/>
      <c r="IW47" s="27"/>
      <c r="IX47" s="27"/>
      <c r="IY47" s="27"/>
      <c r="IZ47" s="27"/>
      <c r="JA47" s="27"/>
      <c r="JB47" s="27"/>
      <c r="JC47" s="27"/>
      <c r="JD47" s="27"/>
      <c r="JE47" s="27"/>
      <c r="JF47" s="27"/>
      <c r="JG47" s="27"/>
      <c r="JH47" s="27"/>
      <c r="JI47" s="27"/>
      <c r="JJ47" s="27"/>
      <c r="JK47" s="27"/>
      <c r="JL47" s="27"/>
      <c r="JM47" s="27"/>
      <c r="JN47" s="27"/>
      <c r="JO47" s="27"/>
      <c r="JP47" s="27"/>
      <c r="JQ47" s="27"/>
      <c r="JR47" s="27"/>
      <c r="JS47" s="27"/>
      <c r="JT47" s="27"/>
      <c r="JU47" s="27"/>
      <c r="JV47" s="27"/>
      <c r="JW47" s="27"/>
      <c r="JX47" s="27"/>
      <c r="JY47" s="27"/>
      <c r="JZ47" s="27"/>
      <c r="KA47" s="27"/>
      <c r="KB47" s="27"/>
      <c r="KC47" s="27"/>
      <c r="KD47" s="27"/>
      <c r="KE47" s="27"/>
      <c r="KF47" s="27"/>
      <c r="KG47" s="27"/>
      <c r="KH47" s="27"/>
      <c r="KI47" s="27"/>
      <c r="KJ47" s="27"/>
      <c r="KK47" s="27"/>
      <c r="KL47" s="27"/>
      <c r="KM47" s="27"/>
      <c r="KN47" s="27"/>
      <c r="KO47" s="27"/>
      <c r="KP47" s="27"/>
      <c r="KQ47" s="27"/>
      <c r="KR47" s="27"/>
      <c r="KS47" s="27"/>
      <c r="KT47" s="27"/>
      <c r="KU47" s="27"/>
      <c r="KV47" s="27"/>
      <c r="KW47" s="27"/>
      <c r="KX47" s="27"/>
      <c r="KY47" s="27"/>
      <c r="KZ47" s="27"/>
      <c r="LA47" s="27"/>
      <c r="LB47" s="27"/>
      <c r="LC47" s="27"/>
      <c r="LD47" s="27"/>
      <c r="LE47" s="27"/>
      <c r="LF47" s="27"/>
      <c r="LG47" s="27"/>
      <c r="LH47" s="27"/>
      <c r="LI47" s="27"/>
      <c r="LJ47" s="27"/>
      <c r="LK47" s="27"/>
      <c r="LL47" s="27"/>
      <c r="LM47" s="27"/>
      <c r="LN47" s="27"/>
      <c r="LO47" s="27"/>
      <c r="LP47" s="27"/>
      <c r="LQ47" s="27"/>
      <c r="LR47" s="27"/>
      <c r="LS47" s="27"/>
      <c r="LT47" s="27"/>
      <c r="LU47" s="27"/>
      <c r="LV47" s="27"/>
      <c r="LW47" s="27"/>
      <c r="LX47" s="27"/>
      <c r="LY47" s="27"/>
      <c r="LZ47" s="27"/>
      <c r="MA47" s="27"/>
      <c r="MB47" s="27"/>
      <c r="MC47" s="27"/>
      <c r="MD47" s="27"/>
      <c r="ME47" s="27"/>
      <c r="MF47" s="27"/>
      <c r="MG47" s="27"/>
      <c r="MH47" s="27"/>
      <c r="MI47" s="27"/>
      <c r="MJ47" s="27"/>
      <c r="MK47" s="27"/>
      <c r="ML47" s="27"/>
      <c r="MM47" s="27"/>
      <c r="MN47" s="27"/>
      <c r="MO47" s="27"/>
      <c r="MP47" s="27"/>
      <c r="MQ47" s="27"/>
      <c r="MR47" s="27"/>
      <c r="MS47" s="27"/>
      <c r="MT47" s="27"/>
      <c r="MU47" s="27"/>
      <c r="MV47" s="27"/>
      <c r="MW47" s="27"/>
      <c r="MX47" s="27"/>
      <c r="MY47" s="27"/>
      <c r="MZ47" s="27"/>
      <c r="NA47" s="27"/>
      <c r="NB47" s="27"/>
    </row>
    <row r="48" spans="2:367" ht="16" customHeight="1" x14ac:dyDescent="0.15">
      <c r="B48" s="3" t="s">
        <v>236</v>
      </c>
      <c r="C48" s="3"/>
      <c r="D48" s="95"/>
      <c r="E48" s="322"/>
      <c r="F48" s="119">
        <f>F45+F47</f>
        <v>0</v>
      </c>
      <c r="G48" s="119">
        <f t="shared" ref="G48:BR48" si="123">G45+G47</f>
        <v>-31712.425534333335</v>
      </c>
      <c r="H48" s="119">
        <f t="shared" si="123"/>
        <v>-31712.425534333335</v>
      </c>
      <c r="I48" s="119">
        <f t="shared" si="123"/>
        <v>-31712.425534333335</v>
      </c>
      <c r="J48" s="119">
        <f t="shared" si="123"/>
        <v>-31712.425534333335</v>
      </c>
      <c r="K48" s="119">
        <f t="shared" si="123"/>
        <v>-31712.425534333335</v>
      </c>
      <c r="L48" s="119">
        <f t="shared" si="123"/>
        <v>-31712.425534333335</v>
      </c>
      <c r="M48" s="119">
        <f t="shared" si="123"/>
        <v>-31712.425534333335</v>
      </c>
      <c r="N48" s="119">
        <f t="shared" si="123"/>
        <v>-31712.425534333335</v>
      </c>
      <c r="O48" s="119">
        <f t="shared" si="123"/>
        <v>28450.780899166675</v>
      </c>
      <c r="P48" s="119">
        <f t="shared" si="123"/>
        <v>28450.780899166675</v>
      </c>
      <c r="Q48" s="119">
        <f t="shared" si="123"/>
        <v>28450.780899166675</v>
      </c>
      <c r="R48" s="119">
        <f t="shared" si="123"/>
        <v>28450.780899166675</v>
      </c>
      <c r="S48" s="119">
        <f t="shared" si="123"/>
        <v>29184.681202895841</v>
      </c>
      <c r="T48" s="119">
        <f t="shared" si="123"/>
        <v>29184.681202895841</v>
      </c>
      <c r="U48" s="119">
        <f t="shared" si="123"/>
        <v>29184.681202895841</v>
      </c>
      <c r="V48" s="119">
        <f t="shared" si="123"/>
        <v>29184.681202895841</v>
      </c>
      <c r="W48" s="119">
        <f t="shared" si="123"/>
        <v>29184.681202895841</v>
      </c>
      <c r="X48" s="119">
        <f t="shared" si="123"/>
        <v>29184.681202895841</v>
      </c>
      <c r="Y48" s="119">
        <f t="shared" si="123"/>
        <v>29184.681202895841</v>
      </c>
      <c r="Z48" s="119">
        <f t="shared" si="123"/>
        <v>29184.681202895841</v>
      </c>
      <c r="AA48" s="119">
        <f t="shared" si="123"/>
        <v>29184.681202895841</v>
      </c>
      <c r="AB48" s="119">
        <f t="shared" si="123"/>
        <v>29184.681202895841</v>
      </c>
      <c r="AC48" s="119">
        <f t="shared" si="123"/>
        <v>29184.681202895841</v>
      </c>
      <c r="AD48" s="119">
        <f t="shared" si="123"/>
        <v>29184.681202895841</v>
      </c>
      <c r="AE48" s="119">
        <f t="shared" si="123"/>
        <v>29937.381629843228</v>
      </c>
      <c r="AF48" s="119">
        <f t="shared" si="123"/>
        <v>29937.381629843228</v>
      </c>
      <c r="AG48" s="119">
        <f t="shared" si="123"/>
        <v>29937.381629843228</v>
      </c>
      <c r="AH48" s="119">
        <f t="shared" si="123"/>
        <v>29937.381629843228</v>
      </c>
      <c r="AI48" s="119">
        <f t="shared" si="123"/>
        <v>29937.381629843228</v>
      </c>
      <c r="AJ48" s="119">
        <f t="shared" si="123"/>
        <v>29937.381629843228</v>
      </c>
      <c r="AK48" s="119">
        <f t="shared" si="123"/>
        <v>29937.381629843228</v>
      </c>
      <c r="AL48" s="119">
        <f t="shared" si="123"/>
        <v>29937.381629843228</v>
      </c>
      <c r="AM48" s="119">
        <f t="shared" si="123"/>
        <v>29937.381629843228</v>
      </c>
      <c r="AN48" s="119">
        <f t="shared" si="123"/>
        <v>29937.381629843228</v>
      </c>
      <c r="AO48" s="119">
        <f t="shared" si="123"/>
        <v>29937.381629843228</v>
      </c>
      <c r="AP48" s="119">
        <f t="shared" si="123"/>
        <v>29937.381629843228</v>
      </c>
      <c r="AQ48" s="119">
        <f t="shared" si="123"/>
        <v>30709.361235401801</v>
      </c>
      <c r="AR48" s="119">
        <f t="shared" si="123"/>
        <v>30709.361235401801</v>
      </c>
      <c r="AS48" s="119">
        <f t="shared" si="123"/>
        <v>30709.361235401801</v>
      </c>
      <c r="AT48" s="119">
        <f t="shared" si="123"/>
        <v>30709.361235401801</v>
      </c>
      <c r="AU48" s="119">
        <f t="shared" si="123"/>
        <v>30709.361235401801</v>
      </c>
      <c r="AV48" s="119">
        <f t="shared" si="123"/>
        <v>30709.361235401801</v>
      </c>
      <c r="AW48" s="119">
        <f t="shared" si="123"/>
        <v>30709.361235401801</v>
      </c>
      <c r="AX48" s="119">
        <f t="shared" si="123"/>
        <v>30709.361235401801</v>
      </c>
      <c r="AY48" s="119">
        <f t="shared" si="123"/>
        <v>30709.361235401801</v>
      </c>
      <c r="AZ48" s="119">
        <f t="shared" si="123"/>
        <v>30709.361235401801</v>
      </c>
      <c r="BA48" s="119">
        <f t="shared" si="123"/>
        <v>30709.361235401801</v>
      </c>
      <c r="BB48" s="119">
        <f t="shared" si="123"/>
        <v>30709.361235401801</v>
      </c>
      <c r="BC48" s="119">
        <f t="shared" si="123"/>
        <v>31501.1112323956</v>
      </c>
      <c r="BD48" s="119">
        <f t="shared" si="123"/>
        <v>31501.1112323956</v>
      </c>
      <c r="BE48" s="119">
        <f t="shared" si="123"/>
        <v>31501.1112323956</v>
      </c>
      <c r="BF48" s="119">
        <f t="shared" si="123"/>
        <v>31501.1112323956</v>
      </c>
      <c r="BG48" s="119">
        <f t="shared" si="123"/>
        <v>31501.1112323956</v>
      </c>
      <c r="BH48" s="119">
        <f t="shared" si="123"/>
        <v>31501.1112323956</v>
      </c>
      <c r="BI48" s="119">
        <f t="shared" si="123"/>
        <v>31501.1112323956</v>
      </c>
      <c r="BJ48" s="119">
        <f t="shared" si="123"/>
        <v>31501.1112323956</v>
      </c>
      <c r="BK48" s="119">
        <f t="shared" si="123"/>
        <v>31501.1112323956</v>
      </c>
      <c r="BL48" s="119">
        <f t="shared" si="123"/>
        <v>31501.1112323956</v>
      </c>
      <c r="BM48" s="119">
        <f t="shared" si="123"/>
        <v>31501.1112323956</v>
      </c>
      <c r="BN48" s="119">
        <f t="shared" si="123"/>
        <v>31501.1112323956</v>
      </c>
      <c r="BO48" s="119">
        <f t="shared" si="123"/>
        <v>32313.135298636411</v>
      </c>
      <c r="BP48" s="119">
        <f t="shared" si="123"/>
        <v>32313.135298636411</v>
      </c>
      <c r="BQ48" s="119">
        <f t="shared" si="123"/>
        <v>32313.135298636411</v>
      </c>
      <c r="BR48" s="119">
        <f t="shared" si="123"/>
        <v>32313.135298636411</v>
      </c>
      <c r="BS48" s="119">
        <f t="shared" ref="BS48:ED48" si="124">BS45+BS47</f>
        <v>32313.135298636411</v>
      </c>
      <c r="BT48" s="119">
        <f t="shared" si="124"/>
        <v>32313.135298636411</v>
      </c>
      <c r="BU48" s="119">
        <f t="shared" si="124"/>
        <v>32313.135298636411</v>
      </c>
      <c r="BV48" s="119">
        <f t="shared" si="124"/>
        <v>32313.135298636411</v>
      </c>
      <c r="BW48" s="119">
        <f t="shared" si="124"/>
        <v>32313.135298636411</v>
      </c>
      <c r="BX48" s="119">
        <f t="shared" si="124"/>
        <v>32313.135298636411</v>
      </c>
      <c r="BY48" s="119">
        <f t="shared" si="124"/>
        <v>32313.135298636411</v>
      </c>
      <c r="BZ48" s="119">
        <f t="shared" si="124"/>
        <v>32313.135298636411</v>
      </c>
      <c r="CA48" s="119">
        <f t="shared" si="124"/>
        <v>33145.949892241857</v>
      </c>
      <c r="CB48" s="119">
        <f t="shared" si="124"/>
        <v>33145.949892241857</v>
      </c>
      <c r="CC48" s="119">
        <f t="shared" si="124"/>
        <v>33145.949892241857</v>
      </c>
      <c r="CD48" s="119">
        <f t="shared" si="124"/>
        <v>33145.949892241857</v>
      </c>
      <c r="CE48" s="119">
        <f t="shared" si="124"/>
        <v>33145.949892241857</v>
      </c>
      <c r="CF48" s="119">
        <f t="shared" si="124"/>
        <v>33145.949892241857</v>
      </c>
      <c r="CG48" s="119">
        <f t="shared" si="124"/>
        <v>33145.949892241857</v>
      </c>
      <c r="CH48" s="119">
        <f t="shared" si="124"/>
        <v>33145.949892241857</v>
      </c>
      <c r="CI48" s="119">
        <f t="shared" si="124"/>
        <v>33145.949892241857</v>
      </c>
      <c r="CJ48" s="119">
        <f t="shared" si="124"/>
        <v>33145.949892241857</v>
      </c>
      <c r="CK48" s="119">
        <f t="shared" si="124"/>
        <v>33145.949892241857</v>
      </c>
      <c r="CL48" s="119">
        <f t="shared" si="124"/>
        <v>33145.949892241857</v>
      </c>
      <c r="CM48" s="119">
        <f t="shared" si="124"/>
        <v>34000.08457491023</v>
      </c>
      <c r="CN48" s="119">
        <f t="shared" si="124"/>
        <v>34000.08457491023</v>
      </c>
      <c r="CO48" s="119">
        <f t="shared" si="124"/>
        <v>34000.08457491023</v>
      </c>
      <c r="CP48" s="119">
        <f t="shared" si="124"/>
        <v>34000.08457491023</v>
      </c>
      <c r="CQ48" s="119">
        <f t="shared" si="124"/>
        <v>34000.08457491023</v>
      </c>
      <c r="CR48" s="119">
        <f t="shared" si="124"/>
        <v>34000.08457491023</v>
      </c>
      <c r="CS48" s="119">
        <f t="shared" si="124"/>
        <v>34000.08457491023</v>
      </c>
      <c r="CT48" s="119">
        <f t="shared" si="124"/>
        <v>34000.08457491023</v>
      </c>
      <c r="CU48" s="119">
        <f t="shared" si="124"/>
        <v>34000.08457491023</v>
      </c>
      <c r="CV48" s="119">
        <f t="shared" si="124"/>
        <v>34000.08457491023</v>
      </c>
      <c r="CW48" s="119">
        <f t="shared" si="124"/>
        <v>34000.08457491023</v>
      </c>
      <c r="CX48" s="119">
        <f t="shared" si="124"/>
        <v>34000.08457491023</v>
      </c>
      <c r="CY48" s="119">
        <f t="shared" si="124"/>
        <v>34876.082343352566</v>
      </c>
      <c r="CZ48" s="119">
        <f t="shared" si="124"/>
        <v>34876.082343352566</v>
      </c>
      <c r="DA48" s="119">
        <f t="shared" si="124"/>
        <v>34876.082343352566</v>
      </c>
      <c r="DB48" s="119">
        <f t="shared" si="124"/>
        <v>34876.082343352566</v>
      </c>
      <c r="DC48" s="119">
        <f t="shared" si="124"/>
        <v>34876.082343352566</v>
      </c>
      <c r="DD48" s="119">
        <f t="shared" si="124"/>
        <v>34876.082343352566</v>
      </c>
      <c r="DE48" s="119">
        <f t="shared" si="124"/>
        <v>34876.082343352566</v>
      </c>
      <c r="DF48" s="119">
        <f t="shared" si="124"/>
        <v>34876.082343352566</v>
      </c>
      <c r="DG48" s="119">
        <f t="shared" si="124"/>
        <v>34876.082343352566</v>
      </c>
      <c r="DH48" s="119">
        <f t="shared" si="124"/>
        <v>34876.082343352566</v>
      </c>
      <c r="DI48" s="119">
        <f t="shared" si="124"/>
        <v>34876.082343352566</v>
      </c>
      <c r="DJ48" s="119">
        <f t="shared" si="124"/>
        <v>34876.082343352566</v>
      </c>
      <c r="DK48" s="119">
        <f t="shared" si="124"/>
        <v>35774.499969087345</v>
      </c>
      <c r="DL48" s="119">
        <f t="shared" si="124"/>
        <v>35774.499969087345</v>
      </c>
      <c r="DM48" s="119">
        <f t="shared" si="124"/>
        <v>35774.499969087345</v>
      </c>
      <c r="DN48" s="119">
        <f t="shared" si="124"/>
        <v>35774.499969087345</v>
      </c>
      <c r="DO48" s="119">
        <f t="shared" si="124"/>
        <v>35774.499969087345</v>
      </c>
      <c r="DP48" s="119">
        <f t="shared" si="124"/>
        <v>35774.499969087345</v>
      </c>
      <c r="DQ48" s="119">
        <f t="shared" si="124"/>
        <v>35774.499969087345</v>
      </c>
      <c r="DR48" s="119">
        <f t="shared" si="124"/>
        <v>35774.499969087345</v>
      </c>
      <c r="DS48" s="119">
        <f t="shared" si="124"/>
        <v>35774.499969087345</v>
      </c>
      <c r="DT48" s="119">
        <f t="shared" si="124"/>
        <v>35774.499969087345</v>
      </c>
      <c r="DU48" s="119">
        <f t="shared" si="124"/>
        <v>35774.499969087345</v>
      </c>
      <c r="DV48" s="119">
        <f t="shared" si="124"/>
        <v>35774.499969087345</v>
      </c>
      <c r="DW48" s="119">
        <f t="shared" si="124"/>
        <v>36695.908346808515</v>
      </c>
      <c r="DX48" s="119">
        <f t="shared" si="124"/>
        <v>36695.908346808515</v>
      </c>
      <c r="DY48" s="119">
        <f t="shared" si="124"/>
        <v>36695.908346808515</v>
      </c>
      <c r="DZ48" s="119">
        <f t="shared" si="124"/>
        <v>36695.908346808515</v>
      </c>
      <c r="EA48" s="119">
        <f t="shared" si="124"/>
        <v>36695.908346808515</v>
      </c>
      <c r="EB48" s="119">
        <f t="shared" si="124"/>
        <v>36695.908346808515</v>
      </c>
      <c r="EC48" s="119">
        <f t="shared" si="124"/>
        <v>36695.908346808515</v>
      </c>
      <c r="ED48" s="119">
        <f t="shared" si="124"/>
        <v>36695.908346808515</v>
      </c>
      <c r="EE48" s="119">
        <f t="shared" ref="EE48:GD48" si="125">EE45+EE47</f>
        <v>36695.908346808515</v>
      </c>
      <c r="EF48" s="119">
        <f t="shared" si="125"/>
        <v>36695.908346808515</v>
      </c>
      <c r="EG48" s="119">
        <f t="shared" si="125"/>
        <v>36695.908346808515</v>
      </c>
      <c r="EH48" s="119">
        <f t="shared" si="125"/>
        <v>36695.908346808515</v>
      </c>
      <c r="EI48" s="119">
        <f t="shared" si="125"/>
        <v>37640.892851542594</v>
      </c>
      <c r="EJ48" s="119">
        <f t="shared" si="125"/>
        <v>37640.892851542594</v>
      </c>
      <c r="EK48" s="119">
        <f t="shared" si="125"/>
        <v>37640.892851542594</v>
      </c>
      <c r="EL48" s="119">
        <f t="shared" si="125"/>
        <v>37640.892851542594</v>
      </c>
      <c r="EM48" s="119">
        <f t="shared" si="125"/>
        <v>37640.892851542594</v>
      </c>
      <c r="EN48" s="119">
        <f t="shared" si="125"/>
        <v>37640.892851542594</v>
      </c>
      <c r="EO48" s="119">
        <f t="shared" si="125"/>
        <v>37640.892851542594</v>
      </c>
      <c r="EP48" s="119">
        <f t="shared" si="125"/>
        <v>37640.892851542594</v>
      </c>
      <c r="EQ48" s="119">
        <f t="shared" si="125"/>
        <v>37640.892851542594</v>
      </c>
      <c r="ER48" s="119">
        <f t="shared" si="125"/>
        <v>37640.892851542594</v>
      </c>
      <c r="ES48" s="119">
        <f t="shared" si="125"/>
        <v>37640.892851542594</v>
      </c>
      <c r="ET48" s="119">
        <f t="shared" si="125"/>
        <v>37640.892851542594</v>
      </c>
      <c r="EU48" s="119">
        <f t="shared" si="125"/>
        <v>38610.053704816302</v>
      </c>
      <c r="EV48" s="119">
        <f t="shared" si="125"/>
        <v>38610.053704816302</v>
      </c>
      <c r="EW48" s="119">
        <f t="shared" si="125"/>
        <v>38610.053704816302</v>
      </c>
      <c r="EX48" s="119">
        <f t="shared" si="125"/>
        <v>38610.053704816302</v>
      </c>
      <c r="EY48" s="119">
        <f t="shared" si="125"/>
        <v>38610.053704816302</v>
      </c>
      <c r="EZ48" s="119">
        <f t="shared" si="125"/>
        <v>38610.053704816302</v>
      </c>
      <c r="FA48" s="119">
        <f t="shared" si="125"/>
        <v>38610.053704816302</v>
      </c>
      <c r="FB48" s="119">
        <f t="shared" si="125"/>
        <v>38610.053704816302</v>
      </c>
      <c r="FC48" s="119">
        <f t="shared" si="125"/>
        <v>38610.053704816302</v>
      </c>
      <c r="FD48" s="119">
        <f t="shared" si="125"/>
        <v>38610.053704816302</v>
      </c>
      <c r="FE48" s="119">
        <f t="shared" si="125"/>
        <v>38610.053704816302</v>
      </c>
      <c r="FF48" s="119">
        <f t="shared" si="125"/>
        <v>38610.053704816302</v>
      </c>
      <c r="FG48" s="119">
        <f t="shared" si="125"/>
        <v>39604.006350061558</v>
      </c>
      <c r="FH48" s="119">
        <f t="shared" si="125"/>
        <v>39604.006350061558</v>
      </c>
      <c r="FI48" s="119">
        <f t="shared" si="125"/>
        <v>39604.006350061558</v>
      </c>
      <c r="FJ48" s="119">
        <f t="shared" si="125"/>
        <v>39604.006350061558</v>
      </c>
      <c r="FK48" s="119">
        <f t="shared" si="125"/>
        <v>39604.006350061558</v>
      </c>
      <c r="FL48" s="119">
        <f t="shared" si="125"/>
        <v>39604.006350061558</v>
      </c>
      <c r="FM48" s="119">
        <f t="shared" si="125"/>
        <v>39604.006350061558</v>
      </c>
      <c r="FN48" s="119">
        <f t="shared" si="125"/>
        <v>39604.006350061558</v>
      </c>
      <c r="FO48" s="119">
        <f t="shared" si="125"/>
        <v>39604.006350061558</v>
      </c>
      <c r="FP48" s="119">
        <f t="shared" si="125"/>
        <v>39604.006350061558</v>
      </c>
      <c r="FQ48" s="119">
        <f t="shared" si="125"/>
        <v>39604.006350061558</v>
      </c>
      <c r="FR48" s="119">
        <f t="shared" si="125"/>
        <v>39604.006350061558</v>
      </c>
      <c r="FS48" s="119">
        <f t="shared" si="125"/>
        <v>40623.381837490444</v>
      </c>
      <c r="FT48" s="119">
        <f t="shared" si="125"/>
        <v>40623.381837490444</v>
      </c>
      <c r="FU48" s="119">
        <f t="shared" si="125"/>
        <v>40623.381837490444</v>
      </c>
      <c r="FV48" s="119">
        <f t="shared" si="125"/>
        <v>40623.381837490444</v>
      </c>
      <c r="FW48" s="119">
        <f t="shared" si="125"/>
        <v>40623.381837490444</v>
      </c>
      <c r="FX48" s="119">
        <f t="shared" si="125"/>
        <v>40623.381837490444</v>
      </c>
      <c r="FY48" s="119">
        <f t="shared" si="125"/>
        <v>40623.381837490444</v>
      </c>
      <c r="FZ48" s="119">
        <f t="shared" si="125"/>
        <v>40623.381837490444</v>
      </c>
      <c r="GA48" s="119">
        <f t="shared" si="125"/>
        <v>40623.381837490444</v>
      </c>
      <c r="GB48" s="119">
        <f t="shared" si="125"/>
        <v>40623.381837490444</v>
      </c>
      <c r="GC48" s="119">
        <f t="shared" si="125"/>
        <v>40623.381837490444</v>
      </c>
      <c r="GD48" s="119">
        <f t="shared" si="125"/>
        <v>40623.381837490444</v>
      </c>
      <c r="GE48" s="119">
        <f t="shared" ref="GE48" si="126">GE45+GE47</f>
        <v>41668.827218678591</v>
      </c>
      <c r="GF48" s="119">
        <f t="shared" ref="GF48" si="127">GF45+GF47</f>
        <v>41668.827218678591</v>
      </c>
      <c r="GG48" s="119">
        <f t="shared" ref="GG48" si="128">GG45+GG47</f>
        <v>41668.827218678591</v>
      </c>
      <c r="GH48" s="119">
        <f t="shared" ref="GH48" si="129">GH45+GH47</f>
        <v>41668.827218678591</v>
      </c>
      <c r="GI48" s="119">
        <f t="shared" ref="GI48" si="130">GI45+GI47</f>
        <v>41668.827218678591</v>
      </c>
      <c r="GJ48" s="119">
        <f t="shared" ref="GJ48" si="131">GJ45+GJ47</f>
        <v>41668.827218678591</v>
      </c>
      <c r="GK48" s="119">
        <f t="shared" ref="GK48" si="132">GK45+GK47</f>
        <v>41668.827218678591</v>
      </c>
      <c r="GL48" s="119">
        <f t="shared" ref="GL48" si="133">GL45+GL47</f>
        <v>41668.827218678591</v>
      </c>
      <c r="GM48" s="119">
        <f t="shared" ref="GM48" si="134">GM45+GM47</f>
        <v>41668.827218678591</v>
      </c>
      <c r="GN48" s="119"/>
      <c r="GO48" s="119"/>
      <c r="GP48" s="119"/>
      <c r="GQ48" s="27"/>
      <c r="GR48" s="27"/>
      <c r="GS48" s="27"/>
      <c r="GT48" s="27"/>
      <c r="GU48" s="27"/>
      <c r="GV48" s="27"/>
      <c r="GW48" s="27"/>
      <c r="GX48" s="27"/>
      <c r="GY48" s="27"/>
      <c r="GZ48" s="27"/>
      <c r="HA48" s="27"/>
      <c r="HB48" s="27"/>
      <c r="HC48" s="27"/>
      <c r="HD48" s="27"/>
      <c r="HE48" s="27"/>
      <c r="HF48" s="27"/>
      <c r="HG48" s="27"/>
      <c r="HH48" s="27"/>
      <c r="HI48" s="27"/>
      <c r="HJ48" s="27"/>
      <c r="HK48" s="27"/>
      <c r="HL48" s="27"/>
      <c r="HM48" s="27"/>
      <c r="HN48" s="27"/>
      <c r="HO48" s="27"/>
      <c r="HP48" s="27"/>
      <c r="HQ48" s="27"/>
      <c r="HR48" s="27"/>
      <c r="HS48" s="27"/>
      <c r="HT48" s="27"/>
      <c r="HU48" s="27"/>
      <c r="HV48" s="27"/>
      <c r="HW48" s="27"/>
      <c r="HX48" s="27"/>
      <c r="HY48" s="27"/>
      <c r="HZ48" s="27"/>
      <c r="IA48" s="27"/>
      <c r="IB48" s="27"/>
      <c r="IC48" s="27"/>
      <c r="ID48" s="27"/>
      <c r="IE48" s="27"/>
      <c r="IF48" s="27"/>
      <c r="IG48" s="27"/>
      <c r="IH48" s="27"/>
      <c r="II48" s="27"/>
      <c r="IJ48" s="27"/>
      <c r="IK48" s="27"/>
      <c r="IL48" s="27"/>
      <c r="IM48" s="27"/>
      <c r="IN48" s="27"/>
      <c r="IO48" s="27"/>
      <c r="IP48" s="27"/>
      <c r="IQ48" s="27"/>
      <c r="IR48" s="27"/>
      <c r="IS48" s="27"/>
      <c r="IT48" s="27"/>
      <c r="IU48" s="27"/>
      <c r="IV48" s="27"/>
      <c r="IW48" s="27"/>
      <c r="IX48" s="27"/>
      <c r="IY48" s="27"/>
      <c r="IZ48" s="27"/>
      <c r="JA48" s="27"/>
      <c r="JB48" s="27"/>
      <c r="JC48" s="27"/>
      <c r="JD48" s="27"/>
      <c r="JE48" s="27"/>
      <c r="JF48" s="27"/>
      <c r="JG48" s="27"/>
      <c r="JH48" s="27"/>
      <c r="JI48" s="27"/>
      <c r="JJ48" s="27"/>
      <c r="JK48" s="27"/>
      <c r="JL48" s="27"/>
      <c r="JM48" s="27"/>
      <c r="JN48" s="27"/>
      <c r="JO48" s="27"/>
      <c r="JP48" s="27"/>
      <c r="JQ48" s="27"/>
      <c r="JR48" s="27"/>
      <c r="JS48" s="27"/>
      <c r="JT48" s="27"/>
      <c r="JU48" s="27"/>
      <c r="JV48" s="27"/>
      <c r="JW48" s="27"/>
      <c r="JX48" s="27"/>
      <c r="JY48" s="27"/>
      <c r="JZ48" s="27"/>
      <c r="KA48" s="27"/>
      <c r="KB48" s="27"/>
      <c r="KC48" s="27"/>
      <c r="KD48" s="27"/>
      <c r="KE48" s="27"/>
      <c r="KF48" s="27"/>
      <c r="KG48" s="27"/>
      <c r="KH48" s="27"/>
      <c r="KI48" s="27"/>
      <c r="KJ48" s="27"/>
      <c r="KK48" s="27"/>
      <c r="KL48" s="27"/>
      <c r="KM48" s="27"/>
      <c r="KN48" s="27"/>
      <c r="KO48" s="27"/>
      <c r="KP48" s="27"/>
      <c r="KQ48" s="27"/>
      <c r="KR48" s="27"/>
      <c r="KS48" s="27"/>
      <c r="KT48" s="27"/>
      <c r="KU48" s="27"/>
      <c r="KV48" s="27"/>
      <c r="KW48" s="27"/>
      <c r="KX48" s="27"/>
      <c r="KY48" s="27"/>
      <c r="KZ48" s="27"/>
      <c r="LA48" s="27"/>
      <c r="LB48" s="27"/>
      <c r="LC48" s="27"/>
      <c r="LD48" s="27"/>
      <c r="LE48" s="27"/>
      <c r="LF48" s="27"/>
      <c r="LG48" s="27"/>
      <c r="LH48" s="27"/>
      <c r="LI48" s="27"/>
      <c r="LJ48" s="27"/>
      <c r="LK48" s="27"/>
      <c r="LL48" s="27"/>
      <c r="LM48" s="27"/>
      <c r="LN48" s="27"/>
      <c r="LO48" s="27"/>
      <c r="LP48" s="27"/>
      <c r="LQ48" s="27"/>
      <c r="LR48" s="27"/>
      <c r="LS48" s="27"/>
      <c r="LT48" s="27"/>
      <c r="LU48" s="27"/>
      <c r="LV48" s="27"/>
      <c r="LW48" s="27"/>
      <c r="LX48" s="27"/>
      <c r="LY48" s="27"/>
      <c r="LZ48" s="27"/>
      <c r="MA48" s="27"/>
      <c r="MB48" s="27"/>
      <c r="MC48" s="27"/>
      <c r="MD48" s="27"/>
      <c r="ME48" s="27"/>
      <c r="MF48" s="27"/>
      <c r="MG48" s="27"/>
      <c r="MH48" s="27"/>
      <c r="MI48" s="27"/>
      <c r="MJ48" s="27"/>
      <c r="MK48" s="27"/>
      <c r="ML48" s="27"/>
      <c r="MM48" s="27"/>
      <c r="MN48" s="27"/>
      <c r="MO48" s="27"/>
      <c r="MP48" s="27"/>
      <c r="MQ48" s="27"/>
      <c r="MR48" s="27"/>
      <c r="MS48" s="27"/>
      <c r="MT48" s="27"/>
      <c r="MU48" s="27"/>
      <c r="MV48" s="27"/>
      <c r="MW48" s="27"/>
      <c r="MX48" s="27"/>
      <c r="MY48" s="27"/>
      <c r="MZ48" s="27"/>
      <c r="NA48" s="27"/>
      <c r="NB48" s="27"/>
    </row>
    <row r="49" spans="2:366" ht="16" customHeight="1" x14ac:dyDescent="0.15">
      <c r="B49" s="3"/>
      <c r="C49" s="3"/>
      <c r="D49" s="95"/>
      <c r="E49" s="322"/>
      <c r="F49" s="119"/>
      <c r="G49" s="119"/>
      <c r="H49" s="119"/>
      <c r="I49" s="119"/>
      <c r="J49" s="119"/>
      <c r="K49" s="119"/>
      <c r="L49" s="119"/>
      <c r="M49" s="119"/>
      <c r="N49" s="119"/>
      <c r="O49" s="119"/>
      <c r="P49" s="119"/>
      <c r="Q49" s="119"/>
      <c r="R49" s="119"/>
      <c r="S49" s="119"/>
      <c r="T49" s="119"/>
      <c r="U49" s="119"/>
      <c r="V49" s="119"/>
      <c r="W49" s="119"/>
      <c r="X49" s="119"/>
      <c r="Y49" s="119"/>
      <c r="Z49" s="119"/>
      <c r="AA49" s="119"/>
      <c r="AB49" s="119"/>
      <c r="AC49" s="119"/>
      <c r="AD49" s="119"/>
      <c r="AE49" s="119"/>
      <c r="AF49" s="119"/>
      <c r="AG49" s="119"/>
      <c r="AH49" s="119"/>
      <c r="AI49" s="119"/>
      <c r="AJ49" s="119"/>
      <c r="AK49" s="119"/>
      <c r="AL49" s="119"/>
      <c r="AM49" s="119"/>
      <c r="AN49" s="119"/>
      <c r="AO49" s="119"/>
      <c r="AP49" s="119"/>
      <c r="AQ49" s="119"/>
      <c r="AR49" s="119"/>
      <c r="AS49" s="119"/>
      <c r="AT49" s="119"/>
      <c r="AU49" s="119"/>
      <c r="AV49" s="119"/>
      <c r="AW49" s="119"/>
      <c r="AX49" s="119"/>
      <c r="AY49" s="119"/>
      <c r="AZ49" s="119"/>
      <c r="BA49" s="119"/>
      <c r="BB49" s="119"/>
      <c r="BC49" s="119"/>
      <c r="BD49" s="119"/>
      <c r="BE49" s="119"/>
      <c r="BF49" s="119"/>
      <c r="BG49" s="119"/>
      <c r="BH49" s="119"/>
      <c r="BI49" s="119"/>
      <c r="BJ49" s="119"/>
      <c r="BK49" s="119"/>
      <c r="BL49" s="119"/>
      <c r="BM49" s="119"/>
      <c r="BN49" s="119"/>
      <c r="BO49" s="119"/>
      <c r="BP49" s="119"/>
      <c r="BQ49" s="119"/>
      <c r="BR49" s="119"/>
      <c r="BS49" s="119"/>
      <c r="BT49" s="119"/>
      <c r="BU49" s="119"/>
      <c r="BV49" s="119"/>
      <c r="BW49" s="119"/>
      <c r="BX49" s="119"/>
      <c r="BY49" s="119"/>
      <c r="BZ49" s="119"/>
      <c r="CA49" s="119"/>
      <c r="CB49" s="119"/>
      <c r="CC49" s="119"/>
      <c r="CD49" s="119"/>
      <c r="CE49" s="119"/>
      <c r="CF49" s="119"/>
      <c r="CG49" s="119"/>
      <c r="CH49" s="119"/>
      <c r="CI49" s="119"/>
      <c r="CJ49" s="119"/>
      <c r="CK49" s="119"/>
      <c r="CL49" s="119"/>
      <c r="CM49" s="119"/>
      <c r="CN49" s="119"/>
      <c r="CO49" s="119"/>
      <c r="CP49" s="119"/>
      <c r="CQ49" s="119"/>
      <c r="CR49" s="119"/>
      <c r="CS49" s="119"/>
      <c r="CT49" s="119"/>
      <c r="CU49" s="119"/>
      <c r="CV49" s="119"/>
      <c r="CW49" s="119"/>
      <c r="CX49" s="119"/>
      <c r="CY49" s="119"/>
      <c r="CZ49" s="119"/>
      <c r="DA49" s="119"/>
      <c r="DB49" s="119"/>
      <c r="DC49" s="119"/>
      <c r="DD49" s="119"/>
      <c r="DE49" s="119"/>
      <c r="DF49" s="119"/>
      <c r="DG49" s="119"/>
      <c r="DH49" s="119"/>
      <c r="DI49" s="119"/>
      <c r="DJ49" s="119"/>
      <c r="DK49" s="119"/>
      <c r="DL49" s="119"/>
      <c r="DM49" s="119"/>
      <c r="DN49" s="119"/>
      <c r="DO49" s="119"/>
      <c r="DP49" s="119"/>
      <c r="DQ49" s="119"/>
      <c r="DR49" s="119"/>
      <c r="DS49" s="119"/>
      <c r="DT49" s="119"/>
      <c r="DU49" s="119"/>
      <c r="DV49" s="119"/>
      <c r="DW49" s="119"/>
      <c r="DX49" s="119"/>
      <c r="DY49" s="119"/>
      <c r="DZ49" s="119"/>
      <c r="EA49" s="119"/>
      <c r="EB49" s="119"/>
      <c r="EC49" s="119"/>
      <c r="ED49" s="119"/>
      <c r="EE49" s="119"/>
      <c r="EF49" s="119"/>
      <c r="EG49" s="119"/>
      <c r="EH49" s="119"/>
      <c r="EI49" s="119"/>
      <c r="EJ49" s="119"/>
      <c r="EK49" s="119"/>
      <c r="EL49" s="119"/>
      <c r="EM49" s="119"/>
      <c r="EN49" s="119"/>
      <c r="EO49" s="119"/>
      <c r="EP49" s="119"/>
      <c r="EQ49" s="119"/>
      <c r="ER49" s="119"/>
      <c r="ES49" s="119"/>
      <c r="ET49" s="119"/>
      <c r="EU49" s="119"/>
      <c r="EV49" s="119"/>
      <c r="EW49" s="119"/>
      <c r="EX49" s="119"/>
      <c r="EY49" s="119"/>
      <c r="EZ49" s="119"/>
      <c r="FA49" s="119"/>
      <c r="FB49" s="119"/>
      <c r="FC49" s="119"/>
      <c r="FD49" s="119"/>
      <c r="FE49" s="119"/>
      <c r="FF49" s="119"/>
      <c r="FG49" s="119"/>
      <c r="FH49" s="119"/>
      <c r="FI49" s="119"/>
      <c r="FJ49" s="119"/>
      <c r="FK49" s="119"/>
      <c r="FL49" s="119"/>
      <c r="FM49" s="119"/>
      <c r="FN49" s="119"/>
      <c r="FO49" s="119"/>
      <c r="FP49" s="119"/>
      <c r="FQ49" s="119"/>
      <c r="FR49" s="119"/>
      <c r="FS49" s="119"/>
      <c r="FT49" s="119"/>
      <c r="FU49" s="119"/>
      <c r="FV49" s="119"/>
      <c r="FW49" s="119"/>
      <c r="FX49" s="119"/>
      <c r="FY49" s="119"/>
      <c r="FZ49" s="119"/>
      <c r="GA49" s="119"/>
      <c r="GB49" s="119"/>
      <c r="GC49" s="119"/>
      <c r="GD49" s="119"/>
      <c r="GE49" s="119"/>
      <c r="GF49" s="119"/>
      <c r="GG49" s="119"/>
      <c r="GH49" s="119"/>
      <c r="GI49" s="119"/>
      <c r="GJ49" s="119"/>
      <c r="GK49" s="119"/>
      <c r="GL49" s="119"/>
      <c r="GM49" s="119"/>
      <c r="GN49" s="119"/>
      <c r="GO49" s="119"/>
      <c r="GP49" s="119"/>
      <c r="GQ49" s="27"/>
      <c r="GR49" s="27"/>
      <c r="GS49" s="27"/>
      <c r="GT49" s="27"/>
      <c r="GU49" s="27"/>
      <c r="GV49" s="27"/>
      <c r="GW49" s="27"/>
      <c r="GX49" s="27"/>
      <c r="GY49" s="27"/>
      <c r="GZ49" s="27"/>
      <c r="HA49" s="27"/>
      <c r="HB49" s="27"/>
      <c r="HC49" s="27"/>
      <c r="HD49" s="27"/>
      <c r="HE49" s="27"/>
      <c r="HF49" s="27"/>
      <c r="HG49" s="27"/>
      <c r="HH49" s="27"/>
      <c r="HI49" s="27"/>
      <c r="HJ49" s="27"/>
      <c r="HK49" s="27"/>
      <c r="HL49" s="27"/>
      <c r="HM49" s="27"/>
      <c r="HN49" s="27"/>
      <c r="HO49" s="27"/>
      <c r="HP49" s="27"/>
      <c r="HQ49" s="27"/>
      <c r="HR49" s="27"/>
      <c r="HS49" s="27"/>
      <c r="HT49" s="27"/>
      <c r="HU49" s="27"/>
      <c r="HV49" s="27"/>
      <c r="HW49" s="27"/>
      <c r="HX49" s="27"/>
      <c r="HY49" s="27"/>
      <c r="HZ49" s="27"/>
      <c r="IA49" s="27"/>
      <c r="IB49" s="27"/>
      <c r="IC49" s="27"/>
      <c r="ID49" s="27"/>
      <c r="IE49" s="27"/>
      <c r="IF49" s="27"/>
      <c r="IG49" s="27"/>
      <c r="IH49" s="27"/>
      <c r="II49" s="27"/>
      <c r="IJ49" s="27"/>
      <c r="IK49" s="27"/>
      <c r="IL49" s="27"/>
      <c r="IM49" s="27"/>
      <c r="IN49" s="27"/>
      <c r="IO49" s="27"/>
      <c r="IP49" s="27"/>
      <c r="IQ49" s="27"/>
      <c r="IR49" s="27"/>
      <c r="IS49" s="27"/>
      <c r="IT49" s="27"/>
      <c r="IU49" s="27"/>
      <c r="IV49" s="27"/>
      <c r="IW49" s="27"/>
      <c r="IX49" s="27"/>
      <c r="IY49" s="27"/>
      <c r="IZ49" s="27"/>
      <c r="JA49" s="27"/>
      <c r="JB49" s="27"/>
      <c r="JC49" s="27"/>
      <c r="JD49" s="27"/>
      <c r="JE49" s="27"/>
      <c r="JF49" s="27"/>
      <c r="JG49" s="27"/>
      <c r="JH49" s="27"/>
      <c r="JI49" s="27"/>
      <c r="JJ49" s="27"/>
      <c r="JK49" s="27"/>
      <c r="JL49" s="27"/>
      <c r="JM49" s="27"/>
      <c r="JN49" s="27"/>
      <c r="JO49" s="27"/>
      <c r="JP49" s="27"/>
      <c r="JQ49" s="27"/>
      <c r="JR49" s="27"/>
      <c r="JS49" s="27"/>
      <c r="JT49" s="27"/>
      <c r="JU49" s="27"/>
      <c r="JV49" s="27"/>
      <c r="JW49" s="27"/>
      <c r="JX49" s="27"/>
      <c r="JY49" s="27"/>
      <c r="JZ49" s="27"/>
      <c r="KA49" s="27"/>
      <c r="KB49" s="27"/>
      <c r="KC49" s="27"/>
      <c r="KD49" s="27"/>
      <c r="KE49" s="27"/>
      <c r="KF49" s="27"/>
      <c r="KG49" s="27"/>
      <c r="KH49" s="27"/>
      <c r="KI49" s="27"/>
      <c r="KJ49" s="27"/>
      <c r="KK49" s="27"/>
      <c r="KL49" s="27"/>
      <c r="KM49" s="27"/>
      <c r="KN49" s="27"/>
      <c r="KO49" s="27"/>
      <c r="KP49" s="27"/>
      <c r="KQ49" s="27"/>
      <c r="KR49" s="27"/>
      <c r="KS49" s="27"/>
      <c r="KT49" s="27"/>
      <c r="KU49" s="27"/>
      <c r="KV49" s="27"/>
      <c r="KW49" s="27"/>
      <c r="KX49" s="27"/>
      <c r="KY49" s="27"/>
      <c r="KZ49" s="27"/>
      <c r="LA49" s="27"/>
      <c r="LB49" s="27"/>
      <c r="LC49" s="27"/>
      <c r="LD49" s="27"/>
      <c r="LE49" s="27"/>
      <c r="LF49" s="27"/>
      <c r="LG49" s="27"/>
      <c r="LH49" s="27"/>
      <c r="LI49" s="27"/>
      <c r="LJ49" s="27"/>
      <c r="LK49" s="27"/>
      <c r="LL49" s="27"/>
      <c r="LM49" s="27"/>
      <c r="LN49" s="27"/>
      <c r="LO49" s="27"/>
      <c r="LP49" s="27"/>
      <c r="LQ49" s="27"/>
      <c r="LR49" s="27"/>
      <c r="LS49" s="27"/>
      <c r="LT49" s="27"/>
      <c r="LU49" s="27"/>
      <c r="LV49" s="27"/>
      <c r="LW49" s="27"/>
      <c r="LX49" s="27"/>
      <c r="LY49" s="27"/>
      <c r="LZ49" s="27"/>
      <c r="MA49" s="27"/>
      <c r="MB49" s="27"/>
      <c r="MC49" s="27"/>
      <c r="MD49" s="27"/>
      <c r="ME49" s="27"/>
      <c r="MF49" s="27"/>
      <c r="MG49" s="27"/>
      <c r="MH49" s="27"/>
      <c r="MI49" s="27"/>
      <c r="MJ49" s="27"/>
      <c r="MK49" s="27"/>
      <c r="ML49" s="27"/>
      <c r="MM49" s="27"/>
      <c r="MN49" s="27"/>
      <c r="MO49" s="27"/>
      <c r="MP49" s="27"/>
      <c r="MQ49" s="27"/>
      <c r="MR49" s="27"/>
      <c r="MS49" s="27"/>
      <c r="MT49" s="27"/>
      <c r="MU49" s="27"/>
      <c r="MV49" s="27"/>
      <c r="MW49" s="27"/>
      <c r="MX49" s="27"/>
      <c r="MY49" s="27"/>
      <c r="MZ49" s="27"/>
      <c r="NA49" s="27"/>
      <c r="NB49" s="27"/>
    </row>
    <row r="50" spans="2:366" ht="16" customHeight="1" x14ac:dyDescent="0.15">
      <c r="B50" s="3" t="s">
        <v>56</v>
      </c>
      <c r="C50" s="3"/>
      <c r="D50" s="3"/>
      <c r="E50" s="101"/>
      <c r="CL50" s="32"/>
      <c r="CP50" s="32"/>
      <c r="CT50" s="32"/>
      <c r="IL50" s="27"/>
      <c r="IM50" s="27"/>
      <c r="IN50" s="27"/>
      <c r="IO50" s="27"/>
      <c r="IP50" s="27"/>
      <c r="IQ50" s="27"/>
      <c r="IR50" s="27"/>
      <c r="IS50" s="27"/>
      <c r="IT50" s="27"/>
      <c r="IU50" s="27"/>
      <c r="IV50" s="27"/>
      <c r="IW50" s="27"/>
      <c r="IX50" s="27"/>
      <c r="IY50" s="27"/>
      <c r="IZ50" s="27"/>
      <c r="JA50" s="27"/>
      <c r="JB50" s="27"/>
      <c r="JC50" s="27"/>
      <c r="JD50" s="27"/>
      <c r="JE50" s="27"/>
      <c r="JF50" s="27"/>
      <c r="JG50" s="27"/>
      <c r="JH50" s="27"/>
      <c r="JI50" s="27"/>
      <c r="JJ50" s="27"/>
      <c r="JK50" s="27"/>
      <c r="JL50" s="27"/>
      <c r="JM50" s="27"/>
      <c r="JN50" s="27"/>
      <c r="JO50" s="27"/>
      <c r="JP50" s="27"/>
      <c r="JQ50" s="27"/>
      <c r="JR50" s="27"/>
      <c r="JS50" s="27"/>
      <c r="JT50" s="27"/>
      <c r="JU50" s="27"/>
      <c r="JV50" s="27"/>
      <c r="JW50" s="27"/>
      <c r="JX50" s="27"/>
      <c r="JY50" s="27"/>
      <c r="JZ50" s="27"/>
      <c r="KA50" s="27"/>
      <c r="KB50" s="27"/>
      <c r="KC50" s="27"/>
      <c r="KD50" s="27"/>
      <c r="KE50" s="27"/>
      <c r="KF50" s="27"/>
      <c r="KG50" s="27"/>
      <c r="KH50" s="27"/>
      <c r="KI50" s="27"/>
      <c r="KJ50" s="27"/>
      <c r="KK50" s="27"/>
      <c r="KL50" s="27"/>
      <c r="KM50" s="27"/>
      <c r="KN50" s="27"/>
      <c r="KO50" s="27"/>
      <c r="KP50" s="27"/>
      <c r="KQ50" s="27"/>
      <c r="KR50" s="27"/>
      <c r="KS50" s="27"/>
      <c r="KT50" s="27"/>
      <c r="KU50" s="27"/>
      <c r="KV50" s="27"/>
      <c r="KW50" s="27"/>
      <c r="KX50" s="27"/>
      <c r="KY50" s="27"/>
      <c r="KZ50" s="27"/>
      <c r="LA50" s="27"/>
      <c r="LB50" s="27"/>
      <c r="LC50" s="27"/>
      <c r="LD50" s="27"/>
      <c r="LE50" s="27"/>
      <c r="LF50" s="27"/>
      <c r="LG50" s="27"/>
      <c r="LH50" s="27"/>
      <c r="LI50" s="27"/>
      <c r="LJ50" s="27"/>
      <c r="LK50" s="27"/>
      <c r="LL50" s="27"/>
      <c r="LM50" s="27"/>
      <c r="LN50" s="27"/>
      <c r="LO50" s="27"/>
      <c r="LP50" s="27"/>
      <c r="LQ50" s="27"/>
      <c r="LR50" s="27"/>
      <c r="LS50" s="27"/>
      <c r="LT50" s="27"/>
      <c r="LU50" s="27"/>
      <c r="LV50" s="27"/>
      <c r="LW50" s="27"/>
      <c r="LX50" s="27"/>
      <c r="LY50" s="27"/>
      <c r="LZ50" s="27"/>
      <c r="MA50" s="27"/>
      <c r="MB50" s="27"/>
      <c r="MC50" s="27"/>
      <c r="MD50" s="27"/>
      <c r="ME50" s="27"/>
      <c r="MF50" s="27"/>
      <c r="MG50" s="27"/>
      <c r="MH50" s="27"/>
      <c r="MI50" s="27"/>
      <c r="MJ50" s="27"/>
      <c r="MK50" s="27"/>
      <c r="ML50" s="27"/>
      <c r="MM50" s="27"/>
      <c r="MN50" s="27"/>
      <c r="MO50" s="27"/>
      <c r="MP50" s="27"/>
      <c r="MQ50" s="27"/>
      <c r="MR50" s="27"/>
      <c r="MS50" s="27"/>
      <c r="MT50" s="27"/>
      <c r="MU50" s="27"/>
      <c r="MV50" s="27"/>
      <c r="MW50" s="27"/>
      <c r="MX50" s="27"/>
      <c r="MY50" s="27"/>
      <c r="MZ50" s="27"/>
      <c r="NA50" s="27"/>
      <c r="NB50" s="27"/>
    </row>
    <row r="51" spans="2:366" ht="16" customHeight="1" x14ac:dyDescent="0.15">
      <c r="B51" s="12" t="s">
        <v>286</v>
      </c>
      <c r="C51" s="312" t="s">
        <v>150</v>
      </c>
      <c r="F51" s="32">
        <f>IF(F$13=1,sale_price,0)</f>
        <v>0</v>
      </c>
      <c r="G51" s="32">
        <f t="shared" ref="G51:BQ51" si="135">IF(G$13=1,sale_price,0)</f>
        <v>0</v>
      </c>
      <c r="H51" s="32">
        <f t="shared" si="135"/>
        <v>0</v>
      </c>
      <c r="I51" s="32">
        <f t="shared" si="135"/>
        <v>0</v>
      </c>
      <c r="J51" s="32">
        <f t="shared" si="135"/>
        <v>0</v>
      </c>
      <c r="K51" s="32">
        <f t="shared" si="135"/>
        <v>0</v>
      </c>
      <c r="L51" s="32">
        <f t="shared" si="135"/>
        <v>0</v>
      </c>
      <c r="M51" s="32">
        <f t="shared" si="135"/>
        <v>0</v>
      </c>
      <c r="N51" s="32">
        <f t="shared" si="135"/>
        <v>0</v>
      </c>
      <c r="O51" s="32">
        <f t="shared" si="135"/>
        <v>0</v>
      </c>
      <c r="P51" s="32">
        <f t="shared" si="135"/>
        <v>0</v>
      </c>
      <c r="Q51" s="32">
        <f t="shared" si="135"/>
        <v>0</v>
      </c>
      <c r="R51" s="32">
        <f t="shared" si="135"/>
        <v>0</v>
      </c>
      <c r="S51" s="32">
        <f t="shared" si="135"/>
        <v>0</v>
      </c>
      <c r="T51" s="32">
        <f t="shared" si="135"/>
        <v>0</v>
      </c>
      <c r="U51" s="32">
        <f t="shared" si="135"/>
        <v>0</v>
      </c>
      <c r="V51" s="32">
        <f t="shared" si="135"/>
        <v>0</v>
      </c>
      <c r="W51" s="32">
        <f t="shared" si="135"/>
        <v>0</v>
      </c>
      <c r="X51" s="32">
        <f t="shared" si="135"/>
        <v>0</v>
      </c>
      <c r="Y51" s="32">
        <f t="shared" si="135"/>
        <v>0</v>
      </c>
      <c r="Z51" s="32">
        <f t="shared" si="135"/>
        <v>0</v>
      </c>
      <c r="AA51" s="32">
        <f t="shared" si="135"/>
        <v>0</v>
      </c>
      <c r="AB51" s="32">
        <f t="shared" si="135"/>
        <v>0</v>
      </c>
      <c r="AC51" s="32">
        <f t="shared" si="135"/>
        <v>0</v>
      </c>
      <c r="AD51" s="32">
        <f t="shared" si="135"/>
        <v>0</v>
      </c>
      <c r="AE51" s="32">
        <f t="shared" si="135"/>
        <v>0</v>
      </c>
      <c r="AF51" s="32">
        <f t="shared" si="135"/>
        <v>0</v>
      </c>
      <c r="AG51" s="32">
        <f t="shared" si="135"/>
        <v>0</v>
      </c>
      <c r="AH51" s="32">
        <f t="shared" si="135"/>
        <v>0</v>
      </c>
      <c r="AI51" s="32">
        <f t="shared" si="135"/>
        <v>0</v>
      </c>
      <c r="AJ51" s="32">
        <f t="shared" si="135"/>
        <v>0</v>
      </c>
      <c r="AK51" s="32">
        <f t="shared" si="135"/>
        <v>0</v>
      </c>
      <c r="AL51" s="32">
        <f t="shared" si="135"/>
        <v>0</v>
      </c>
      <c r="AM51" s="32">
        <f t="shared" si="135"/>
        <v>0</v>
      </c>
      <c r="AN51" s="32">
        <f t="shared" si="135"/>
        <v>0</v>
      </c>
      <c r="AO51" s="32">
        <f t="shared" si="135"/>
        <v>0</v>
      </c>
      <c r="AP51" s="32">
        <f t="shared" si="135"/>
        <v>0</v>
      </c>
      <c r="AQ51" s="32">
        <f t="shared" si="135"/>
        <v>0</v>
      </c>
      <c r="AR51" s="32">
        <f t="shared" si="135"/>
        <v>0</v>
      </c>
      <c r="AS51" s="32">
        <f t="shared" si="135"/>
        <v>0</v>
      </c>
      <c r="AT51" s="32">
        <f t="shared" si="135"/>
        <v>0</v>
      </c>
      <c r="AU51" s="32">
        <f t="shared" si="135"/>
        <v>0</v>
      </c>
      <c r="AV51" s="32">
        <f t="shared" si="135"/>
        <v>0</v>
      </c>
      <c r="AW51" s="32">
        <f t="shared" si="135"/>
        <v>0</v>
      </c>
      <c r="AX51" s="32">
        <f t="shared" si="135"/>
        <v>0</v>
      </c>
      <c r="AY51" s="32">
        <f t="shared" si="135"/>
        <v>0</v>
      </c>
      <c r="AZ51" s="32">
        <f t="shared" si="135"/>
        <v>0</v>
      </c>
      <c r="BA51" s="32">
        <f t="shared" si="135"/>
        <v>0</v>
      </c>
      <c r="BB51" s="32">
        <f t="shared" si="135"/>
        <v>0</v>
      </c>
      <c r="BC51" s="32">
        <f t="shared" si="135"/>
        <v>0</v>
      </c>
      <c r="BD51" s="32">
        <f t="shared" si="135"/>
        <v>0</v>
      </c>
      <c r="BE51" s="32">
        <f t="shared" si="135"/>
        <v>0</v>
      </c>
      <c r="BF51" s="32">
        <f t="shared" si="135"/>
        <v>0</v>
      </c>
      <c r="BG51" s="32">
        <f t="shared" si="135"/>
        <v>0</v>
      </c>
      <c r="BH51" s="32">
        <f t="shared" si="135"/>
        <v>0</v>
      </c>
      <c r="BI51" s="32">
        <f t="shared" si="135"/>
        <v>0</v>
      </c>
      <c r="BJ51" s="32">
        <f t="shared" si="135"/>
        <v>0</v>
      </c>
      <c r="BK51" s="32">
        <f t="shared" si="135"/>
        <v>0</v>
      </c>
      <c r="BL51" s="32">
        <f t="shared" si="135"/>
        <v>0</v>
      </c>
      <c r="BM51" s="32">
        <f t="shared" si="135"/>
        <v>0</v>
      </c>
      <c r="BN51" s="32">
        <f t="shared" si="135"/>
        <v>0</v>
      </c>
      <c r="BO51" s="32">
        <f t="shared" si="135"/>
        <v>0</v>
      </c>
      <c r="BP51" s="32">
        <f t="shared" si="135"/>
        <v>0</v>
      </c>
      <c r="BQ51" s="32">
        <f t="shared" si="135"/>
        <v>0</v>
      </c>
      <c r="BR51" s="32">
        <f t="shared" ref="BR51:EC51" si="136">IF(BR$13=1,sale_price,0)</f>
        <v>0</v>
      </c>
      <c r="BS51" s="32">
        <f t="shared" si="136"/>
        <v>0</v>
      </c>
      <c r="BT51" s="32">
        <f t="shared" si="136"/>
        <v>0</v>
      </c>
      <c r="BU51" s="32">
        <f t="shared" si="136"/>
        <v>0</v>
      </c>
      <c r="BV51" s="32">
        <f t="shared" si="136"/>
        <v>0</v>
      </c>
      <c r="BW51" s="32">
        <f t="shared" si="136"/>
        <v>0</v>
      </c>
      <c r="BX51" s="32">
        <f t="shared" si="136"/>
        <v>0</v>
      </c>
      <c r="BY51" s="32">
        <f t="shared" si="136"/>
        <v>0</v>
      </c>
      <c r="BZ51" s="32">
        <f t="shared" si="136"/>
        <v>0</v>
      </c>
      <c r="CA51" s="32">
        <f t="shared" si="136"/>
        <v>0</v>
      </c>
      <c r="CB51" s="32">
        <f t="shared" si="136"/>
        <v>0</v>
      </c>
      <c r="CC51" s="32">
        <f t="shared" si="136"/>
        <v>0</v>
      </c>
      <c r="CD51" s="32">
        <f t="shared" si="136"/>
        <v>0</v>
      </c>
      <c r="CE51" s="32">
        <f t="shared" si="136"/>
        <v>0</v>
      </c>
      <c r="CF51" s="32">
        <f t="shared" si="136"/>
        <v>0</v>
      </c>
      <c r="CG51" s="32">
        <f t="shared" si="136"/>
        <v>0</v>
      </c>
      <c r="CH51" s="32">
        <f t="shared" si="136"/>
        <v>0</v>
      </c>
      <c r="CI51" s="32">
        <f t="shared" si="136"/>
        <v>0</v>
      </c>
      <c r="CJ51" s="32">
        <f t="shared" si="136"/>
        <v>0</v>
      </c>
      <c r="CK51" s="32">
        <f t="shared" si="136"/>
        <v>0</v>
      </c>
      <c r="CL51" s="32">
        <f t="shared" si="136"/>
        <v>0</v>
      </c>
      <c r="CM51" s="32">
        <f t="shared" si="136"/>
        <v>0</v>
      </c>
      <c r="CN51" s="32">
        <f t="shared" si="136"/>
        <v>0</v>
      </c>
      <c r="CO51" s="32">
        <f t="shared" si="136"/>
        <v>0</v>
      </c>
      <c r="CP51" s="32">
        <f t="shared" si="136"/>
        <v>0</v>
      </c>
      <c r="CQ51" s="32">
        <f t="shared" si="136"/>
        <v>0</v>
      </c>
      <c r="CR51" s="32">
        <f t="shared" si="136"/>
        <v>0</v>
      </c>
      <c r="CS51" s="32">
        <f t="shared" si="136"/>
        <v>0</v>
      </c>
      <c r="CT51" s="32">
        <f t="shared" si="136"/>
        <v>0</v>
      </c>
      <c r="CU51" s="32">
        <f t="shared" si="136"/>
        <v>0</v>
      </c>
      <c r="CV51" s="32">
        <f t="shared" si="136"/>
        <v>0</v>
      </c>
      <c r="CW51" s="32">
        <f t="shared" si="136"/>
        <v>0</v>
      </c>
      <c r="CX51" s="32">
        <f t="shared" si="136"/>
        <v>0</v>
      </c>
      <c r="CY51" s="32">
        <f t="shared" si="136"/>
        <v>0</v>
      </c>
      <c r="CZ51" s="32">
        <f t="shared" si="136"/>
        <v>0</v>
      </c>
      <c r="DA51" s="32">
        <f t="shared" si="136"/>
        <v>0</v>
      </c>
      <c r="DB51" s="32">
        <f t="shared" si="136"/>
        <v>0</v>
      </c>
      <c r="DC51" s="32">
        <f t="shared" si="136"/>
        <v>0</v>
      </c>
      <c r="DD51" s="32">
        <f t="shared" si="136"/>
        <v>0</v>
      </c>
      <c r="DE51" s="32">
        <f t="shared" si="136"/>
        <v>0</v>
      </c>
      <c r="DF51" s="32">
        <f t="shared" si="136"/>
        <v>0</v>
      </c>
      <c r="DG51" s="32">
        <f t="shared" si="136"/>
        <v>0</v>
      </c>
      <c r="DH51" s="32">
        <f t="shared" si="136"/>
        <v>0</v>
      </c>
      <c r="DI51" s="32">
        <f t="shared" si="136"/>
        <v>0</v>
      </c>
      <c r="DJ51" s="32">
        <f t="shared" si="136"/>
        <v>0</v>
      </c>
      <c r="DK51" s="32">
        <f t="shared" si="136"/>
        <v>0</v>
      </c>
      <c r="DL51" s="32">
        <f t="shared" si="136"/>
        <v>0</v>
      </c>
      <c r="DM51" s="32">
        <f t="shared" si="136"/>
        <v>0</v>
      </c>
      <c r="DN51" s="32">
        <f t="shared" si="136"/>
        <v>0</v>
      </c>
      <c r="DO51" s="32">
        <f t="shared" si="136"/>
        <v>0</v>
      </c>
      <c r="DP51" s="32">
        <f t="shared" si="136"/>
        <v>0</v>
      </c>
      <c r="DQ51" s="32">
        <f t="shared" si="136"/>
        <v>0</v>
      </c>
      <c r="DR51" s="32">
        <f t="shared" si="136"/>
        <v>0</v>
      </c>
      <c r="DS51" s="32">
        <f t="shared" si="136"/>
        <v>0</v>
      </c>
      <c r="DT51" s="32">
        <f t="shared" si="136"/>
        <v>0</v>
      </c>
      <c r="DU51" s="32">
        <f t="shared" si="136"/>
        <v>0</v>
      </c>
      <c r="DV51" s="32">
        <f t="shared" si="136"/>
        <v>8006380.0029400419</v>
      </c>
      <c r="DW51" s="32">
        <f t="shared" si="136"/>
        <v>0</v>
      </c>
      <c r="DX51" s="32">
        <f t="shared" si="136"/>
        <v>0</v>
      </c>
      <c r="DY51" s="32">
        <f t="shared" si="136"/>
        <v>0</v>
      </c>
      <c r="DZ51" s="32">
        <f t="shared" si="136"/>
        <v>0</v>
      </c>
      <c r="EA51" s="32">
        <f t="shared" si="136"/>
        <v>0</v>
      </c>
      <c r="EB51" s="32">
        <f t="shared" si="136"/>
        <v>0</v>
      </c>
      <c r="EC51" s="32">
        <f t="shared" si="136"/>
        <v>0</v>
      </c>
      <c r="ED51" s="32">
        <f t="shared" ref="ED51:FI51" si="137">IF(ED$13=1,sale_price,0)</f>
        <v>0</v>
      </c>
      <c r="EE51" s="32">
        <f t="shared" si="137"/>
        <v>0</v>
      </c>
      <c r="EF51" s="32">
        <f t="shared" si="137"/>
        <v>0</v>
      </c>
      <c r="EG51" s="32">
        <f t="shared" si="137"/>
        <v>0</v>
      </c>
      <c r="EH51" s="32">
        <f t="shared" si="137"/>
        <v>0</v>
      </c>
      <c r="EI51" s="32">
        <f t="shared" si="137"/>
        <v>0</v>
      </c>
      <c r="EJ51" s="32">
        <f t="shared" si="137"/>
        <v>0</v>
      </c>
      <c r="EK51" s="32">
        <f t="shared" si="137"/>
        <v>0</v>
      </c>
      <c r="EL51" s="32">
        <f t="shared" si="137"/>
        <v>0</v>
      </c>
      <c r="EM51" s="32">
        <f t="shared" si="137"/>
        <v>0</v>
      </c>
      <c r="EN51" s="32">
        <f t="shared" si="137"/>
        <v>0</v>
      </c>
      <c r="EO51" s="32">
        <f t="shared" si="137"/>
        <v>0</v>
      </c>
      <c r="EP51" s="32">
        <f t="shared" si="137"/>
        <v>0</v>
      </c>
      <c r="EQ51" s="32">
        <f t="shared" si="137"/>
        <v>0</v>
      </c>
      <c r="ER51" s="32">
        <f t="shared" si="137"/>
        <v>0</v>
      </c>
      <c r="ES51" s="32">
        <f t="shared" si="137"/>
        <v>0</v>
      </c>
      <c r="ET51" s="32">
        <f t="shared" si="137"/>
        <v>0</v>
      </c>
      <c r="EU51" s="32">
        <f t="shared" si="137"/>
        <v>0</v>
      </c>
      <c r="EV51" s="32">
        <f t="shared" si="137"/>
        <v>0</v>
      </c>
      <c r="EW51" s="32">
        <f t="shared" si="137"/>
        <v>0</v>
      </c>
      <c r="EX51" s="32">
        <f t="shared" si="137"/>
        <v>0</v>
      </c>
      <c r="EY51" s="32">
        <f t="shared" si="137"/>
        <v>0</v>
      </c>
      <c r="EZ51" s="32">
        <f t="shared" si="137"/>
        <v>0</v>
      </c>
      <c r="FA51" s="32">
        <f t="shared" si="137"/>
        <v>0</v>
      </c>
      <c r="FB51" s="32">
        <f t="shared" si="137"/>
        <v>0</v>
      </c>
      <c r="FC51" s="32">
        <f t="shared" si="137"/>
        <v>0</v>
      </c>
      <c r="FD51" s="32">
        <f t="shared" si="137"/>
        <v>0</v>
      </c>
      <c r="FE51" s="32">
        <f t="shared" si="137"/>
        <v>0</v>
      </c>
      <c r="FF51" s="32">
        <f t="shared" si="137"/>
        <v>0</v>
      </c>
      <c r="FG51" s="32">
        <f t="shared" si="137"/>
        <v>0</v>
      </c>
      <c r="FH51" s="32">
        <f t="shared" si="137"/>
        <v>0</v>
      </c>
      <c r="FI51" s="32">
        <f t="shared" si="137"/>
        <v>0</v>
      </c>
      <c r="FJ51" s="32">
        <f t="shared" ref="FJ51:GM51" si="138">IF(FJ$13=1,sale_price,0)</f>
        <v>0</v>
      </c>
      <c r="FK51" s="32">
        <f t="shared" si="138"/>
        <v>0</v>
      </c>
      <c r="FL51" s="32">
        <f t="shared" si="138"/>
        <v>0</v>
      </c>
      <c r="FM51" s="32">
        <f t="shared" si="138"/>
        <v>0</v>
      </c>
      <c r="FN51" s="32">
        <f t="shared" si="138"/>
        <v>0</v>
      </c>
      <c r="FO51" s="32">
        <f t="shared" si="138"/>
        <v>0</v>
      </c>
      <c r="FP51" s="32">
        <f t="shared" si="138"/>
        <v>0</v>
      </c>
      <c r="FQ51" s="32">
        <f t="shared" si="138"/>
        <v>0</v>
      </c>
      <c r="FR51" s="32">
        <f t="shared" si="138"/>
        <v>0</v>
      </c>
      <c r="FS51" s="32">
        <f t="shared" si="138"/>
        <v>0</v>
      </c>
      <c r="FT51" s="32">
        <f t="shared" si="138"/>
        <v>0</v>
      </c>
      <c r="FU51" s="32">
        <f t="shared" si="138"/>
        <v>0</v>
      </c>
      <c r="FV51" s="32">
        <f t="shared" si="138"/>
        <v>0</v>
      </c>
      <c r="FW51" s="32">
        <f t="shared" si="138"/>
        <v>0</v>
      </c>
      <c r="FX51" s="32">
        <f t="shared" si="138"/>
        <v>0</v>
      </c>
      <c r="FY51" s="32">
        <f t="shared" si="138"/>
        <v>0</v>
      </c>
      <c r="FZ51" s="32">
        <f t="shared" si="138"/>
        <v>0</v>
      </c>
      <c r="GA51" s="32">
        <f t="shared" si="138"/>
        <v>0</v>
      </c>
      <c r="GB51" s="32">
        <f t="shared" si="138"/>
        <v>0</v>
      </c>
      <c r="GC51" s="32">
        <f t="shared" si="138"/>
        <v>0</v>
      </c>
      <c r="GD51" s="32">
        <f t="shared" si="138"/>
        <v>0</v>
      </c>
      <c r="GE51" s="32">
        <f t="shared" si="138"/>
        <v>0</v>
      </c>
      <c r="GF51" s="32">
        <f t="shared" si="138"/>
        <v>0</v>
      </c>
      <c r="GG51" s="32">
        <f t="shared" si="138"/>
        <v>0</v>
      </c>
      <c r="GH51" s="32">
        <f t="shared" si="138"/>
        <v>0</v>
      </c>
      <c r="GI51" s="32">
        <f t="shared" si="138"/>
        <v>0</v>
      </c>
      <c r="GJ51" s="32">
        <f t="shared" si="138"/>
        <v>0</v>
      </c>
      <c r="GK51" s="32">
        <f t="shared" si="138"/>
        <v>0</v>
      </c>
      <c r="GL51" s="32">
        <f t="shared" si="138"/>
        <v>0</v>
      </c>
      <c r="GM51" s="32">
        <f t="shared" si="138"/>
        <v>0</v>
      </c>
      <c r="GN51" s="32"/>
      <c r="GO51" s="32"/>
      <c r="GP51" s="32"/>
      <c r="GQ51" s="32"/>
      <c r="GR51" s="32"/>
      <c r="GS51" s="32"/>
      <c r="GT51" s="32"/>
      <c r="GU51" s="32"/>
      <c r="GV51" s="32"/>
      <c r="GW51" s="32"/>
      <c r="GX51" s="32"/>
      <c r="GY51" s="32"/>
      <c r="GZ51" s="32"/>
      <c r="HA51" s="32"/>
      <c r="HB51" s="32"/>
      <c r="HC51" s="32"/>
      <c r="HD51" s="32"/>
      <c r="HE51" s="32"/>
      <c r="HF51" s="32"/>
      <c r="HG51" s="32"/>
      <c r="HH51" s="32"/>
      <c r="HI51" s="32"/>
      <c r="HJ51" s="32"/>
      <c r="HK51" s="32"/>
      <c r="HL51" s="32"/>
      <c r="HM51" s="32"/>
      <c r="HN51" s="32"/>
      <c r="HO51" s="32"/>
      <c r="HP51" s="32"/>
      <c r="HQ51" s="32"/>
      <c r="HR51" s="32"/>
      <c r="HS51" s="32"/>
      <c r="HT51" s="32"/>
      <c r="HU51" s="32"/>
      <c r="HV51" s="32"/>
      <c r="HW51" s="32"/>
      <c r="HX51" s="32"/>
      <c r="HY51" s="32"/>
      <c r="HZ51" s="32"/>
      <c r="IA51" s="32"/>
      <c r="IB51" s="32"/>
      <c r="IC51" s="32"/>
      <c r="ID51" s="32"/>
      <c r="IE51" s="32"/>
      <c r="IF51" s="32"/>
      <c r="IG51" s="32"/>
      <c r="IH51" s="32"/>
      <c r="II51" s="32"/>
      <c r="IJ51" s="32"/>
      <c r="IK51" s="32"/>
      <c r="IL51" s="32"/>
      <c r="IM51" s="32"/>
      <c r="IN51" s="32"/>
      <c r="IO51" s="32"/>
      <c r="IP51" s="32"/>
      <c r="IQ51" s="32"/>
      <c r="IR51" s="32"/>
      <c r="IS51" s="32"/>
      <c r="IT51" s="32"/>
      <c r="IU51" s="32"/>
      <c r="IV51" s="32"/>
      <c r="IW51" s="32"/>
      <c r="IX51" s="32"/>
      <c r="IY51" s="32"/>
      <c r="IZ51" s="32"/>
      <c r="JA51" s="32"/>
      <c r="JB51" s="32"/>
      <c r="JC51" s="32"/>
      <c r="JD51" s="32"/>
      <c r="JE51" s="32"/>
      <c r="JF51" s="32"/>
      <c r="JG51" s="32"/>
      <c r="JH51" s="32"/>
      <c r="JI51" s="32"/>
      <c r="JJ51" s="32"/>
      <c r="JK51" s="32"/>
      <c r="JL51" s="32"/>
      <c r="JM51" s="32"/>
      <c r="JN51" s="32"/>
      <c r="JO51" s="32"/>
      <c r="JP51" s="32"/>
      <c r="JQ51" s="32"/>
      <c r="JR51" s="32"/>
      <c r="JS51" s="32"/>
      <c r="JT51" s="32"/>
      <c r="JU51" s="32"/>
      <c r="JV51" s="32"/>
      <c r="JW51" s="32"/>
      <c r="JX51" s="32"/>
      <c r="JY51" s="32"/>
      <c r="JZ51" s="32"/>
      <c r="KA51" s="32"/>
      <c r="KB51" s="32"/>
      <c r="KC51" s="32"/>
      <c r="KD51" s="32"/>
      <c r="KE51" s="32"/>
      <c r="KF51" s="32"/>
      <c r="KG51" s="32"/>
      <c r="KH51" s="32"/>
      <c r="KI51" s="32"/>
      <c r="KJ51" s="32"/>
      <c r="KK51" s="32"/>
      <c r="KL51" s="32"/>
      <c r="KM51" s="32"/>
      <c r="KN51" s="32"/>
      <c r="KO51" s="32"/>
      <c r="KP51" s="32"/>
      <c r="KQ51" s="32"/>
      <c r="KR51" s="32"/>
      <c r="KS51" s="32"/>
      <c r="KT51" s="32"/>
      <c r="KU51" s="32"/>
      <c r="KV51" s="32"/>
      <c r="KW51" s="32"/>
      <c r="KX51" s="32"/>
      <c r="KY51" s="32"/>
      <c r="KZ51" s="32"/>
      <c r="LA51" s="32"/>
      <c r="LB51" s="32"/>
      <c r="LC51" s="32"/>
      <c r="LD51" s="32"/>
      <c r="LE51" s="32"/>
      <c r="LF51" s="32"/>
      <c r="LG51" s="32"/>
      <c r="LH51" s="32"/>
      <c r="LI51" s="32"/>
      <c r="LJ51" s="32"/>
      <c r="LK51" s="32"/>
      <c r="LL51" s="32"/>
      <c r="LM51" s="32"/>
      <c r="LN51" s="32"/>
      <c r="LO51" s="32"/>
      <c r="LP51" s="32"/>
      <c r="LQ51" s="32"/>
      <c r="LR51" s="32"/>
      <c r="LS51" s="32"/>
      <c r="LT51" s="32"/>
      <c r="LU51" s="32"/>
      <c r="LV51" s="32"/>
      <c r="LW51" s="32"/>
      <c r="LX51" s="32"/>
      <c r="LY51" s="32"/>
      <c r="LZ51" s="32"/>
      <c r="MA51" s="32"/>
      <c r="MB51" s="32"/>
      <c r="MC51" s="32"/>
      <c r="MD51" s="32"/>
      <c r="ME51" s="32"/>
      <c r="MF51" s="32"/>
      <c r="MG51" s="32"/>
      <c r="MH51" s="32"/>
      <c r="MI51" s="32"/>
      <c r="MJ51" s="32"/>
      <c r="MK51" s="32"/>
      <c r="ML51" s="32"/>
      <c r="MM51" s="32"/>
      <c r="MN51" s="32"/>
      <c r="MO51" s="32"/>
      <c r="MP51" s="32"/>
      <c r="MQ51" s="32"/>
      <c r="MR51" s="32"/>
      <c r="MS51" s="32"/>
      <c r="MT51" s="32"/>
      <c r="MU51" s="32"/>
      <c r="MV51" s="32"/>
      <c r="MW51" s="32"/>
      <c r="MX51" s="32"/>
      <c r="MY51" s="32"/>
      <c r="MZ51" s="32"/>
      <c r="NA51" s="32"/>
      <c r="NB51" s="32"/>
    </row>
    <row r="52" spans="2:366" ht="16" customHeight="1" x14ac:dyDescent="0.15">
      <c r="B52" s="372" t="s">
        <v>299</v>
      </c>
      <c r="C52" s="314" t="s">
        <v>150</v>
      </c>
      <c r="D52" s="384">
        <f>cost_sale</f>
        <v>0.04</v>
      </c>
      <c r="E52" s="320"/>
      <c r="F52" s="317">
        <f t="shared" ref="F52:AK52" si="139">-IF(F$13=1,$D$52*F51,0)</f>
        <v>0</v>
      </c>
      <c r="G52" s="317">
        <f t="shared" si="139"/>
        <v>0</v>
      </c>
      <c r="H52" s="317">
        <f t="shared" si="139"/>
        <v>0</v>
      </c>
      <c r="I52" s="317">
        <f t="shared" si="139"/>
        <v>0</v>
      </c>
      <c r="J52" s="317">
        <f t="shared" si="139"/>
        <v>0</v>
      </c>
      <c r="K52" s="317">
        <f t="shared" si="139"/>
        <v>0</v>
      </c>
      <c r="L52" s="317">
        <f t="shared" si="139"/>
        <v>0</v>
      </c>
      <c r="M52" s="317">
        <f t="shared" si="139"/>
        <v>0</v>
      </c>
      <c r="N52" s="317">
        <f t="shared" si="139"/>
        <v>0</v>
      </c>
      <c r="O52" s="317">
        <f t="shared" si="139"/>
        <v>0</v>
      </c>
      <c r="P52" s="317">
        <f t="shared" si="139"/>
        <v>0</v>
      </c>
      <c r="Q52" s="317">
        <f t="shared" si="139"/>
        <v>0</v>
      </c>
      <c r="R52" s="317">
        <f t="shared" si="139"/>
        <v>0</v>
      </c>
      <c r="S52" s="317">
        <f t="shared" si="139"/>
        <v>0</v>
      </c>
      <c r="T52" s="317">
        <f t="shared" si="139"/>
        <v>0</v>
      </c>
      <c r="U52" s="317">
        <f t="shared" si="139"/>
        <v>0</v>
      </c>
      <c r="V52" s="317">
        <f t="shared" si="139"/>
        <v>0</v>
      </c>
      <c r="W52" s="317">
        <f t="shared" si="139"/>
        <v>0</v>
      </c>
      <c r="X52" s="317">
        <f t="shared" si="139"/>
        <v>0</v>
      </c>
      <c r="Y52" s="317">
        <f t="shared" si="139"/>
        <v>0</v>
      </c>
      <c r="Z52" s="317">
        <f t="shared" si="139"/>
        <v>0</v>
      </c>
      <c r="AA52" s="317">
        <f t="shared" si="139"/>
        <v>0</v>
      </c>
      <c r="AB52" s="317">
        <f t="shared" si="139"/>
        <v>0</v>
      </c>
      <c r="AC52" s="317">
        <f t="shared" si="139"/>
        <v>0</v>
      </c>
      <c r="AD52" s="317">
        <f t="shared" si="139"/>
        <v>0</v>
      </c>
      <c r="AE52" s="317">
        <f t="shared" si="139"/>
        <v>0</v>
      </c>
      <c r="AF52" s="317">
        <f t="shared" si="139"/>
        <v>0</v>
      </c>
      <c r="AG52" s="317">
        <f t="shared" si="139"/>
        <v>0</v>
      </c>
      <c r="AH52" s="317">
        <f t="shared" si="139"/>
        <v>0</v>
      </c>
      <c r="AI52" s="317">
        <f t="shared" si="139"/>
        <v>0</v>
      </c>
      <c r="AJ52" s="317">
        <f t="shared" si="139"/>
        <v>0</v>
      </c>
      <c r="AK52" s="317">
        <f t="shared" si="139"/>
        <v>0</v>
      </c>
      <c r="AL52" s="317">
        <f t="shared" ref="AL52:BQ52" si="140">-IF(AL$13=1,$D$52*AL51,0)</f>
        <v>0</v>
      </c>
      <c r="AM52" s="317">
        <f t="shared" si="140"/>
        <v>0</v>
      </c>
      <c r="AN52" s="317">
        <f t="shared" si="140"/>
        <v>0</v>
      </c>
      <c r="AO52" s="317">
        <f t="shared" si="140"/>
        <v>0</v>
      </c>
      <c r="AP52" s="317">
        <f t="shared" si="140"/>
        <v>0</v>
      </c>
      <c r="AQ52" s="317">
        <f t="shared" si="140"/>
        <v>0</v>
      </c>
      <c r="AR52" s="317">
        <f t="shared" si="140"/>
        <v>0</v>
      </c>
      <c r="AS52" s="317">
        <f t="shared" si="140"/>
        <v>0</v>
      </c>
      <c r="AT52" s="317">
        <f t="shared" si="140"/>
        <v>0</v>
      </c>
      <c r="AU52" s="317">
        <f t="shared" si="140"/>
        <v>0</v>
      </c>
      <c r="AV52" s="317">
        <f t="shared" si="140"/>
        <v>0</v>
      </c>
      <c r="AW52" s="317">
        <f t="shared" si="140"/>
        <v>0</v>
      </c>
      <c r="AX52" s="317">
        <f t="shared" si="140"/>
        <v>0</v>
      </c>
      <c r="AY52" s="317">
        <f t="shared" si="140"/>
        <v>0</v>
      </c>
      <c r="AZ52" s="317">
        <f t="shared" si="140"/>
        <v>0</v>
      </c>
      <c r="BA52" s="317">
        <f t="shared" si="140"/>
        <v>0</v>
      </c>
      <c r="BB52" s="317">
        <f t="shared" si="140"/>
        <v>0</v>
      </c>
      <c r="BC52" s="317">
        <f t="shared" si="140"/>
        <v>0</v>
      </c>
      <c r="BD52" s="317">
        <f t="shared" si="140"/>
        <v>0</v>
      </c>
      <c r="BE52" s="317">
        <f t="shared" si="140"/>
        <v>0</v>
      </c>
      <c r="BF52" s="317">
        <f t="shared" si="140"/>
        <v>0</v>
      </c>
      <c r="BG52" s="317">
        <f t="shared" si="140"/>
        <v>0</v>
      </c>
      <c r="BH52" s="317">
        <f t="shared" si="140"/>
        <v>0</v>
      </c>
      <c r="BI52" s="317">
        <f t="shared" si="140"/>
        <v>0</v>
      </c>
      <c r="BJ52" s="317">
        <f t="shared" si="140"/>
        <v>0</v>
      </c>
      <c r="BK52" s="317">
        <f t="shared" si="140"/>
        <v>0</v>
      </c>
      <c r="BL52" s="317">
        <f t="shared" si="140"/>
        <v>0</v>
      </c>
      <c r="BM52" s="317">
        <f t="shared" si="140"/>
        <v>0</v>
      </c>
      <c r="BN52" s="317">
        <f t="shared" si="140"/>
        <v>0</v>
      </c>
      <c r="BO52" s="317">
        <f t="shared" si="140"/>
        <v>0</v>
      </c>
      <c r="BP52" s="317">
        <f t="shared" si="140"/>
        <v>0</v>
      </c>
      <c r="BQ52" s="317">
        <f t="shared" si="140"/>
        <v>0</v>
      </c>
      <c r="BR52" s="317">
        <f t="shared" ref="BR52:CW52" si="141">-IF(BR$13=1,$D$52*BR51,0)</f>
        <v>0</v>
      </c>
      <c r="BS52" s="317">
        <f t="shared" si="141"/>
        <v>0</v>
      </c>
      <c r="BT52" s="317">
        <f t="shared" si="141"/>
        <v>0</v>
      </c>
      <c r="BU52" s="317">
        <f t="shared" si="141"/>
        <v>0</v>
      </c>
      <c r="BV52" s="317">
        <f t="shared" si="141"/>
        <v>0</v>
      </c>
      <c r="BW52" s="317">
        <f t="shared" si="141"/>
        <v>0</v>
      </c>
      <c r="BX52" s="317">
        <f t="shared" si="141"/>
        <v>0</v>
      </c>
      <c r="BY52" s="317">
        <f t="shared" si="141"/>
        <v>0</v>
      </c>
      <c r="BZ52" s="317">
        <f t="shared" si="141"/>
        <v>0</v>
      </c>
      <c r="CA52" s="317">
        <f t="shared" si="141"/>
        <v>0</v>
      </c>
      <c r="CB52" s="317">
        <f t="shared" si="141"/>
        <v>0</v>
      </c>
      <c r="CC52" s="317">
        <f t="shared" si="141"/>
        <v>0</v>
      </c>
      <c r="CD52" s="317">
        <f t="shared" si="141"/>
        <v>0</v>
      </c>
      <c r="CE52" s="317">
        <f t="shared" si="141"/>
        <v>0</v>
      </c>
      <c r="CF52" s="317">
        <f t="shared" si="141"/>
        <v>0</v>
      </c>
      <c r="CG52" s="317">
        <f t="shared" si="141"/>
        <v>0</v>
      </c>
      <c r="CH52" s="317">
        <f t="shared" si="141"/>
        <v>0</v>
      </c>
      <c r="CI52" s="317">
        <f t="shared" si="141"/>
        <v>0</v>
      </c>
      <c r="CJ52" s="317">
        <f t="shared" si="141"/>
        <v>0</v>
      </c>
      <c r="CK52" s="317">
        <f t="shared" si="141"/>
        <v>0</v>
      </c>
      <c r="CL52" s="317">
        <f t="shared" si="141"/>
        <v>0</v>
      </c>
      <c r="CM52" s="317">
        <f t="shared" si="141"/>
        <v>0</v>
      </c>
      <c r="CN52" s="317">
        <f t="shared" si="141"/>
        <v>0</v>
      </c>
      <c r="CO52" s="317">
        <f t="shared" si="141"/>
        <v>0</v>
      </c>
      <c r="CP52" s="317">
        <f t="shared" si="141"/>
        <v>0</v>
      </c>
      <c r="CQ52" s="317">
        <f t="shared" si="141"/>
        <v>0</v>
      </c>
      <c r="CR52" s="317">
        <f t="shared" si="141"/>
        <v>0</v>
      </c>
      <c r="CS52" s="317">
        <f t="shared" si="141"/>
        <v>0</v>
      </c>
      <c r="CT52" s="317">
        <f t="shared" si="141"/>
        <v>0</v>
      </c>
      <c r="CU52" s="317">
        <f t="shared" si="141"/>
        <v>0</v>
      </c>
      <c r="CV52" s="317">
        <f t="shared" si="141"/>
        <v>0</v>
      </c>
      <c r="CW52" s="317">
        <f t="shared" si="141"/>
        <v>0</v>
      </c>
      <c r="CX52" s="317">
        <f t="shared" ref="CX52:EC52" si="142">-IF(CX$13=1,$D$52*CX51,0)</f>
        <v>0</v>
      </c>
      <c r="CY52" s="317">
        <f t="shared" si="142"/>
        <v>0</v>
      </c>
      <c r="CZ52" s="317">
        <f t="shared" si="142"/>
        <v>0</v>
      </c>
      <c r="DA52" s="317">
        <f t="shared" si="142"/>
        <v>0</v>
      </c>
      <c r="DB52" s="317">
        <f t="shared" si="142"/>
        <v>0</v>
      </c>
      <c r="DC52" s="317">
        <f t="shared" si="142"/>
        <v>0</v>
      </c>
      <c r="DD52" s="317">
        <f t="shared" si="142"/>
        <v>0</v>
      </c>
      <c r="DE52" s="317">
        <f t="shared" si="142"/>
        <v>0</v>
      </c>
      <c r="DF52" s="317">
        <f t="shared" si="142"/>
        <v>0</v>
      </c>
      <c r="DG52" s="317">
        <f t="shared" si="142"/>
        <v>0</v>
      </c>
      <c r="DH52" s="317">
        <f t="shared" si="142"/>
        <v>0</v>
      </c>
      <c r="DI52" s="317">
        <f t="shared" si="142"/>
        <v>0</v>
      </c>
      <c r="DJ52" s="317">
        <f t="shared" si="142"/>
        <v>0</v>
      </c>
      <c r="DK52" s="317">
        <f t="shared" si="142"/>
        <v>0</v>
      </c>
      <c r="DL52" s="317">
        <f t="shared" si="142"/>
        <v>0</v>
      </c>
      <c r="DM52" s="317">
        <f t="shared" si="142"/>
        <v>0</v>
      </c>
      <c r="DN52" s="317">
        <f t="shared" si="142"/>
        <v>0</v>
      </c>
      <c r="DO52" s="317">
        <f t="shared" si="142"/>
        <v>0</v>
      </c>
      <c r="DP52" s="317">
        <f t="shared" si="142"/>
        <v>0</v>
      </c>
      <c r="DQ52" s="317">
        <f t="shared" si="142"/>
        <v>0</v>
      </c>
      <c r="DR52" s="317">
        <f t="shared" si="142"/>
        <v>0</v>
      </c>
      <c r="DS52" s="317">
        <f t="shared" si="142"/>
        <v>0</v>
      </c>
      <c r="DT52" s="317">
        <f t="shared" si="142"/>
        <v>0</v>
      </c>
      <c r="DU52" s="317">
        <f t="shared" si="142"/>
        <v>0</v>
      </c>
      <c r="DV52" s="317">
        <f t="shared" si="142"/>
        <v>-320255.20011760166</v>
      </c>
      <c r="DW52" s="317">
        <f t="shared" si="142"/>
        <v>0</v>
      </c>
      <c r="DX52" s="317">
        <f t="shared" si="142"/>
        <v>0</v>
      </c>
      <c r="DY52" s="317">
        <f t="shared" si="142"/>
        <v>0</v>
      </c>
      <c r="DZ52" s="317">
        <f t="shared" si="142"/>
        <v>0</v>
      </c>
      <c r="EA52" s="317">
        <f t="shared" si="142"/>
        <v>0</v>
      </c>
      <c r="EB52" s="317">
        <f t="shared" si="142"/>
        <v>0</v>
      </c>
      <c r="EC52" s="317">
        <f t="shared" si="142"/>
        <v>0</v>
      </c>
      <c r="ED52" s="317">
        <f t="shared" ref="ED52:FI52" si="143">-IF(ED$13=1,$D$52*ED51,0)</f>
        <v>0</v>
      </c>
      <c r="EE52" s="317">
        <f t="shared" si="143"/>
        <v>0</v>
      </c>
      <c r="EF52" s="317">
        <f t="shared" si="143"/>
        <v>0</v>
      </c>
      <c r="EG52" s="317">
        <f t="shared" si="143"/>
        <v>0</v>
      </c>
      <c r="EH52" s="317">
        <f t="shared" si="143"/>
        <v>0</v>
      </c>
      <c r="EI52" s="317">
        <f t="shared" si="143"/>
        <v>0</v>
      </c>
      <c r="EJ52" s="317">
        <f t="shared" si="143"/>
        <v>0</v>
      </c>
      <c r="EK52" s="317">
        <f t="shared" si="143"/>
        <v>0</v>
      </c>
      <c r="EL52" s="317">
        <f t="shared" si="143"/>
        <v>0</v>
      </c>
      <c r="EM52" s="317">
        <f t="shared" si="143"/>
        <v>0</v>
      </c>
      <c r="EN52" s="317">
        <f t="shared" si="143"/>
        <v>0</v>
      </c>
      <c r="EO52" s="317">
        <f t="shared" si="143"/>
        <v>0</v>
      </c>
      <c r="EP52" s="317">
        <f t="shared" si="143"/>
        <v>0</v>
      </c>
      <c r="EQ52" s="317">
        <f t="shared" si="143"/>
        <v>0</v>
      </c>
      <c r="ER52" s="317">
        <f t="shared" si="143"/>
        <v>0</v>
      </c>
      <c r="ES52" s="317">
        <f t="shared" si="143"/>
        <v>0</v>
      </c>
      <c r="ET52" s="317">
        <f t="shared" si="143"/>
        <v>0</v>
      </c>
      <c r="EU52" s="317">
        <f t="shared" si="143"/>
        <v>0</v>
      </c>
      <c r="EV52" s="317">
        <f t="shared" si="143"/>
        <v>0</v>
      </c>
      <c r="EW52" s="317">
        <f t="shared" si="143"/>
        <v>0</v>
      </c>
      <c r="EX52" s="317">
        <f t="shared" si="143"/>
        <v>0</v>
      </c>
      <c r="EY52" s="317">
        <f t="shared" si="143"/>
        <v>0</v>
      </c>
      <c r="EZ52" s="317">
        <f t="shared" si="143"/>
        <v>0</v>
      </c>
      <c r="FA52" s="317">
        <f t="shared" si="143"/>
        <v>0</v>
      </c>
      <c r="FB52" s="317">
        <f t="shared" si="143"/>
        <v>0</v>
      </c>
      <c r="FC52" s="317">
        <f t="shared" si="143"/>
        <v>0</v>
      </c>
      <c r="FD52" s="317">
        <f t="shared" si="143"/>
        <v>0</v>
      </c>
      <c r="FE52" s="317">
        <f t="shared" si="143"/>
        <v>0</v>
      </c>
      <c r="FF52" s="317">
        <f t="shared" si="143"/>
        <v>0</v>
      </c>
      <c r="FG52" s="317">
        <f t="shared" si="143"/>
        <v>0</v>
      </c>
      <c r="FH52" s="317">
        <f t="shared" si="143"/>
        <v>0</v>
      </c>
      <c r="FI52" s="317">
        <f t="shared" si="143"/>
        <v>0</v>
      </c>
      <c r="FJ52" s="317">
        <f t="shared" ref="FJ52:GD52" si="144">-IF(FJ$13=1,$D$52*FJ51,0)</f>
        <v>0</v>
      </c>
      <c r="FK52" s="317">
        <f t="shared" si="144"/>
        <v>0</v>
      </c>
      <c r="FL52" s="317">
        <f t="shared" si="144"/>
        <v>0</v>
      </c>
      <c r="FM52" s="317">
        <f t="shared" si="144"/>
        <v>0</v>
      </c>
      <c r="FN52" s="317">
        <f t="shared" si="144"/>
        <v>0</v>
      </c>
      <c r="FO52" s="317">
        <f t="shared" si="144"/>
        <v>0</v>
      </c>
      <c r="FP52" s="317">
        <f t="shared" si="144"/>
        <v>0</v>
      </c>
      <c r="FQ52" s="317">
        <f t="shared" si="144"/>
        <v>0</v>
      </c>
      <c r="FR52" s="317">
        <f t="shared" si="144"/>
        <v>0</v>
      </c>
      <c r="FS52" s="317">
        <f t="shared" si="144"/>
        <v>0</v>
      </c>
      <c r="FT52" s="317">
        <f t="shared" si="144"/>
        <v>0</v>
      </c>
      <c r="FU52" s="317">
        <f t="shared" si="144"/>
        <v>0</v>
      </c>
      <c r="FV52" s="317">
        <f t="shared" si="144"/>
        <v>0</v>
      </c>
      <c r="FW52" s="317">
        <f t="shared" si="144"/>
        <v>0</v>
      </c>
      <c r="FX52" s="317">
        <f t="shared" si="144"/>
        <v>0</v>
      </c>
      <c r="FY52" s="317">
        <f t="shared" si="144"/>
        <v>0</v>
      </c>
      <c r="FZ52" s="317">
        <f t="shared" si="144"/>
        <v>0</v>
      </c>
      <c r="GA52" s="317">
        <f t="shared" si="144"/>
        <v>0</v>
      </c>
      <c r="GB52" s="317">
        <f t="shared" si="144"/>
        <v>0</v>
      </c>
      <c r="GC52" s="317">
        <f t="shared" si="144"/>
        <v>0</v>
      </c>
      <c r="GD52" s="317">
        <f t="shared" si="144"/>
        <v>0</v>
      </c>
      <c r="GE52" s="317">
        <f t="shared" ref="GE52:GM52" si="145">-IF(GE$13=1,$D$52*GE51,0)</f>
        <v>0</v>
      </c>
      <c r="GF52" s="317">
        <f t="shared" si="145"/>
        <v>0</v>
      </c>
      <c r="GG52" s="317">
        <f t="shared" si="145"/>
        <v>0</v>
      </c>
      <c r="GH52" s="317">
        <f t="shared" si="145"/>
        <v>0</v>
      </c>
      <c r="GI52" s="317">
        <f t="shared" si="145"/>
        <v>0</v>
      </c>
      <c r="GJ52" s="317">
        <f t="shared" si="145"/>
        <v>0</v>
      </c>
      <c r="GK52" s="317">
        <f t="shared" si="145"/>
        <v>0</v>
      </c>
      <c r="GL52" s="317">
        <f t="shared" si="145"/>
        <v>0</v>
      </c>
      <c r="GM52" s="317">
        <f t="shared" si="145"/>
        <v>0</v>
      </c>
      <c r="GN52" s="612"/>
      <c r="GO52" s="612"/>
      <c r="GP52" s="612"/>
      <c r="GQ52" s="63"/>
      <c r="GR52" s="63"/>
      <c r="GS52" s="63"/>
      <c r="GT52" s="63"/>
      <c r="GU52" s="63"/>
      <c r="GV52" s="63"/>
      <c r="GW52" s="63"/>
      <c r="GX52" s="63"/>
      <c r="GY52" s="63"/>
      <c r="GZ52" s="63"/>
      <c r="HA52" s="63"/>
      <c r="HB52" s="63"/>
      <c r="HC52" s="63"/>
      <c r="HD52" s="63"/>
      <c r="HE52" s="63"/>
      <c r="HF52" s="63"/>
      <c r="HG52" s="63"/>
      <c r="HH52" s="63"/>
      <c r="HI52" s="63"/>
      <c r="HJ52" s="63"/>
      <c r="HK52" s="63"/>
      <c r="HL52" s="63"/>
      <c r="HM52" s="63"/>
      <c r="HN52" s="63"/>
      <c r="HO52" s="63"/>
      <c r="HP52" s="63"/>
      <c r="HQ52" s="63"/>
      <c r="HR52" s="63"/>
      <c r="HS52" s="63"/>
      <c r="HT52" s="63"/>
      <c r="HU52" s="63"/>
      <c r="HV52" s="63"/>
      <c r="HW52" s="63"/>
      <c r="HX52" s="63"/>
      <c r="HY52" s="63"/>
      <c r="HZ52" s="63"/>
      <c r="IA52" s="63"/>
      <c r="IB52" s="63"/>
      <c r="IC52" s="63"/>
      <c r="ID52" s="63"/>
      <c r="IE52" s="63"/>
      <c r="IF52" s="63"/>
      <c r="IG52" s="63"/>
      <c r="IH52" s="63"/>
      <c r="II52" s="63"/>
      <c r="IJ52" s="63"/>
      <c r="IK52" s="63"/>
      <c r="IL52" s="63"/>
      <c r="IM52" s="63"/>
      <c r="IN52" s="63"/>
      <c r="IO52" s="63"/>
      <c r="IP52" s="63"/>
      <c r="IQ52" s="63"/>
      <c r="IR52" s="63"/>
      <c r="IS52" s="63"/>
      <c r="IT52" s="63"/>
      <c r="IU52" s="63"/>
      <c r="IV52" s="63"/>
      <c r="IW52" s="63"/>
      <c r="IX52" s="63"/>
      <c r="IY52" s="63"/>
      <c r="IZ52" s="63"/>
      <c r="JA52" s="63"/>
      <c r="JB52" s="63"/>
      <c r="JC52" s="63"/>
      <c r="JD52" s="63"/>
      <c r="JE52" s="63"/>
      <c r="JF52" s="63"/>
      <c r="JG52" s="63"/>
      <c r="JH52" s="63"/>
      <c r="JI52" s="63"/>
      <c r="JJ52" s="63"/>
      <c r="JK52" s="63"/>
      <c r="JL52" s="63"/>
      <c r="JM52" s="63"/>
      <c r="JN52" s="63"/>
      <c r="JO52" s="63"/>
      <c r="JP52" s="63"/>
      <c r="JQ52" s="63"/>
      <c r="JR52" s="63"/>
      <c r="JS52" s="63"/>
      <c r="JT52" s="63"/>
      <c r="JU52" s="63"/>
      <c r="JV52" s="63"/>
      <c r="JW52" s="63"/>
      <c r="JX52" s="63"/>
      <c r="JY52" s="63"/>
      <c r="JZ52" s="63"/>
      <c r="KA52" s="63"/>
      <c r="KB52" s="63"/>
      <c r="KC52" s="63"/>
      <c r="KD52" s="63"/>
      <c r="KE52" s="63"/>
      <c r="KF52" s="63"/>
      <c r="KG52" s="63"/>
      <c r="KH52" s="63"/>
      <c r="KI52" s="63"/>
      <c r="KJ52" s="63"/>
      <c r="KK52" s="63"/>
      <c r="KL52" s="63"/>
      <c r="KM52" s="63"/>
      <c r="KN52" s="63"/>
      <c r="KO52" s="63"/>
      <c r="KP52" s="63"/>
      <c r="KQ52" s="63"/>
      <c r="KR52" s="63"/>
      <c r="KS52" s="63"/>
      <c r="KT52" s="63"/>
      <c r="KU52" s="63"/>
      <c r="KV52" s="63"/>
      <c r="KW52" s="63"/>
      <c r="KX52" s="63"/>
      <c r="KY52" s="63"/>
      <c r="KZ52" s="63"/>
      <c r="LA52" s="63"/>
      <c r="LB52" s="63"/>
      <c r="LC52" s="63"/>
      <c r="LD52" s="63"/>
      <c r="LE52" s="63"/>
      <c r="LF52" s="63"/>
      <c r="LG52" s="63"/>
      <c r="LH52" s="63"/>
      <c r="LI52" s="63"/>
      <c r="LJ52" s="63"/>
      <c r="LK52" s="63"/>
      <c r="LL52" s="63"/>
      <c r="LM52" s="63"/>
      <c r="LN52" s="63"/>
      <c r="LO52" s="63"/>
      <c r="LP52" s="63"/>
      <c r="LQ52" s="63"/>
      <c r="LR52" s="63"/>
      <c r="LS52" s="63"/>
      <c r="LT52" s="63"/>
      <c r="LU52" s="63"/>
      <c r="LV52" s="63"/>
      <c r="LW52" s="63"/>
      <c r="LX52" s="63"/>
      <c r="LY52" s="63"/>
      <c r="LZ52" s="63"/>
      <c r="MA52" s="63"/>
      <c r="MB52" s="63"/>
      <c r="MC52" s="63"/>
      <c r="MD52" s="63"/>
      <c r="ME52" s="63"/>
      <c r="MF52" s="63"/>
      <c r="MG52" s="63"/>
      <c r="MH52" s="63"/>
      <c r="MI52" s="63"/>
      <c r="MJ52" s="63"/>
      <c r="MK52" s="63"/>
      <c r="ML52" s="63"/>
      <c r="MM52" s="63"/>
      <c r="MN52" s="63"/>
      <c r="MO52" s="63"/>
      <c r="MP52" s="63"/>
      <c r="MQ52" s="63"/>
      <c r="MR52" s="63"/>
      <c r="MS52" s="63"/>
      <c r="MT52" s="63"/>
      <c r="MU52" s="63"/>
      <c r="MV52" s="63"/>
      <c r="MW52" s="63"/>
      <c r="MX52" s="63"/>
      <c r="MY52" s="63"/>
      <c r="MZ52" s="63"/>
      <c r="NA52" s="63"/>
      <c r="NB52" s="63"/>
    </row>
    <row r="53" spans="2:366" ht="16" customHeight="1" x14ac:dyDescent="0.15">
      <c r="B53" t="s">
        <v>300</v>
      </c>
      <c r="C53" s="312" t="s">
        <v>150</v>
      </c>
      <c r="F53" s="27">
        <f t="shared" ref="F53:AK53" si="146">SUM(F51:F52)</f>
        <v>0</v>
      </c>
      <c r="G53" s="27">
        <f t="shared" si="146"/>
        <v>0</v>
      </c>
      <c r="H53" s="27">
        <f t="shared" si="146"/>
        <v>0</v>
      </c>
      <c r="I53" s="27">
        <f t="shared" si="146"/>
        <v>0</v>
      </c>
      <c r="J53" s="27">
        <f t="shared" si="146"/>
        <v>0</v>
      </c>
      <c r="K53" s="27">
        <f t="shared" si="146"/>
        <v>0</v>
      </c>
      <c r="L53" s="27">
        <f t="shared" si="146"/>
        <v>0</v>
      </c>
      <c r="M53" s="27">
        <f t="shared" si="146"/>
        <v>0</v>
      </c>
      <c r="N53" s="27">
        <f t="shared" si="146"/>
        <v>0</v>
      </c>
      <c r="O53" s="27">
        <f t="shared" si="146"/>
        <v>0</v>
      </c>
      <c r="P53" s="27">
        <f t="shared" si="146"/>
        <v>0</v>
      </c>
      <c r="Q53" s="27">
        <f t="shared" si="146"/>
        <v>0</v>
      </c>
      <c r="R53" s="27">
        <f t="shared" si="146"/>
        <v>0</v>
      </c>
      <c r="S53" s="27">
        <f t="shared" si="146"/>
        <v>0</v>
      </c>
      <c r="T53" s="27">
        <f t="shared" si="146"/>
        <v>0</v>
      </c>
      <c r="U53" s="27">
        <f t="shared" si="146"/>
        <v>0</v>
      </c>
      <c r="V53" s="27">
        <f t="shared" si="146"/>
        <v>0</v>
      </c>
      <c r="W53" s="27">
        <f t="shared" si="146"/>
        <v>0</v>
      </c>
      <c r="X53" s="27">
        <f t="shared" si="146"/>
        <v>0</v>
      </c>
      <c r="Y53" s="27">
        <f t="shared" si="146"/>
        <v>0</v>
      </c>
      <c r="Z53" s="27">
        <f t="shared" si="146"/>
        <v>0</v>
      </c>
      <c r="AA53" s="27">
        <f t="shared" si="146"/>
        <v>0</v>
      </c>
      <c r="AB53" s="27">
        <f t="shared" si="146"/>
        <v>0</v>
      </c>
      <c r="AC53" s="27">
        <f t="shared" si="146"/>
        <v>0</v>
      </c>
      <c r="AD53" s="27">
        <f t="shared" si="146"/>
        <v>0</v>
      </c>
      <c r="AE53" s="27">
        <f t="shared" si="146"/>
        <v>0</v>
      </c>
      <c r="AF53" s="27">
        <f t="shared" si="146"/>
        <v>0</v>
      </c>
      <c r="AG53" s="27">
        <f t="shared" si="146"/>
        <v>0</v>
      </c>
      <c r="AH53" s="27">
        <f t="shared" si="146"/>
        <v>0</v>
      </c>
      <c r="AI53" s="27">
        <f t="shared" si="146"/>
        <v>0</v>
      </c>
      <c r="AJ53" s="27">
        <f t="shared" si="146"/>
        <v>0</v>
      </c>
      <c r="AK53" s="27">
        <f t="shared" si="146"/>
        <v>0</v>
      </c>
      <c r="AL53" s="27">
        <f t="shared" ref="AL53:BQ53" si="147">SUM(AL51:AL52)</f>
        <v>0</v>
      </c>
      <c r="AM53" s="27">
        <f t="shared" si="147"/>
        <v>0</v>
      </c>
      <c r="AN53" s="27">
        <f t="shared" si="147"/>
        <v>0</v>
      </c>
      <c r="AO53" s="27">
        <f t="shared" si="147"/>
        <v>0</v>
      </c>
      <c r="AP53" s="27">
        <f t="shared" si="147"/>
        <v>0</v>
      </c>
      <c r="AQ53" s="27">
        <f t="shared" si="147"/>
        <v>0</v>
      </c>
      <c r="AR53" s="27">
        <f t="shared" si="147"/>
        <v>0</v>
      </c>
      <c r="AS53" s="27">
        <f t="shared" si="147"/>
        <v>0</v>
      </c>
      <c r="AT53" s="27">
        <f t="shared" si="147"/>
        <v>0</v>
      </c>
      <c r="AU53" s="27">
        <f t="shared" si="147"/>
        <v>0</v>
      </c>
      <c r="AV53" s="27">
        <f t="shared" si="147"/>
        <v>0</v>
      </c>
      <c r="AW53" s="27">
        <f t="shared" si="147"/>
        <v>0</v>
      </c>
      <c r="AX53" s="27">
        <f t="shared" si="147"/>
        <v>0</v>
      </c>
      <c r="AY53" s="27">
        <f t="shared" si="147"/>
        <v>0</v>
      </c>
      <c r="AZ53" s="27">
        <f t="shared" si="147"/>
        <v>0</v>
      </c>
      <c r="BA53" s="27">
        <f t="shared" si="147"/>
        <v>0</v>
      </c>
      <c r="BB53" s="27">
        <f t="shared" si="147"/>
        <v>0</v>
      </c>
      <c r="BC53" s="27">
        <f t="shared" si="147"/>
        <v>0</v>
      </c>
      <c r="BD53" s="27">
        <f t="shared" si="147"/>
        <v>0</v>
      </c>
      <c r="BE53" s="27">
        <f t="shared" si="147"/>
        <v>0</v>
      </c>
      <c r="BF53" s="27">
        <f t="shared" si="147"/>
        <v>0</v>
      </c>
      <c r="BG53" s="27">
        <f t="shared" si="147"/>
        <v>0</v>
      </c>
      <c r="BH53" s="27">
        <f t="shared" si="147"/>
        <v>0</v>
      </c>
      <c r="BI53" s="27">
        <f t="shared" si="147"/>
        <v>0</v>
      </c>
      <c r="BJ53" s="27">
        <f t="shared" si="147"/>
        <v>0</v>
      </c>
      <c r="BK53" s="27">
        <f t="shared" si="147"/>
        <v>0</v>
      </c>
      <c r="BL53" s="27">
        <f t="shared" si="147"/>
        <v>0</v>
      </c>
      <c r="BM53" s="27">
        <f t="shared" si="147"/>
        <v>0</v>
      </c>
      <c r="BN53" s="27">
        <f t="shared" si="147"/>
        <v>0</v>
      </c>
      <c r="BO53" s="27">
        <f t="shared" si="147"/>
        <v>0</v>
      </c>
      <c r="BP53" s="27">
        <f t="shared" si="147"/>
        <v>0</v>
      </c>
      <c r="BQ53" s="27">
        <f t="shared" si="147"/>
        <v>0</v>
      </c>
      <c r="BR53" s="27">
        <f t="shared" ref="BR53:CW53" si="148">SUM(BR51:BR52)</f>
        <v>0</v>
      </c>
      <c r="BS53" s="27">
        <f t="shared" si="148"/>
        <v>0</v>
      </c>
      <c r="BT53" s="27">
        <f t="shared" si="148"/>
        <v>0</v>
      </c>
      <c r="BU53" s="27">
        <f t="shared" si="148"/>
        <v>0</v>
      </c>
      <c r="BV53" s="27">
        <f t="shared" si="148"/>
        <v>0</v>
      </c>
      <c r="BW53" s="27">
        <f t="shared" si="148"/>
        <v>0</v>
      </c>
      <c r="BX53" s="27">
        <f t="shared" si="148"/>
        <v>0</v>
      </c>
      <c r="BY53" s="27">
        <f t="shared" si="148"/>
        <v>0</v>
      </c>
      <c r="BZ53" s="27">
        <f t="shared" si="148"/>
        <v>0</v>
      </c>
      <c r="CA53" s="27">
        <f t="shared" si="148"/>
        <v>0</v>
      </c>
      <c r="CB53" s="27">
        <f t="shared" si="148"/>
        <v>0</v>
      </c>
      <c r="CC53" s="27">
        <f t="shared" si="148"/>
        <v>0</v>
      </c>
      <c r="CD53" s="27">
        <f t="shared" si="148"/>
        <v>0</v>
      </c>
      <c r="CE53" s="27">
        <f t="shared" si="148"/>
        <v>0</v>
      </c>
      <c r="CF53" s="27">
        <f t="shared" si="148"/>
        <v>0</v>
      </c>
      <c r="CG53" s="27">
        <f t="shared" si="148"/>
        <v>0</v>
      </c>
      <c r="CH53" s="27">
        <f t="shared" si="148"/>
        <v>0</v>
      </c>
      <c r="CI53" s="27">
        <f t="shared" si="148"/>
        <v>0</v>
      </c>
      <c r="CJ53" s="27">
        <f t="shared" si="148"/>
        <v>0</v>
      </c>
      <c r="CK53" s="27">
        <f t="shared" si="148"/>
        <v>0</v>
      </c>
      <c r="CL53" s="27">
        <f t="shared" si="148"/>
        <v>0</v>
      </c>
      <c r="CM53" s="27">
        <f t="shared" si="148"/>
        <v>0</v>
      </c>
      <c r="CN53" s="27">
        <f t="shared" si="148"/>
        <v>0</v>
      </c>
      <c r="CO53" s="27">
        <f t="shared" si="148"/>
        <v>0</v>
      </c>
      <c r="CP53" s="27">
        <f t="shared" si="148"/>
        <v>0</v>
      </c>
      <c r="CQ53" s="27">
        <f t="shared" si="148"/>
        <v>0</v>
      </c>
      <c r="CR53" s="27">
        <f t="shared" si="148"/>
        <v>0</v>
      </c>
      <c r="CS53" s="27">
        <f t="shared" si="148"/>
        <v>0</v>
      </c>
      <c r="CT53" s="27">
        <f t="shared" si="148"/>
        <v>0</v>
      </c>
      <c r="CU53" s="27">
        <f t="shared" si="148"/>
        <v>0</v>
      </c>
      <c r="CV53" s="27">
        <f t="shared" si="148"/>
        <v>0</v>
      </c>
      <c r="CW53" s="27">
        <f t="shared" si="148"/>
        <v>0</v>
      </c>
      <c r="CX53" s="27">
        <f t="shared" ref="CX53:EC53" si="149">SUM(CX51:CX52)</f>
        <v>0</v>
      </c>
      <c r="CY53" s="27">
        <f t="shared" si="149"/>
        <v>0</v>
      </c>
      <c r="CZ53" s="27">
        <f t="shared" si="149"/>
        <v>0</v>
      </c>
      <c r="DA53" s="27">
        <f t="shared" si="149"/>
        <v>0</v>
      </c>
      <c r="DB53" s="27">
        <f t="shared" si="149"/>
        <v>0</v>
      </c>
      <c r="DC53" s="27">
        <f t="shared" si="149"/>
        <v>0</v>
      </c>
      <c r="DD53" s="27">
        <f t="shared" si="149"/>
        <v>0</v>
      </c>
      <c r="DE53" s="27">
        <f t="shared" si="149"/>
        <v>0</v>
      </c>
      <c r="DF53" s="27">
        <f t="shared" si="149"/>
        <v>0</v>
      </c>
      <c r="DG53" s="27">
        <f t="shared" si="149"/>
        <v>0</v>
      </c>
      <c r="DH53" s="27">
        <f t="shared" si="149"/>
        <v>0</v>
      </c>
      <c r="DI53" s="27">
        <f t="shared" si="149"/>
        <v>0</v>
      </c>
      <c r="DJ53" s="27">
        <f t="shared" si="149"/>
        <v>0</v>
      </c>
      <c r="DK53" s="27">
        <f t="shared" si="149"/>
        <v>0</v>
      </c>
      <c r="DL53" s="27">
        <f t="shared" si="149"/>
        <v>0</v>
      </c>
      <c r="DM53" s="27">
        <f t="shared" si="149"/>
        <v>0</v>
      </c>
      <c r="DN53" s="27">
        <f t="shared" si="149"/>
        <v>0</v>
      </c>
      <c r="DO53" s="27">
        <f t="shared" si="149"/>
        <v>0</v>
      </c>
      <c r="DP53" s="27">
        <f t="shared" si="149"/>
        <v>0</v>
      </c>
      <c r="DQ53" s="27">
        <f t="shared" si="149"/>
        <v>0</v>
      </c>
      <c r="DR53" s="27">
        <f t="shared" si="149"/>
        <v>0</v>
      </c>
      <c r="DS53" s="27">
        <f t="shared" si="149"/>
        <v>0</v>
      </c>
      <c r="DT53" s="27">
        <f t="shared" si="149"/>
        <v>0</v>
      </c>
      <c r="DU53" s="27">
        <f t="shared" si="149"/>
        <v>0</v>
      </c>
      <c r="DV53" s="27">
        <f t="shared" si="149"/>
        <v>7686124.8028224399</v>
      </c>
      <c r="DW53" s="27">
        <f t="shared" si="149"/>
        <v>0</v>
      </c>
      <c r="DX53" s="27">
        <f t="shared" si="149"/>
        <v>0</v>
      </c>
      <c r="DY53" s="27">
        <f t="shared" si="149"/>
        <v>0</v>
      </c>
      <c r="DZ53" s="27">
        <f t="shared" si="149"/>
        <v>0</v>
      </c>
      <c r="EA53" s="27">
        <f t="shared" si="149"/>
        <v>0</v>
      </c>
      <c r="EB53" s="27">
        <f t="shared" si="149"/>
        <v>0</v>
      </c>
      <c r="EC53" s="27">
        <f t="shared" si="149"/>
        <v>0</v>
      </c>
      <c r="ED53" s="27">
        <f t="shared" ref="ED53:FI53" si="150">SUM(ED51:ED52)</f>
        <v>0</v>
      </c>
      <c r="EE53" s="27">
        <f t="shared" si="150"/>
        <v>0</v>
      </c>
      <c r="EF53" s="27">
        <f t="shared" si="150"/>
        <v>0</v>
      </c>
      <c r="EG53" s="27">
        <f t="shared" si="150"/>
        <v>0</v>
      </c>
      <c r="EH53" s="27">
        <f t="shared" si="150"/>
        <v>0</v>
      </c>
      <c r="EI53" s="27">
        <f t="shared" si="150"/>
        <v>0</v>
      </c>
      <c r="EJ53" s="27">
        <f t="shared" si="150"/>
        <v>0</v>
      </c>
      <c r="EK53" s="27">
        <f t="shared" si="150"/>
        <v>0</v>
      </c>
      <c r="EL53" s="27">
        <f t="shared" si="150"/>
        <v>0</v>
      </c>
      <c r="EM53" s="27">
        <f t="shared" si="150"/>
        <v>0</v>
      </c>
      <c r="EN53" s="27">
        <f t="shared" si="150"/>
        <v>0</v>
      </c>
      <c r="EO53" s="27">
        <f t="shared" si="150"/>
        <v>0</v>
      </c>
      <c r="EP53" s="27">
        <f t="shared" si="150"/>
        <v>0</v>
      </c>
      <c r="EQ53" s="27">
        <f t="shared" si="150"/>
        <v>0</v>
      </c>
      <c r="ER53" s="27">
        <f t="shared" si="150"/>
        <v>0</v>
      </c>
      <c r="ES53" s="27">
        <f t="shared" si="150"/>
        <v>0</v>
      </c>
      <c r="ET53" s="27">
        <f t="shared" si="150"/>
        <v>0</v>
      </c>
      <c r="EU53" s="27">
        <f t="shared" si="150"/>
        <v>0</v>
      </c>
      <c r="EV53" s="27">
        <f t="shared" si="150"/>
        <v>0</v>
      </c>
      <c r="EW53" s="27">
        <f t="shared" si="150"/>
        <v>0</v>
      </c>
      <c r="EX53" s="27">
        <f t="shared" si="150"/>
        <v>0</v>
      </c>
      <c r="EY53" s="27">
        <f t="shared" si="150"/>
        <v>0</v>
      </c>
      <c r="EZ53" s="27">
        <f t="shared" si="150"/>
        <v>0</v>
      </c>
      <c r="FA53" s="27">
        <f t="shared" si="150"/>
        <v>0</v>
      </c>
      <c r="FB53" s="27">
        <f t="shared" si="150"/>
        <v>0</v>
      </c>
      <c r="FC53" s="27">
        <f t="shared" si="150"/>
        <v>0</v>
      </c>
      <c r="FD53" s="27">
        <f t="shared" si="150"/>
        <v>0</v>
      </c>
      <c r="FE53" s="27">
        <f t="shared" si="150"/>
        <v>0</v>
      </c>
      <c r="FF53" s="27">
        <f t="shared" si="150"/>
        <v>0</v>
      </c>
      <c r="FG53" s="27">
        <f t="shared" si="150"/>
        <v>0</v>
      </c>
      <c r="FH53" s="27">
        <f t="shared" si="150"/>
        <v>0</v>
      </c>
      <c r="FI53" s="27">
        <f t="shared" si="150"/>
        <v>0</v>
      </c>
      <c r="FJ53" s="27">
        <f t="shared" ref="FJ53:GD53" si="151">SUM(FJ51:FJ52)</f>
        <v>0</v>
      </c>
      <c r="FK53" s="27">
        <f t="shared" si="151"/>
        <v>0</v>
      </c>
      <c r="FL53" s="27">
        <f t="shared" si="151"/>
        <v>0</v>
      </c>
      <c r="FM53" s="27">
        <f t="shared" si="151"/>
        <v>0</v>
      </c>
      <c r="FN53" s="27">
        <f t="shared" si="151"/>
        <v>0</v>
      </c>
      <c r="FO53" s="27">
        <f t="shared" si="151"/>
        <v>0</v>
      </c>
      <c r="FP53" s="27">
        <f t="shared" si="151"/>
        <v>0</v>
      </c>
      <c r="FQ53" s="27">
        <f t="shared" si="151"/>
        <v>0</v>
      </c>
      <c r="FR53" s="27">
        <f t="shared" si="151"/>
        <v>0</v>
      </c>
      <c r="FS53" s="27">
        <f t="shared" si="151"/>
        <v>0</v>
      </c>
      <c r="FT53" s="27">
        <f t="shared" si="151"/>
        <v>0</v>
      </c>
      <c r="FU53" s="27">
        <f t="shared" si="151"/>
        <v>0</v>
      </c>
      <c r="FV53" s="27">
        <f t="shared" si="151"/>
        <v>0</v>
      </c>
      <c r="FW53" s="27">
        <f t="shared" si="151"/>
        <v>0</v>
      </c>
      <c r="FX53" s="27">
        <f t="shared" si="151"/>
        <v>0</v>
      </c>
      <c r="FY53" s="27">
        <f t="shared" si="151"/>
        <v>0</v>
      </c>
      <c r="FZ53" s="27">
        <f t="shared" si="151"/>
        <v>0</v>
      </c>
      <c r="GA53" s="27">
        <f t="shared" si="151"/>
        <v>0</v>
      </c>
      <c r="GB53" s="27">
        <f t="shared" si="151"/>
        <v>0</v>
      </c>
      <c r="GC53" s="27">
        <f t="shared" si="151"/>
        <v>0</v>
      </c>
      <c r="GD53" s="27">
        <f t="shared" si="151"/>
        <v>0</v>
      </c>
      <c r="GE53" s="27">
        <f t="shared" ref="GE53:GM53" si="152">SUM(GE51:GE52)</f>
        <v>0</v>
      </c>
      <c r="GF53" s="27">
        <f t="shared" si="152"/>
        <v>0</v>
      </c>
      <c r="GG53" s="27">
        <f t="shared" si="152"/>
        <v>0</v>
      </c>
      <c r="GH53" s="27">
        <f t="shared" si="152"/>
        <v>0</v>
      </c>
      <c r="GI53" s="27">
        <f t="shared" si="152"/>
        <v>0</v>
      </c>
      <c r="GJ53" s="27">
        <f t="shared" si="152"/>
        <v>0</v>
      </c>
      <c r="GK53" s="27">
        <f t="shared" si="152"/>
        <v>0</v>
      </c>
      <c r="GL53" s="27">
        <f t="shared" si="152"/>
        <v>0</v>
      </c>
      <c r="GM53" s="27">
        <f t="shared" si="152"/>
        <v>0</v>
      </c>
      <c r="GN53" s="27"/>
      <c r="GO53" s="27"/>
      <c r="GP53" s="27"/>
      <c r="GQ53" s="27"/>
      <c r="GR53" s="27"/>
      <c r="GS53" s="27"/>
      <c r="GT53" s="27"/>
      <c r="GU53" s="27"/>
      <c r="GV53" s="27"/>
      <c r="GW53" s="27"/>
      <c r="GX53" s="27"/>
      <c r="GY53" s="27"/>
      <c r="GZ53" s="27"/>
      <c r="HA53" s="27"/>
      <c r="HB53" s="27"/>
      <c r="HC53" s="27"/>
      <c r="HD53" s="27"/>
      <c r="HE53" s="27"/>
      <c r="HF53" s="27"/>
      <c r="HG53" s="27"/>
      <c r="HH53" s="27"/>
      <c r="HI53" s="27"/>
      <c r="HJ53" s="27"/>
      <c r="HK53" s="27"/>
      <c r="HL53" s="27"/>
      <c r="HM53" s="27"/>
      <c r="HN53" s="27"/>
      <c r="HO53" s="27"/>
      <c r="HP53" s="27"/>
      <c r="HQ53" s="27"/>
      <c r="HR53" s="27"/>
      <c r="HS53" s="27"/>
      <c r="HT53" s="27"/>
      <c r="HU53" s="27"/>
      <c r="HV53" s="27"/>
      <c r="HW53" s="27"/>
      <c r="HX53" s="27"/>
      <c r="HY53" s="27"/>
      <c r="HZ53" s="27"/>
      <c r="IA53" s="27"/>
      <c r="IB53" s="27"/>
      <c r="IC53" s="27"/>
      <c r="ID53" s="27"/>
      <c r="IE53" s="27"/>
      <c r="IF53" s="27"/>
      <c r="IG53" s="27"/>
      <c r="IH53" s="27"/>
      <c r="II53" s="27"/>
      <c r="IJ53" s="27"/>
      <c r="IK53" s="27"/>
      <c r="IL53" s="27"/>
      <c r="IM53" s="27"/>
      <c r="IN53" s="27"/>
      <c r="IO53" s="27"/>
      <c r="IP53" s="27"/>
      <c r="IQ53" s="27"/>
      <c r="IR53" s="27"/>
      <c r="IS53" s="27"/>
      <c r="IT53" s="27"/>
      <c r="IU53" s="27"/>
      <c r="IV53" s="27"/>
      <c r="IW53" s="27"/>
      <c r="IX53" s="27"/>
      <c r="IY53" s="27"/>
      <c r="IZ53" s="27"/>
      <c r="JA53" s="27"/>
      <c r="JB53" s="27"/>
      <c r="JC53" s="27"/>
      <c r="JD53" s="27"/>
      <c r="JE53" s="27"/>
      <c r="JF53" s="27"/>
      <c r="JG53" s="27"/>
      <c r="JH53" s="27"/>
      <c r="JI53" s="27"/>
      <c r="JJ53" s="27"/>
      <c r="JK53" s="27"/>
      <c r="JL53" s="27"/>
      <c r="JM53" s="27"/>
      <c r="JN53" s="27"/>
      <c r="JO53" s="27"/>
      <c r="JP53" s="27"/>
      <c r="JQ53" s="27"/>
      <c r="JR53" s="27"/>
      <c r="JS53" s="27"/>
      <c r="JT53" s="27"/>
      <c r="JU53" s="27"/>
      <c r="JV53" s="27"/>
      <c r="JW53" s="27"/>
      <c r="JX53" s="27"/>
      <c r="JY53" s="27"/>
      <c r="JZ53" s="27"/>
      <c r="KA53" s="27"/>
      <c r="KB53" s="27"/>
      <c r="KC53" s="27"/>
      <c r="KD53" s="27"/>
      <c r="KE53" s="27"/>
      <c r="KF53" s="27"/>
      <c r="KG53" s="27"/>
      <c r="KH53" s="27"/>
      <c r="KI53" s="27"/>
      <c r="KJ53" s="27"/>
      <c r="KK53" s="27"/>
      <c r="KL53" s="27"/>
      <c r="KM53" s="27"/>
      <c r="KN53" s="27"/>
      <c r="KO53" s="27"/>
      <c r="KP53" s="27"/>
      <c r="KQ53" s="27"/>
      <c r="KR53" s="27"/>
      <c r="KS53" s="27"/>
      <c r="KT53" s="27"/>
      <c r="KU53" s="27"/>
      <c r="KV53" s="27"/>
      <c r="KW53" s="27"/>
      <c r="KX53" s="27"/>
      <c r="KY53" s="27"/>
      <c r="KZ53" s="27"/>
      <c r="LA53" s="27"/>
      <c r="LB53" s="27"/>
      <c r="LC53" s="27"/>
      <c r="LD53" s="27"/>
      <c r="LE53" s="27"/>
      <c r="LF53" s="27"/>
      <c r="LG53" s="27"/>
      <c r="LH53" s="27"/>
      <c r="LI53" s="27"/>
      <c r="LJ53" s="27"/>
      <c r="LK53" s="27"/>
      <c r="LL53" s="27"/>
      <c r="LM53" s="27"/>
      <c r="LN53" s="27"/>
      <c r="LO53" s="27"/>
      <c r="LP53" s="27"/>
      <c r="LQ53" s="27"/>
      <c r="LR53" s="27"/>
      <c r="LS53" s="27"/>
      <c r="LT53" s="27"/>
      <c r="LU53" s="27"/>
      <c r="LV53" s="27"/>
      <c r="LW53" s="27"/>
      <c r="LX53" s="27"/>
      <c r="LY53" s="27"/>
      <c r="LZ53" s="27"/>
      <c r="MA53" s="27"/>
      <c r="MB53" s="27"/>
      <c r="MC53" s="27"/>
      <c r="MD53" s="27"/>
      <c r="ME53" s="27"/>
      <c r="MF53" s="27"/>
      <c r="MG53" s="27"/>
      <c r="MH53" s="27"/>
      <c r="MI53" s="27"/>
      <c r="MJ53" s="27"/>
      <c r="MK53" s="27"/>
      <c r="ML53" s="27"/>
      <c r="MM53" s="27"/>
      <c r="MN53" s="27"/>
      <c r="MO53" s="27"/>
      <c r="MP53" s="27"/>
      <c r="MQ53" s="27"/>
      <c r="MR53" s="27"/>
      <c r="MS53" s="27"/>
      <c r="MT53" s="27"/>
      <c r="MU53" s="27"/>
      <c r="MV53" s="27"/>
      <c r="MW53" s="27"/>
      <c r="MX53" s="27"/>
      <c r="MY53" s="27"/>
      <c r="MZ53" s="27"/>
      <c r="NA53" s="27"/>
      <c r="NB53" s="27"/>
    </row>
    <row r="54" spans="2:366" ht="16" customHeight="1" x14ac:dyDescent="0.15">
      <c r="B54" s="332" t="s">
        <v>57</v>
      </c>
      <c r="C54" s="376" t="s">
        <v>150</v>
      </c>
      <c r="D54" s="333"/>
      <c r="E54" s="334"/>
      <c r="F54" s="318">
        <f>(F$26+F$48+F$51+F$52)*F$10</f>
        <v>-6224400</v>
      </c>
      <c r="G54" s="318">
        <f t="shared" ref="G54:BR54" si="153">(G$26+G$48+G$51+G$52)*G$10</f>
        <v>-31712.425534333335</v>
      </c>
      <c r="H54" s="318">
        <f t="shared" si="153"/>
        <v>-31712.425534333335</v>
      </c>
      <c r="I54" s="318">
        <f t="shared" si="153"/>
        <v>-31712.425534333335</v>
      </c>
      <c r="J54" s="318">
        <f t="shared" si="153"/>
        <v>-31712.425534333335</v>
      </c>
      <c r="K54" s="318">
        <f t="shared" si="153"/>
        <v>-31712.425534333335</v>
      </c>
      <c r="L54" s="318">
        <f t="shared" si="153"/>
        <v>-31712.425534333335</v>
      </c>
      <c r="M54" s="318">
        <f t="shared" si="153"/>
        <v>-31712.425534333335</v>
      </c>
      <c r="N54" s="318">
        <f t="shared" si="153"/>
        <v>-31712.425534333335</v>
      </c>
      <c r="O54" s="318">
        <f t="shared" si="153"/>
        <v>28450.780899166675</v>
      </c>
      <c r="P54" s="318">
        <f t="shared" si="153"/>
        <v>28450.780899166675</v>
      </c>
      <c r="Q54" s="318">
        <f t="shared" si="153"/>
        <v>28450.780899166675</v>
      </c>
      <c r="R54" s="318">
        <f t="shared" si="153"/>
        <v>28450.780899166675</v>
      </c>
      <c r="S54" s="318">
        <f t="shared" si="153"/>
        <v>29184.681202895841</v>
      </c>
      <c r="T54" s="318">
        <f t="shared" si="153"/>
        <v>29184.681202895841</v>
      </c>
      <c r="U54" s="318">
        <f t="shared" si="153"/>
        <v>29184.681202895841</v>
      </c>
      <c r="V54" s="318">
        <f t="shared" si="153"/>
        <v>29184.681202895841</v>
      </c>
      <c r="W54" s="318">
        <f t="shared" si="153"/>
        <v>29184.681202895841</v>
      </c>
      <c r="X54" s="318">
        <f t="shared" si="153"/>
        <v>29184.681202895841</v>
      </c>
      <c r="Y54" s="318">
        <f t="shared" si="153"/>
        <v>29184.681202895841</v>
      </c>
      <c r="Z54" s="318">
        <f t="shared" si="153"/>
        <v>29184.681202895841</v>
      </c>
      <c r="AA54" s="318">
        <f t="shared" si="153"/>
        <v>29184.681202895841</v>
      </c>
      <c r="AB54" s="318">
        <f t="shared" si="153"/>
        <v>29184.681202895841</v>
      </c>
      <c r="AC54" s="318">
        <f t="shared" si="153"/>
        <v>29184.681202895841</v>
      </c>
      <c r="AD54" s="318">
        <f t="shared" si="153"/>
        <v>29184.681202895841</v>
      </c>
      <c r="AE54" s="318">
        <f t="shared" si="153"/>
        <v>29937.381629843228</v>
      </c>
      <c r="AF54" s="318">
        <f t="shared" si="153"/>
        <v>29937.381629843228</v>
      </c>
      <c r="AG54" s="318">
        <f t="shared" si="153"/>
        <v>29937.381629843228</v>
      </c>
      <c r="AH54" s="318">
        <f t="shared" si="153"/>
        <v>29937.381629843228</v>
      </c>
      <c r="AI54" s="318">
        <f t="shared" si="153"/>
        <v>29937.381629843228</v>
      </c>
      <c r="AJ54" s="318">
        <f t="shared" si="153"/>
        <v>29937.381629843228</v>
      </c>
      <c r="AK54" s="318">
        <f t="shared" si="153"/>
        <v>29937.381629843228</v>
      </c>
      <c r="AL54" s="318">
        <f t="shared" si="153"/>
        <v>29937.381629843228</v>
      </c>
      <c r="AM54" s="318">
        <f t="shared" si="153"/>
        <v>29937.381629843228</v>
      </c>
      <c r="AN54" s="318">
        <f t="shared" si="153"/>
        <v>29937.381629843228</v>
      </c>
      <c r="AO54" s="318">
        <f t="shared" si="153"/>
        <v>29937.381629843228</v>
      </c>
      <c r="AP54" s="318">
        <f t="shared" si="153"/>
        <v>29937.381629843228</v>
      </c>
      <c r="AQ54" s="318">
        <f t="shared" si="153"/>
        <v>30709.361235401801</v>
      </c>
      <c r="AR54" s="318">
        <f t="shared" si="153"/>
        <v>30709.361235401801</v>
      </c>
      <c r="AS54" s="318">
        <f t="shared" si="153"/>
        <v>30709.361235401801</v>
      </c>
      <c r="AT54" s="318">
        <f t="shared" si="153"/>
        <v>30709.361235401801</v>
      </c>
      <c r="AU54" s="318">
        <f t="shared" si="153"/>
        <v>30709.361235401801</v>
      </c>
      <c r="AV54" s="318">
        <f t="shared" si="153"/>
        <v>30709.361235401801</v>
      </c>
      <c r="AW54" s="318">
        <f t="shared" si="153"/>
        <v>30709.361235401801</v>
      </c>
      <c r="AX54" s="318">
        <f t="shared" si="153"/>
        <v>30709.361235401801</v>
      </c>
      <c r="AY54" s="318">
        <f t="shared" si="153"/>
        <v>30709.361235401801</v>
      </c>
      <c r="AZ54" s="318">
        <f t="shared" si="153"/>
        <v>30709.361235401801</v>
      </c>
      <c r="BA54" s="318">
        <f t="shared" si="153"/>
        <v>30709.361235401801</v>
      </c>
      <c r="BB54" s="318">
        <f t="shared" si="153"/>
        <v>30709.361235401801</v>
      </c>
      <c r="BC54" s="318">
        <f t="shared" si="153"/>
        <v>31501.1112323956</v>
      </c>
      <c r="BD54" s="318">
        <f t="shared" si="153"/>
        <v>31501.1112323956</v>
      </c>
      <c r="BE54" s="318">
        <f t="shared" si="153"/>
        <v>31501.1112323956</v>
      </c>
      <c r="BF54" s="318">
        <f t="shared" si="153"/>
        <v>31501.1112323956</v>
      </c>
      <c r="BG54" s="318">
        <f t="shared" si="153"/>
        <v>31501.1112323956</v>
      </c>
      <c r="BH54" s="318">
        <f t="shared" si="153"/>
        <v>31501.1112323956</v>
      </c>
      <c r="BI54" s="318">
        <f t="shared" si="153"/>
        <v>31501.1112323956</v>
      </c>
      <c r="BJ54" s="318">
        <f t="shared" si="153"/>
        <v>31501.1112323956</v>
      </c>
      <c r="BK54" s="318">
        <f t="shared" si="153"/>
        <v>31501.1112323956</v>
      </c>
      <c r="BL54" s="318">
        <f t="shared" si="153"/>
        <v>31501.1112323956</v>
      </c>
      <c r="BM54" s="318">
        <f t="shared" si="153"/>
        <v>31501.1112323956</v>
      </c>
      <c r="BN54" s="318">
        <f t="shared" si="153"/>
        <v>31501.1112323956</v>
      </c>
      <c r="BO54" s="318">
        <f t="shared" si="153"/>
        <v>32313.135298636411</v>
      </c>
      <c r="BP54" s="318">
        <f t="shared" si="153"/>
        <v>32313.135298636411</v>
      </c>
      <c r="BQ54" s="318">
        <f t="shared" si="153"/>
        <v>32313.135298636411</v>
      </c>
      <c r="BR54" s="318">
        <f t="shared" si="153"/>
        <v>32313.135298636411</v>
      </c>
      <c r="BS54" s="318">
        <f t="shared" ref="BS54:ED54" si="154">(BS$26+BS$48+BS$51+BS$52)*BS$10</f>
        <v>32313.135298636411</v>
      </c>
      <c r="BT54" s="318">
        <f t="shared" si="154"/>
        <v>32313.135298636411</v>
      </c>
      <c r="BU54" s="318">
        <f t="shared" si="154"/>
        <v>32313.135298636411</v>
      </c>
      <c r="BV54" s="318">
        <f t="shared" si="154"/>
        <v>32313.135298636411</v>
      </c>
      <c r="BW54" s="318">
        <f t="shared" si="154"/>
        <v>32313.135298636411</v>
      </c>
      <c r="BX54" s="318">
        <f t="shared" si="154"/>
        <v>32313.135298636411</v>
      </c>
      <c r="BY54" s="318">
        <f t="shared" si="154"/>
        <v>32313.135298636411</v>
      </c>
      <c r="BZ54" s="318">
        <f t="shared" si="154"/>
        <v>32313.135298636411</v>
      </c>
      <c r="CA54" s="318">
        <f t="shared" si="154"/>
        <v>33145.949892241857</v>
      </c>
      <c r="CB54" s="318">
        <f t="shared" si="154"/>
        <v>33145.949892241857</v>
      </c>
      <c r="CC54" s="318">
        <f t="shared" si="154"/>
        <v>33145.949892241857</v>
      </c>
      <c r="CD54" s="318">
        <f t="shared" si="154"/>
        <v>33145.949892241857</v>
      </c>
      <c r="CE54" s="318">
        <f t="shared" si="154"/>
        <v>33145.949892241857</v>
      </c>
      <c r="CF54" s="318">
        <f t="shared" si="154"/>
        <v>33145.949892241857</v>
      </c>
      <c r="CG54" s="318">
        <f t="shared" si="154"/>
        <v>33145.949892241857</v>
      </c>
      <c r="CH54" s="318">
        <f t="shared" si="154"/>
        <v>33145.949892241857</v>
      </c>
      <c r="CI54" s="318">
        <f t="shared" si="154"/>
        <v>33145.949892241857</v>
      </c>
      <c r="CJ54" s="318">
        <f t="shared" si="154"/>
        <v>33145.949892241857</v>
      </c>
      <c r="CK54" s="318">
        <f t="shared" si="154"/>
        <v>33145.949892241857</v>
      </c>
      <c r="CL54" s="318">
        <f t="shared" si="154"/>
        <v>33145.949892241857</v>
      </c>
      <c r="CM54" s="318">
        <f t="shared" si="154"/>
        <v>34000.08457491023</v>
      </c>
      <c r="CN54" s="318">
        <f t="shared" si="154"/>
        <v>34000.08457491023</v>
      </c>
      <c r="CO54" s="318">
        <f t="shared" si="154"/>
        <v>34000.08457491023</v>
      </c>
      <c r="CP54" s="318">
        <f t="shared" si="154"/>
        <v>34000.08457491023</v>
      </c>
      <c r="CQ54" s="318">
        <f t="shared" si="154"/>
        <v>34000.08457491023</v>
      </c>
      <c r="CR54" s="318">
        <f t="shared" si="154"/>
        <v>34000.08457491023</v>
      </c>
      <c r="CS54" s="318">
        <f t="shared" si="154"/>
        <v>34000.08457491023</v>
      </c>
      <c r="CT54" s="318">
        <f t="shared" si="154"/>
        <v>34000.08457491023</v>
      </c>
      <c r="CU54" s="318">
        <f t="shared" si="154"/>
        <v>34000.08457491023</v>
      </c>
      <c r="CV54" s="318">
        <f t="shared" si="154"/>
        <v>34000.08457491023</v>
      </c>
      <c r="CW54" s="318">
        <f t="shared" si="154"/>
        <v>34000.08457491023</v>
      </c>
      <c r="CX54" s="318">
        <f t="shared" si="154"/>
        <v>34000.08457491023</v>
      </c>
      <c r="CY54" s="318">
        <f t="shared" si="154"/>
        <v>34876.082343352566</v>
      </c>
      <c r="CZ54" s="318">
        <f t="shared" si="154"/>
        <v>34876.082343352566</v>
      </c>
      <c r="DA54" s="318">
        <f t="shared" si="154"/>
        <v>34876.082343352566</v>
      </c>
      <c r="DB54" s="318">
        <f t="shared" si="154"/>
        <v>34876.082343352566</v>
      </c>
      <c r="DC54" s="318">
        <f t="shared" si="154"/>
        <v>34876.082343352566</v>
      </c>
      <c r="DD54" s="318">
        <f t="shared" si="154"/>
        <v>34876.082343352566</v>
      </c>
      <c r="DE54" s="318">
        <f t="shared" si="154"/>
        <v>34876.082343352566</v>
      </c>
      <c r="DF54" s="318">
        <f t="shared" si="154"/>
        <v>34876.082343352566</v>
      </c>
      <c r="DG54" s="318">
        <f t="shared" si="154"/>
        <v>34876.082343352566</v>
      </c>
      <c r="DH54" s="318">
        <f t="shared" si="154"/>
        <v>34876.082343352566</v>
      </c>
      <c r="DI54" s="318">
        <f t="shared" si="154"/>
        <v>34876.082343352566</v>
      </c>
      <c r="DJ54" s="318">
        <f t="shared" si="154"/>
        <v>34876.082343352566</v>
      </c>
      <c r="DK54" s="318">
        <f t="shared" si="154"/>
        <v>35774.499969087345</v>
      </c>
      <c r="DL54" s="318">
        <f t="shared" si="154"/>
        <v>35774.499969087345</v>
      </c>
      <c r="DM54" s="318">
        <f t="shared" si="154"/>
        <v>35774.499969087345</v>
      </c>
      <c r="DN54" s="318">
        <f t="shared" si="154"/>
        <v>35774.499969087345</v>
      </c>
      <c r="DO54" s="318">
        <f t="shared" si="154"/>
        <v>35774.499969087345</v>
      </c>
      <c r="DP54" s="318">
        <f t="shared" si="154"/>
        <v>35774.499969087345</v>
      </c>
      <c r="DQ54" s="318">
        <f t="shared" si="154"/>
        <v>35774.499969087345</v>
      </c>
      <c r="DR54" s="318">
        <f t="shared" si="154"/>
        <v>35774.499969087345</v>
      </c>
      <c r="DS54" s="318">
        <f t="shared" si="154"/>
        <v>35774.499969087345</v>
      </c>
      <c r="DT54" s="318">
        <f t="shared" si="154"/>
        <v>35774.499969087345</v>
      </c>
      <c r="DU54" s="318">
        <f t="shared" si="154"/>
        <v>35774.499969087345</v>
      </c>
      <c r="DV54" s="318">
        <f t="shared" si="154"/>
        <v>7721899.3027915275</v>
      </c>
      <c r="DW54" s="318">
        <f t="shared" si="154"/>
        <v>0</v>
      </c>
      <c r="DX54" s="318">
        <f t="shared" si="154"/>
        <v>0</v>
      </c>
      <c r="DY54" s="318">
        <f t="shared" si="154"/>
        <v>0</v>
      </c>
      <c r="DZ54" s="318">
        <f t="shared" si="154"/>
        <v>0</v>
      </c>
      <c r="EA54" s="318">
        <f t="shared" si="154"/>
        <v>0</v>
      </c>
      <c r="EB54" s="318">
        <f t="shared" si="154"/>
        <v>0</v>
      </c>
      <c r="EC54" s="318">
        <f t="shared" si="154"/>
        <v>0</v>
      </c>
      <c r="ED54" s="318">
        <f t="shared" si="154"/>
        <v>0</v>
      </c>
      <c r="EE54" s="318">
        <f t="shared" ref="EE54:GM54" si="155">(EE$26+EE$48+EE$51+EE$52)*EE$10</f>
        <v>0</v>
      </c>
      <c r="EF54" s="318">
        <f t="shared" si="155"/>
        <v>0</v>
      </c>
      <c r="EG54" s="318">
        <f t="shared" si="155"/>
        <v>0</v>
      </c>
      <c r="EH54" s="318">
        <f t="shared" si="155"/>
        <v>0</v>
      </c>
      <c r="EI54" s="318">
        <f t="shared" si="155"/>
        <v>0</v>
      </c>
      <c r="EJ54" s="318">
        <f t="shared" si="155"/>
        <v>0</v>
      </c>
      <c r="EK54" s="318">
        <f t="shared" si="155"/>
        <v>0</v>
      </c>
      <c r="EL54" s="318">
        <f t="shared" si="155"/>
        <v>0</v>
      </c>
      <c r="EM54" s="318">
        <f t="shared" si="155"/>
        <v>0</v>
      </c>
      <c r="EN54" s="318">
        <f t="shared" si="155"/>
        <v>0</v>
      </c>
      <c r="EO54" s="318">
        <f t="shared" si="155"/>
        <v>0</v>
      </c>
      <c r="EP54" s="318">
        <f t="shared" si="155"/>
        <v>0</v>
      </c>
      <c r="EQ54" s="318">
        <f t="shared" si="155"/>
        <v>0</v>
      </c>
      <c r="ER54" s="318">
        <f t="shared" si="155"/>
        <v>0</v>
      </c>
      <c r="ES54" s="318">
        <f t="shared" si="155"/>
        <v>0</v>
      </c>
      <c r="ET54" s="318">
        <f t="shared" si="155"/>
        <v>0</v>
      </c>
      <c r="EU54" s="318">
        <f t="shared" si="155"/>
        <v>0</v>
      </c>
      <c r="EV54" s="318">
        <f t="shared" si="155"/>
        <v>0</v>
      </c>
      <c r="EW54" s="318">
        <f t="shared" si="155"/>
        <v>0</v>
      </c>
      <c r="EX54" s="318">
        <f t="shared" si="155"/>
        <v>0</v>
      </c>
      <c r="EY54" s="318">
        <f t="shared" si="155"/>
        <v>0</v>
      </c>
      <c r="EZ54" s="318">
        <f t="shared" si="155"/>
        <v>0</v>
      </c>
      <c r="FA54" s="318">
        <f t="shared" si="155"/>
        <v>0</v>
      </c>
      <c r="FB54" s="318">
        <f t="shared" si="155"/>
        <v>0</v>
      </c>
      <c r="FC54" s="318">
        <f t="shared" si="155"/>
        <v>0</v>
      </c>
      <c r="FD54" s="318">
        <f t="shared" si="155"/>
        <v>0</v>
      </c>
      <c r="FE54" s="318">
        <f t="shared" si="155"/>
        <v>0</v>
      </c>
      <c r="FF54" s="318">
        <f t="shared" si="155"/>
        <v>0</v>
      </c>
      <c r="FG54" s="318">
        <f t="shared" si="155"/>
        <v>0</v>
      </c>
      <c r="FH54" s="318">
        <f t="shared" si="155"/>
        <v>0</v>
      </c>
      <c r="FI54" s="318">
        <f t="shared" si="155"/>
        <v>0</v>
      </c>
      <c r="FJ54" s="318">
        <f t="shared" si="155"/>
        <v>0</v>
      </c>
      <c r="FK54" s="318">
        <f t="shared" si="155"/>
        <v>0</v>
      </c>
      <c r="FL54" s="318">
        <f t="shared" si="155"/>
        <v>0</v>
      </c>
      <c r="FM54" s="318">
        <f t="shared" si="155"/>
        <v>0</v>
      </c>
      <c r="FN54" s="318">
        <f t="shared" si="155"/>
        <v>0</v>
      </c>
      <c r="FO54" s="318">
        <f t="shared" si="155"/>
        <v>0</v>
      </c>
      <c r="FP54" s="318">
        <f t="shared" si="155"/>
        <v>0</v>
      </c>
      <c r="FQ54" s="318">
        <f t="shared" si="155"/>
        <v>0</v>
      </c>
      <c r="FR54" s="318">
        <f t="shared" si="155"/>
        <v>0</v>
      </c>
      <c r="FS54" s="318">
        <f t="shared" si="155"/>
        <v>0</v>
      </c>
      <c r="FT54" s="318">
        <f t="shared" si="155"/>
        <v>0</v>
      </c>
      <c r="FU54" s="318">
        <f t="shared" si="155"/>
        <v>0</v>
      </c>
      <c r="FV54" s="318">
        <f t="shared" si="155"/>
        <v>0</v>
      </c>
      <c r="FW54" s="318">
        <f t="shared" si="155"/>
        <v>0</v>
      </c>
      <c r="FX54" s="318">
        <f t="shared" si="155"/>
        <v>0</v>
      </c>
      <c r="FY54" s="318">
        <f t="shared" si="155"/>
        <v>0</v>
      </c>
      <c r="FZ54" s="318">
        <f t="shared" si="155"/>
        <v>0</v>
      </c>
      <c r="GA54" s="318">
        <f t="shared" si="155"/>
        <v>0</v>
      </c>
      <c r="GB54" s="318">
        <f t="shared" si="155"/>
        <v>0</v>
      </c>
      <c r="GC54" s="318">
        <f t="shared" si="155"/>
        <v>0</v>
      </c>
      <c r="GD54" s="318">
        <f t="shared" si="155"/>
        <v>0</v>
      </c>
      <c r="GE54" s="318">
        <f t="shared" si="155"/>
        <v>0</v>
      </c>
      <c r="GF54" s="318">
        <f t="shared" si="155"/>
        <v>0</v>
      </c>
      <c r="GG54" s="318">
        <f t="shared" si="155"/>
        <v>0</v>
      </c>
      <c r="GH54" s="318">
        <f t="shared" si="155"/>
        <v>0</v>
      </c>
      <c r="GI54" s="318">
        <f t="shared" si="155"/>
        <v>0</v>
      </c>
      <c r="GJ54" s="318">
        <f t="shared" si="155"/>
        <v>0</v>
      </c>
      <c r="GK54" s="318">
        <f t="shared" si="155"/>
        <v>0</v>
      </c>
      <c r="GL54" s="318">
        <f t="shared" si="155"/>
        <v>0</v>
      </c>
      <c r="GM54" s="318">
        <f t="shared" si="155"/>
        <v>0</v>
      </c>
      <c r="GN54" s="318"/>
      <c r="GO54" s="318"/>
      <c r="GP54" s="318"/>
      <c r="GQ54" s="27"/>
      <c r="GR54" s="27"/>
      <c r="GS54" s="27"/>
      <c r="GT54" s="27"/>
      <c r="GU54" s="27"/>
      <c r="GV54" s="27"/>
      <c r="GW54" s="27"/>
      <c r="GX54" s="27"/>
      <c r="GY54" s="27"/>
      <c r="GZ54" s="27"/>
      <c r="HA54" s="27"/>
      <c r="HB54" s="27"/>
      <c r="HC54" s="27"/>
      <c r="HD54" s="27"/>
      <c r="HE54" s="27"/>
      <c r="HF54" s="27"/>
      <c r="HG54" s="27"/>
      <c r="HH54" s="27"/>
      <c r="HI54" s="27"/>
      <c r="HJ54" s="27"/>
      <c r="HK54" s="27"/>
      <c r="HL54" s="27"/>
      <c r="HM54" s="27"/>
      <c r="HN54" s="27"/>
      <c r="HO54" s="27"/>
      <c r="HP54" s="27"/>
      <c r="HQ54" s="27"/>
      <c r="HR54" s="27"/>
      <c r="HS54" s="27"/>
      <c r="HT54" s="27"/>
      <c r="HU54" s="27"/>
      <c r="HV54" s="27"/>
      <c r="HW54" s="27"/>
      <c r="HX54" s="27"/>
      <c r="HY54" s="27"/>
      <c r="HZ54" s="27"/>
      <c r="IA54" s="27"/>
      <c r="IB54" s="27"/>
      <c r="IC54" s="27"/>
      <c r="ID54" s="27"/>
      <c r="IE54" s="27"/>
      <c r="IF54" s="27"/>
      <c r="IG54" s="27"/>
      <c r="IH54" s="27"/>
      <c r="II54" s="27"/>
      <c r="IJ54" s="27"/>
      <c r="IK54" s="27"/>
      <c r="IL54" s="27"/>
      <c r="IM54" s="27"/>
      <c r="IN54" s="27"/>
      <c r="IO54" s="27"/>
      <c r="IP54" s="27"/>
      <c r="IQ54" s="27"/>
      <c r="IR54" s="27"/>
      <c r="IS54" s="27"/>
      <c r="IT54" s="27"/>
      <c r="IU54" s="27"/>
      <c r="IV54" s="27"/>
      <c r="IW54" s="27"/>
      <c r="IX54" s="27"/>
      <c r="IY54" s="27"/>
      <c r="IZ54" s="27"/>
      <c r="JA54" s="27"/>
      <c r="JB54" s="27"/>
      <c r="JC54" s="27"/>
      <c r="JD54" s="27"/>
      <c r="JE54" s="27"/>
      <c r="JF54" s="27"/>
      <c r="JG54" s="27"/>
      <c r="JH54" s="27"/>
      <c r="JI54" s="27"/>
      <c r="JJ54" s="27"/>
      <c r="JK54" s="27"/>
      <c r="JL54" s="27"/>
      <c r="JM54" s="27"/>
      <c r="JN54" s="27"/>
      <c r="JO54" s="27"/>
      <c r="JP54" s="27"/>
      <c r="JQ54" s="27"/>
      <c r="JR54" s="27"/>
      <c r="JS54" s="27"/>
      <c r="JT54" s="27"/>
      <c r="JU54" s="27"/>
      <c r="JV54" s="27"/>
      <c r="JW54" s="27"/>
      <c r="JX54" s="27"/>
      <c r="JY54" s="27"/>
      <c r="JZ54" s="27"/>
      <c r="KA54" s="27"/>
      <c r="KB54" s="27"/>
      <c r="KC54" s="27"/>
      <c r="KD54" s="27"/>
      <c r="KE54" s="27"/>
      <c r="KF54" s="27"/>
      <c r="KG54" s="27"/>
      <c r="KH54" s="27"/>
      <c r="KI54" s="27"/>
      <c r="KJ54" s="27"/>
      <c r="KK54" s="27"/>
      <c r="KL54" s="27"/>
      <c r="KM54" s="27"/>
      <c r="KN54" s="27"/>
      <c r="KO54" s="27"/>
      <c r="KP54" s="27"/>
      <c r="KQ54" s="27"/>
      <c r="KR54" s="27"/>
      <c r="KS54" s="27"/>
      <c r="KT54" s="27"/>
      <c r="KU54" s="27"/>
      <c r="KV54" s="27"/>
      <c r="KW54" s="27"/>
      <c r="KX54" s="27"/>
      <c r="KY54" s="27"/>
      <c r="KZ54" s="27"/>
      <c r="LA54" s="27"/>
      <c r="LB54" s="27"/>
      <c r="LC54" s="27"/>
      <c r="LD54" s="27"/>
      <c r="LE54" s="27"/>
      <c r="LF54" s="27"/>
      <c r="LG54" s="27"/>
      <c r="LH54" s="27"/>
      <c r="LI54" s="27"/>
      <c r="LJ54" s="27"/>
      <c r="LK54" s="27"/>
      <c r="LL54" s="27"/>
      <c r="LM54" s="27"/>
      <c r="LN54" s="27"/>
      <c r="LO54" s="27"/>
      <c r="LP54" s="27"/>
      <c r="LQ54" s="27"/>
      <c r="LR54" s="27"/>
      <c r="LS54" s="27"/>
      <c r="LT54" s="27"/>
      <c r="LU54" s="27"/>
      <c r="LV54" s="27"/>
      <c r="LW54" s="27"/>
      <c r="LX54" s="27"/>
      <c r="LY54" s="27"/>
      <c r="LZ54" s="27"/>
      <c r="MA54" s="27"/>
      <c r="MB54" s="27"/>
      <c r="MC54" s="27"/>
      <c r="MD54" s="27"/>
      <c r="ME54" s="27"/>
      <c r="MF54" s="27"/>
      <c r="MG54" s="27"/>
      <c r="MH54" s="27"/>
      <c r="MI54" s="27"/>
      <c r="MJ54" s="27"/>
      <c r="MK54" s="27"/>
      <c r="ML54" s="27"/>
      <c r="MM54" s="27"/>
      <c r="MN54" s="27"/>
      <c r="MO54" s="27"/>
      <c r="MP54" s="27"/>
      <c r="MQ54" s="27"/>
      <c r="MR54" s="27"/>
      <c r="MS54" s="27"/>
      <c r="MT54" s="27"/>
      <c r="MU54" s="27"/>
      <c r="MV54" s="27"/>
      <c r="MW54" s="27"/>
      <c r="MX54" s="27"/>
      <c r="MY54" s="27"/>
      <c r="MZ54" s="27"/>
      <c r="NA54" s="27"/>
      <c r="NB54" s="27"/>
    </row>
    <row r="55" spans="2:366" ht="16" customHeight="1" x14ac:dyDescent="0.15">
      <c r="B55" s="3"/>
      <c r="C55" s="3"/>
      <c r="E55" s="134"/>
      <c r="F55" s="27"/>
      <c r="G55" s="27"/>
      <c r="H55" s="27"/>
      <c r="I55" s="27"/>
      <c r="J55" s="27"/>
      <c r="K55" s="27"/>
      <c r="L55" s="27"/>
      <c r="M55" s="27"/>
      <c r="N55" s="27"/>
      <c r="O55" s="27"/>
      <c r="P55" s="27"/>
      <c r="Q55" s="27"/>
      <c r="R55" s="27"/>
      <c r="S55" s="27"/>
      <c r="T55" s="27"/>
      <c r="U55" s="27"/>
      <c r="V55" s="27"/>
      <c r="W55" s="27"/>
      <c r="X55" s="27"/>
      <c r="Y55" s="27"/>
      <c r="Z55" s="27"/>
      <c r="AA55" s="27"/>
      <c r="AB55" s="27"/>
      <c r="AC55" s="27"/>
      <c r="AD55" s="27"/>
      <c r="AE55" s="27"/>
      <c r="AF55" s="27"/>
      <c r="AG55" s="27"/>
      <c r="AH55" s="27"/>
      <c r="AI55" s="27"/>
      <c r="AJ55" s="27"/>
      <c r="AK55" s="27"/>
      <c r="AL55" s="27"/>
      <c r="AM55" s="27"/>
      <c r="AN55" s="27"/>
      <c r="AO55" s="27"/>
      <c r="AP55" s="27"/>
      <c r="AQ55" s="27"/>
      <c r="AR55" s="27"/>
      <c r="AS55" s="27"/>
      <c r="AT55" s="27"/>
      <c r="AU55" s="27"/>
      <c r="AV55" s="27"/>
      <c r="AW55" s="27"/>
      <c r="AX55" s="27"/>
      <c r="AY55" s="27"/>
      <c r="AZ55" s="27"/>
      <c r="BA55" s="27"/>
      <c r="BB55" s="27"/>
      <c r="BC55" s="27"/>
      <c r="BD55" s="27"/>
      <c r="BE55" s="27"/>
      <c r="BF55" s="27"/>
      <c r="BG55" s="27"/>
      <c r="BH55" s="27"/>
      <c r="BI55" s="27"/>
      <c r="BJ55" s="27"/>
      <c r="BK55" s="27"/>
      <c r="BL55" s="27"/>
      <c r="BM55" s="27"/>
      <c r="BN55" s="27"/>
      <c r="BO55" s="27"/>
      <c r="BP55" s="27"/>
      <c r="BQ55" s="27"/>
      <c r="BR55" s="27"/>
      <c r="BS55" s="27"/>
      <c r="BT55" s="27"/>
      <c r="BU55" s="27"/>
      <c r="BV55" s="27"/>
      <c r="BW55" s="27"/>
      <c r="BX55" s="27"/>
      <c r="BY55" s="27"/>
      <c r="BZ55" s="27"/>
      <c r="CA55" s="27"/>
      <c r="CB55" s="27"/>
      <c r="CC55" s="27"/>
      <c r="CD55" s="27"/>
      <c r="CE55" s="27"/>
      <c r="CF55" s="27"/>
      <c r="CG55" s="27"/>
      <c r="CH55" s="27"/>
      <c r="CI55" s="27"/>
      <c r="CJ55" s="27"/>
      <c r="CK55" s="27"/>
      <c r="CL55" s="27"/>
      <c r="CM55" s="27"/>
      <c r="CN55" s="27"/>
      <c r="CO55" s="27"/>
      <c r="CP55" s="27"/>
      <c r="CQ55" s="27"/>
      <c r="CR55" s="27"/>
      <c r="CS55" s="27"/>
      <c r="CT55" s="27"/>
      <c r="CU55" s="27"/>
      <c r="CV55" s="27"/>
      <c r="CW55" s="27"/>
      <c r="CX55" s="27"/>
      <c r="CY55" s="27"/>
      <c r="CZ55" s="27"/>
      <c r="DA55" s="27"/>
      <c r="DB55" s="27"/>
      <c r="DC55" s="27"/>
      <c r="DD55" s="27"/>
      <c r="DE55" s="27"/>
      <c r="DF55" s="27"/>
      <c r="DG55" s="27"/>
      <c r="DH55" s="27"/>
      <c r="DI55" s="27"/>
      <c r="DJ55" s="27"/>
      <c r="DK55" s="27"/>
      <c r="DL55" s="27"/>
      <c r="DM55" s="27"/>
      <c r="DN55" s="27"/>
      <c r="DO55" s="27"/>
      <c r="DP55" s="27"/>
      <c r="DQ55" s="27"/>
      <c r="DR55" s="27"/>
      <c r="DS55" s="27"/>
      <c r="DT55" s="27"/>
      <c r="DU55" s="27"/>
      <c r="DV55" s="27"/>
      <c r="DW55" s="27"/>
      <c r="DX55" s="27"/>
      <c r="DY55" s="27"/>
      <c r="DZ55" s="27"/>
      <c r="EA55" s="27"/>
      <c r="EB55" s="27"/>
      <c r="EC55" s="27"/>
      <c r="ED55" s="27"/>
      <c r="EE55" s="27"/>
      <c r="EF55" s="27"/>
      <c r="EG55" s="27"/>
      <c r="EH55" s="27"/>
      <c r="EI55" s="27"/>
      <c r="EJ55" s="27"/>
      <c r="EK55" s="27"/>
      <c r="EL55" s="27"/>
      <c r="EM55" s="27"/>
      <c r="EN55" s="27"/>
      <c r="EO55" s="27"/>
      <c r="EP55" s="27"/>
      <c r="EQ55" s="27"/>
      <c r="ER55" s="27"/>
      <c r="ES55" s="27"/>
      <c r="ET55" s="27"/>
      <c r="EU55" s="27"/>
      <c r="EV55" s="27"/>
      <c r="EW55" s="27"/>
      <c r="EX55" s="27"/>
      <c r="EY55" s="27"/>
      <c r="EZ55" s="27"/>
      <c r="FA55" s="27"/>
      <c r="FB55" s="27"/>
      <c r="FC55" s="27"/>
      <c r="FD55" s="27"/>
      <c r="FE55" s="27"/>
      <c r="FF55" s="27"/>
      <c r="FG55" s="27"/>
      <c r="FH55" s="27"/>
      <c r="FI55" s="27"/>
      <c r="FJ55" s="27"/>
      <c r="FK55" s="27"/>
      <c r="FL55" s="27"/>
      <c r="FM55" s="27"/>
      <c r="FN55" s="27"/>
      <c r="FO55" s="27"/>
      <c r="FP55" s="27"/>
      <c r="FQ55" s="27"/>
      <c r="FR55" s="27"/>
      <c r="FS55" s="27"/>
      <c r="FT55" s="27"/>
      <c r="FU55" s="27"/>
      <c r="FV55" s="27"/>
      <c r="FW55" s="27"/>
      <c r="FX55" s="27"/>
      <c r="FY55" s="27"/>
      <c r="FZ55" s="27"/>
      <c r="GA55" s="27"/>
      <c r="GB55" s="27"/>
      <c r="GC55" s="27"/>
      <c r="GD55" s="27"/>
      <c r="GE55" s="27"/>
      <c r="GF55" s="27"/>
      <c r="GG55" s="27"/>
      <c r="GH55" s="27"/>
      <c r="GI55" s="27"/>
      <c r="GJ55" s="27"/>
      <c r="GK55" s="27"/>
      <c r="GL55" s="27"/>
      <c r="GM55" s="27"/>
      <c r="GN55" s="27"/>
      <c r="GO55" s="27"/>
      <c r="GP55" s="27"/>
      <c r="GQ55" s="27"/>
      <c r="GR55" s="27"/>
      <c r="GS55" s="27"/>
      <c r="GT55" s="27"/>
      <c r="GU55" s="27"/>
      <c r="GV55" s="27"/>
      <c r="GW55" s="27"/>
      <c r="GX55" s="27"/>
      <c r="GY55" s="27"/>
      <c r="GZ55" s="27"/>
      <c r="HA55" s="27"/>
      <c r="HB55" s="27"/>
      <c r="HC55" s="27"/>
      <c r="HD55" s="27"/>
      <c r="HE55" s="27"/>
      <c r="HF55" s="27"/>
      <c r="HG55" s="27"/>
      <c r="HH55" s="27"/>
      <c r="HI55" s="27"/>
      <c r="HJ55" s="27"/>
      <c r="HK55" s="27"/>
      <c r="HL55" s="27"/>
      <c r="HM55" s="27"/>
      <c r="HN55" s="27"/>
      <c r="HO55" s="27"/>
      <c r="HP55" s="27"/>
      <c r="HQ55" s="27"/>
      <c r="HR55" s="27"/>
      <c r="HS55" s="27"/>
      <c r="HT55" s="27"/>
      <c r="HU55" s="27"/>
      <c r="HV55" s="27"/>
      <c r="HW55" s="27"/>
      <c r="HX55" s="27"/>
      <c r="HY55" s="27"/>
      <c r="HZ55" s="27"/>
      <c r="IA55" s="27"/>
      <c r="IB55" s="27"/>
      <c r="IC55" s="27"/>
      <c r="ID55" s="27"/>
      <c r="IE55" s="27"/>
      <c r="IF55" s="27"/>
      <c r="IG55" s="27"/>
      <c r="IH55" s="27"/>
      <c r="II55" s="27"/>
      <c r="IJ55" s="27"/>
      <c r="IK55" s="27"/>
      <c r="IL55" s="27"/>
      <c r="IM55" s="27"/>
      <c r="IN55" s="27"/>
      <c r="IO55" s="27"/>
      <c r="IP55" s="27"/>
      <c r="IQ55" s="27"/>
      <c r="IR55" s="27"/>
      <c r="IS55" s="27"/>
      <c r="IT55" s="27"/>
      <c r="IU55" s="27"/>
      <c r="IV55" s="27"/>
      <c r="IW55" s="27"/>
      <c r="IX55" s="27"/>
      <c r="IY55" s="27"/>
      <c r="IZ55" s="27"/>
      <c r="JA55" s="27"/>
      <c r="JB55" s="27"/>
      <c r="JC55" s="27"/>
      <c r="JD55" s="27"/>
      <c r="JE55" s="27"/>
      <c r="JF55" s="27"/>
      <c r="JG55" s="27"/>
      <c r="JH55" s="27"/>
      <c r="JI55" s="27"/>
      <c r="JJ55" s="27"/>
      <c r="JK55" s="27"/>
      <c r="JL55" s="27"/>
      <c r="JM55" s="27"/>
      <c r="JN55" s="27"/>
      <c r="JO55" s="27"/>
      <c r="JP55" s="27"/>
      <c r="JQ55" s="27"/>
      <c r="JR55" s="27"/>
      <c r="JS55" s="27"/>
      <c r="JT55" s="27"/>
      <c r="JU55" s="27"/>
      <c r="JV55" s="27"/>
      <c r="JW55" s="27"/>
      <c r="JX55" s="27"/>
      <c r="JY55" s="27"/>
      <c r="JZ55" s="27"/>
      <c r="KA55" s="27"/>
      <c r="KB55" s="27"/>
      <c r="KC55" s="27"/>
      <c r="KD55" s="27"/>
      <c r="KE55" s="27"/>
      <c r="KF55" s="27"/>
      <c r="KG55" s="27"/>
      <c r="KH55" s="27"/>
      <c r="KI55" s="27"/>
      <c r="KJ55" s="27"/>
      <c r="KK55" s="27"/>
      <c r="KL55" s="27"/>
      <c r="KM55" s="27"/>
      <c r="KN55" s="27"/>
      <c r="KO55" s="27"/>
      <c r="KP55" s="27"/>
      <c r="KQ55" s="27"/>
      <c r="KR55" s="27"/>
      <c r="KS55" s="27"/>
      <c r="KT55" s="27"/>
      <c r="KU55" s="27"/>
      <c r="KV55" s="27"/>
      <c r="KW55" s="27"/>
      <c r="KX55" s="27"/>
      <c r="KY55" s="27"/>
      <c r="KZ55" s="27"/>
      <c r="LA55" s="27"/>
      <c r="LB55" s="27"/>
      <c r="LC55" s="27"/>
      <c r="LD55" s="27"/>
      <c r="LE55" s="27"/>
      <c r="LF55" s="27"/>
      <c r="LG55" s="27"/>
      <c r="LH55" s="27"/>
      <c r="LI55" s="27"/>
      <c r="LJ55" s="27"/>
      <c r="LK55" s="27"/>
      <c r="LL55" s="27"/>
      <c r="LM55" s="27"/>
      <c r="LN55" s="27"/>
      <c r="LO55" s="27"/>
      <c r="LP55" s="27"/>
      <c r="LQ55" s="27"/>
      <c r="LR55" s="27"/>
      <c r="LS55" s="27"/>
      <c r="LT55" s="27"/>
      <c r="LU55" s="27"/>
      <c r="LV55" s="27"/>
      <c r="LW55" s="27"/>
      <c r="LX55" s="27"/>
      <c r="LY55" s="27"/>
      <c r="LZ55" s="27"/>
      <c r="MA55" s="27"/>
      <c r="MB55" s="27"/>
      <c r="MC55" s="27"/>
      <c r="MD55" s="27"/>
      <c r="ME55" s="27"/>
      <c r="MF55" s="27"/>
      <c r="MG55" s="27"/>
      <c r="MH55" s="27"/>
      <c r="MI55" s="27"/>
      <c r="MJ55" s="27"/>
      <c r="MK55" s="27"/>
      <c r="ML55" s="27"/>
      <c r="MM55" s="27"/>
      <c r="MN55" s="27"/>
      <c r="MO55" s="27"/>
      <c r="MP55" s="27"/>
      <c r="MQ55" s="27"/>
      <c r="MR55" s="27"/>
      <c r="MS55" s="27"/>
      <c r="MT55" s="27"/>
      <c r="MU55" s="27"/>
      <c r="MV55" s="27"/>
      <c r="MW55" s="27"/>
      <c r="MX55" s="27"/>
      <c r="MY55" s="27"/>
      <c r="MZ55" s="27"/>
      <c r="NA55" s="27"/>
      <c r="NB55" s="27"/>
    </row>
    <row r="56" spans="2:366" ht="16" customHeight="1" x14ac:dyDescent="0.15">
      <c r="B56" s="3" t="s">
        <v>8</v>
      </c>
      <c r="C56" s="3"/>
      <c r="D56" s="95"/>
      <c r="E56" s="322"/>
      <c r="F56" s="119"/>
      <c r="G56" s="119"/>
      <c r="H56" s="119"/>
      <c r="I56" s="119"/>
      <c r="J56" s="119"/>
      <c r="K56" s="119"/>
      <c r="L56" s="119"/>
      <c r="M56" s="119"/>
      <c r="N56" s="119"/>
      <c r="O56" s="119"/>
      <c r="P56" s="119"/>
      <c r="Q56" s="119"/>
      <c r="R56" s="119"/>
      <c r="S56" s="119"/>
      <c r="T56" s="119"/>
      <c r="U56" s="119"/>
      <c r="V56" s="119"/>
      <c r="W56" s="119"/>
      <c r="X56" s="119"/>
      <c r="Y56" s="119"/>
      <c r="Z56" s="119"/>
      <c r="AA56" s="119"/>
      <c r="AB56" s="119"/>
      <c r="AC56" s="119"/>
      <c r="AD56" s="119"/>
      <c r="AE56" s="119"/>
      <c r="AF56" s="119"/>
      <c r="AG56" s="119"/>
      <c r="AH56" s="119"/>
      <c r="AI56" s="119"/>
      <c r="AJ56" s="119"/>
      <c r="AK56" s="119"/>
      <c r="AL56" s="119"/>
      <c r="AM56" s="119"/>
      <c r="AN56" s="119"/>
      <c r="AO56" s="119"/>
      <c r="AP56" s="119"/>
      <c r="AQ56" s="119"/>
      <c r="AR56" s="119"/>
      <c r="AS56" s="119"/>
      <c r="AT56" s="119"/>
      <c r="AU56" s="119"/>
      <c r="AV56" s="119"/>
      <c r="AW56" s="119"/>
      <c r="AX56" s="119"/>
      <c r="AY56" s="119"/>
      <c r="AZ56" s="119"/>
      <c r="BA56" s="119"/>
      <c r="BB56" s="119"/>
      <c r="BC56" s="119"/>
      <c r="BD56" s="119"/>
      <c r="BE56" s="119"/>
      <c r="BF56" s="119"/>
      <c r="BG56" s="119"/>
      <c r="BH56" s="119"/>
      <c r="BI56" s="119"/>
      <c r="BJ56" s="119"/>
      <c r="BK56" s="119"/>
      <c r="BL56" s="119"/>
      <c r="BM56" s="119"/>
      <c r="BN56" s="119"/>
      <c r="BO56" s="119"/>
      <c r="BP56" s="119"/>
      <c r="BQ56" s="119"/>
      <c r="BR56" s="119"/>
      <c r="BS56" s="119"/>
      <c r="BT56" s="119"/>
      <c r="BU56" s="119"/>
      <c r="BV56" s="119"/>
      <c r="BW56" s="119"/>
      <c r="BX56" s="119"/>
      <c r="BY56" s="119"/>
      <c r="BZ56" s="119"/>
      <c r="CA56" s="119"/>
      <c r="CB56" s="119"/>
      <c r="CC56" s="119"/>
      <c r="CD56" s="119"/>
      <c r="CE56" s="119"/>
      <c r="CF56" s="119"/>
      <c r="CG56" s="119"/>
      <c r="CH56" s="119"/>
      <c r="CI56" s="119"/>
      <c r="CJ56" s="119"/>
      <c r="CK56" s="119"/>
      <c r="CL56" s="119"/>
      <c r="CM56" s="119"/>
      <c r="CN56" s="119"/>
      <c r="CO56" s="119"/>
      <c r="CP56" s="119"/>
      <c r="CQ56" s="119"/>
      <c r="CR56" s="119"/>
      <c r="CS56" s="119"/>
      <c r="CT56" s="119"/>
      <c r="CU56" s="119"/>
      <c r="CV56" s="119"/>
      <c r="CW56" s="119"/>
      <c r="CX56" s="119"/>
      <c r="CY56" s="119"/>
      <c r="CZ56" s="119"/>
      <c r="DA56" s="119"/>
      <c r="DB56" s="119"/>
      <c r="DC56" s="119"/>
      <c r="DD56" s="119"/>
      <c r="DE56" s="119"/>
      <c r="DF56" s="119"/>
      <c r="DG56" s="119"/>
      <c r="DH56" s="119"/>
      <c r="DI56" s="119"/>
      <c r="DJ56" s="119"/>
      <c r="DK56" s="119"/>
      <c r="DL56" s="119"/>
      <c r="DM56" s="119"/>
      <c r="DN56" s="119"/>
      <c r="DO56" s="119"/>
      <c r="DP56" s="119"/>
      <c r="DQ56" s="119"/>
      <c r="DR56" s="119"/>
      <c r="DS56" s="119"/>
      <c r="DT56" s="119"/>
      <c r="DU56" s="119"/>
      <c r="DV56" s="119"/>
      <c r="DW56" s="119"/>
      <c r="DX56" s="119"/>
      <c r="DY56" s="119"/>
      <c r="DZ56" s="119"/>
      <c r="EA56" s="119"/>
      <c r="EB56" s="119"/>
      <c r="EC56" s="119"/>
      <c r="ED56" s="119"/>
      <c r="EE56" s="119"/>
      <c r="EF56" s="119"/>
      <c r="EG56" s="119"/>
      <c r="EH56" s="119"/>
      <c r="EI56" s="119"/>
      <c r="EJ56" s="119"/>
      <c r="EK56" s="119"/>
      <c r="EL56" s="119"/>
      <c r="EM56" s="119"/>
      <c r="EN56" s="119"/>
      <c r="EO56" s="119"/>
      <c r="EP56" s="119"/>
      <c r="EQ56" s="119"/>
      <c r="ER56" s="119"/>
      <c r="ES56" s="119"/>
      <c r="ET56" s="119"/>
      <c r="EU56" s="119"/>
      <c r="EV56" s="119"/>
      <c r="EW56" s="119"/>
      <c r="EX56" s="119"/>
      <c r="EY56" s="119"/>
      <c r="EZ56" s="119"/>
      <c r="FA56" s="119"/>
      <c r="FB56" s="119"/>
      <c r="FC56" s="119"/>
      <c r="FD56" s="119"/>
      <c r="FE56" s="119"/>
      <c r="FF56" s="119"/>
      <c r="FG56" s="119"/>
      <c r="FH56" s="119"/>
      <c r="FI56" s="119"/>
      <c r="FJ56" s="119"/>
      <c r="FK56" s="119"/>
      <c r="FL56" s="119"/>
      <c r="FM56" s="119"/>
      <c r="FN56" s="119"/>
      <c r="FO56" s="119"/>
      <c r="FP56" s="119"/>
      <c r="FQ56" s="119"/>
      <c r="FR56" s="119"/>
      <c r="FS56" s="119"/>
      <c r="FT56" s="119"/>
      <c r="FU56" s="119"/>
      <c r="FV56" s="119"/>
      <c r="FW56" s="119"/>
      <c r="FX56" s="119"/>
      <c r="FY56" s="119"/>
      <c r="FZ56" s="119"/>
      <c r="GA56" s="119"/>
      <c r="GB56" s="119"/>
      <c r="GC56" s="119"/>
      <c r="GD56" s="119"/>
      <c r="GE56" s="119"/>
      <c r="GF56" s="119"/>
      <c r="GG56" s="119"/>
      <c r="GH56" s="119"/>
      <c r="GI56" s="119"/>
      <c r="GJ56" s="119"/>
      <c r="GK56" s="119"/>
      <c r="GL56" s="119"/>
      <c r="GM56" s="119"/>
      <c r="GN56" s="119"/>
      <c r="GO56" s="119"/>
      <c r="GP56" s="119"/>
      <c r="GQ56" s="27"/>
      <c r="GR56" s="27"/>
      <c r="GS56" s="27"/>
      <c r="GT56" s="27"/>
      <c r="GU56" s="27"/>
      <c r="GV56" s="27"/>
      <c r="GW56" s="27"/>
      <c r="GX56" s="27"/>
      <c r="GY56" s="27"/>
      <c r="GZ56" s="27"/>
      <c r="HA56" s="27"/>
      <c r="HB56" s="27"/>
      <c r="HC56" s="27"/>
      <c r="HD56" s="27"/>
      <c r="HE56" s="27"/>
      <c r="HF56" s="27"/>
      <c r="HG56" s="27"/>
      <c r="HH56" s="27"/>
      <c r="HI56" s="27"/>
      <c r="HJ56" s="27"/>
      <c r="HK56" s="27"/>
      <c r="HL56" s="27"/>
      <c r="HM56" s="27"/>
      <c r="HN56" s="27"/>
      <c r="HO56" s="27"/>
      <c r="HP56" s="27"/>
      <c r="HQ56" s="27"/>
      <c r="HR56" s="27"/>
      <c r="HS56" s="27"/>
      <c r="HT56" s="27"/>
      <c r="HU56" s="27"/>
      <c r="HV56" s="27"/>
      <c r="HW56" s="27"/>
      <c r="HX56" s="27"/>
      <c r="HY56" s="27"/>
      <c r="HZ56" s="27"/>
      <c r="IA56" s="27"/>
      <c r="IB56" s="27"/>
      <c r="IC56" s="27"/>
      <c r="ID56" s="27"/>
      <c r="IE56" s="27"/>
      <c r="IF56" s="27"/>
      <c r="IG56" s="27"/>
      <c r="IH56" s="27"/>
      <c r="II56" s="27"/>
      <c r="IJ56" s="27"/>
      <c r="IK56" s="27"/>
      <c r="IL56" s="27"/>
      <c r="IM56" s="27"/>
      <c r="IN56" s="27"/>
      <c r="IO56" s="27"/>
      <c r="IP56" s="27"/>
      <c r="IQ56" s="27"/>
      <c r="IR56" s="27"/>
      <c r="IS56" s="27"/>
      <c r="IT56" s="27"/>
      <c r="IU56" s="27"/>
      <c r="IV56" s="27"/>
      <c r="IW56" s="27"/>
      <c r="IX56" s="27"/>
      <c r="IY56" s="27"/>
      <c r="IZ56" s="27"/>
      <c r="JA56" s="27"/>
      <c r="JB56" s="27"/>
      <c r="JC56" s="27"/>
      <c r="JD56" s="27"/>
      <c r="JE56" s="27"/>
      <c r="JF56" s="27"/>
      <c r="JG56" s="27"/>
      <c r="JH56" s="27"/>
      <c r="JI56" s="27"/>
      <c r="JJ56" s="27"/>
      <c r="JK56" s="27"/>
      <c r="JL56" s="27"/>
      <c r="JM56" s="27"/>
      <c r="JN56" s="27"/>
      <c r="JO56" s="27"/>
      <c r="JP56" s="27"/>
      <c r="JQ56" s="27"/>
      <c r="JR56" s="27"/>
      <c r="JS56" s="27"/>
      <c r="JT56" s="27"/>
      <c r="JU56" s="27"/>
      <c r="JV56" s="27"/>
      <c r="JW56" s="27"/>
      <c r="JX56" s="27"/>
      <c r="JY56" s="27"/>
      <c r="JZ56" s="27"/>
      <c r="KA56" s="27"/>
      <c r="KB56" s="27"/>
      <c r="KC56" s="27"/>
      <c r="KD56" s="27"/>
      <c r="KE56" s="27"/>
      <c r="KF56" s="27"/>
      <c r="KG56" s="27"/>
      <c r="KH56" s="27"/>
      <c r="KI56" s="27"/>
      <c r="KJ56" s="27"/>
      <c r="KK56" s="27"/>
      <c r="KL56" s="27"/>
      <c r="KM56" s="27"/>
      <c r="KN56" s="27"/>
      <c r="KO56" s="27"/>
      <c r="KP56" s="27"/>
      <c r="KQ56" s="27"/>
      <c r="KR56" s="27"/>
      <c r="KS56" s="27"/>
      <c r="KT56" s="27"/>
      <c r="KU56" s="27"/>
      <c r="KV56" s="27"/>
      <c r="KW56" s="27"/>
      <c r="KX56" s="27"/>
      <c r="KY56" s="27"/>
      <c r="KZ56" s="27"/>
      <c r="LA56" s="27"/>
      <c r="LB56" s="27"/>
      <c r="LC56" s="27"/>
      <c r="LD56" s="27"/>
      <c r="LE56" s="27"/>
      <c r="LF56" s="27"/>
      <c r="LG56" s="27"/>
      <c r="LH56" s="27"/>
      <c r="LI56" s="27"/>
      <c r="LJ56" s="27"/>
      <c r="LK56" s="27"/>
      <c r="LL56" s="27"/>
      <c r="LM56" s="27"/>
      <c r="LN56" s="27"/>
      <c r="LO56" s="27"/>
      <c r="LP56" s="27"/>
      <c r="LQ56" s="27"/>
      <c r="LR56" s="27"/>
      <c r="LS56" s="27"/>
      <c r="LT56" s="27"/>
      <c r="LU56" s="27"/>
      <c r="LV56" s="27"/>
      <c r="LW56" s="27"/>
      <c r="LX56" s="27"/>
      <c r="LY56" s="27"/>
      <c r="LZ56" s="27"/>
      <c r="MA56" s="27"/>
      <c r="MB56" s="27"/>
      <c r="MC56" s="27"/>
      <c r="MD56" s="27"/>
      <c r="ME56" s="27"/>
      <c r="MF56" s="27"/>
      <c r="MG56" s="27"/>
      <c r="MH56" s="27"/>
      <c r="MI56" s="27"/>
      <c r="MJ56" s="27"/>
      <c r="MK56" s="27"/>
      <c r="ML56" s="27"/>
      <c r="MM56" s="27"/>
      <c r="MN56" s="27"/>
      <c r="MO56" s="27"/>
      <c r="MP56" s="27"/>
      <c r="MQ56" s="27"/>
      <c r="MR56" s="27"/>
      <c r="MS56" s="27"/>
      <c r="MT56" s="27"/>
      <c r="MU56" s="27"/>
      <c r="MV56" s="27"/>
      <c r="MW56" s="27"/>
      <c r="MX56" s="27"/>
      <c r="MY56" s="27"/>
      <c r="MZ56" s="27"/>
      <c r="NA56" s="27"/>
      <c r="NB56" s="27"/>
    </row>
    <row r="57" spans="2:366" ht="16" customHeight="1" x14ac:dyDescent="0.15">
      <c r="B57" s="71" t="s">
        <v>282</v>
      </c>
      <c r="C57" s="312" t="s">
        <v>150</v>
      </c>
      <c r="D57" s="95"/>
      <c r="E57" s="322"/>
      <c r="F57" s="119">
        <f t="shared" ref="F57:AK57" si="156">+F$86+F$93</f>
        <v>0</v>
      </c>
      <c r="G57" s="119">
        <f t="shared" si="156"/>
        <v>-17466.280858819329</v>
      </c>
      <c r="H57" s="119">
        <f t="shared" si="156"/>
        <v>-17705.66069892616</v>
      </c>
      <c r="I57" s="119">
        <f t="shared" si="156"/>
        <v>-17946.205732509035</v>
      </c>
      <c r="J57" s="119">
        <f t="shared" si="156"/>
        <v>-18187.921631206114</v>
      </c>
      <c r="K57" s="119">
        <f t="shared" si="156"/>
        <v>-18430.81409426255</v>
      </c>
      <c r="L57" s="119">
        <f t="shared" si="156"/>
        <v>-18674.888848664854</v>
      </c>
      <c r="M57" s="119">
        <f t="shared" si="156"/>
        <v>-18920.151649275937</v>
      </c>
      <c r="N57" s="119">
        <f t="shared" si="156"/>
        <v>-19166.608278970791</v>
      </c>
      <c r="O57" s="119">
        <f t="shared" si="156"/>
        <v>-19414.264548772848</v>
      </c>
      <c r="P57" s="119">
        <f t="shared" si="156"/>
        <v>-19414.264548772848</v>
      </c>
      <c r="Q57" s="119">
        <f t="shared" si="156"/>
        <v>-19414.264548772848</v>
      </c>
      <c r="R57" s="119">
        <f t="shared" si="156"/>
        <v>-19414.264548772848</v>
      </c>
      <c r="S57" s="119">
        <f t="shared" si="156"/>
        <v>-19414.264548772848</v>
      </c>
      <c r="T57" s="119">
        <f t="shared" si="156"/>
        <v>-19414.264548772848</v>
      </c>
      <c r="U57" s="119">
        <f t="shared" si="156"/>
        <v>-19414.264548772848</v>
      </c>
      <c r="V57" s="119">
        <f t="shared" si="156"/>
        <v>-19414.264548772848</v>
      </c>
      <c r="W57" s="119">
        <f t="shared" si="156"/>
        <v>-19414.264548772848</v>
      </c>
      <c r="X57" s="119">
        <f t="shared" si="156"/>
        <v>-19414.264548772848</v>
      </c>
      <c r="Y57" s="119">
        <f t="shared" si="156"/>
        <v>-16860.942162765019</v>
      </c>
      <c r="Z57" s="119">
        <f t="shared" si="156"/>
        <v>-16845.731061852253</v>
      </c>
      <c r="AA57" s="119">
        <f t="shared" si="156"/>
        <v>-16830.457989031485</v>
      </c>
      <c r="AB57" s="119">
        <f t="shared" si="156"/>
        <v>-16815.122691821489</v>
      </c>
      <c r="AC57" s="119">
        <f t="shared" si="156"/>
        <v>-16799.724916712399</v>
      </c>
      <c r="AD57" s="119">
        <f t="shared" si="156"/>
        <v>-16784.264409161522</v>
      </c>
      <c r="AE57" s="119">
        <f t="shared" si="156"/>
        <v>-16768.740913589125</v>
      </c>
      <c r="AF57" s="119">
        <f t="shared" si="156"/>
        <v>-16753.154173374212</v>
      </c>
      <c r="AG57" s="119">
        <f t="shared" si="156"/>
        <v>-16737.503930850282</v>
      </c>
      <c r="AH57" s="119">
        <f t="shared" si="156"/>
        <v>-16721.789927301059</v>
      </c>
      <c r="AI57" s="119">
        <f t="shared" si="156"/>
        <v>-16706.011902956245</v>
      </c>
      <c r="AJ57" s="119">
        <f t="shared" si="156"/>
        <v>-16690.169596987187</v>
      </c>
      <c r="AK57" s="119">
        <f t="shared" si="156"/>
        <v>-16674.262747502595</v>
      </c>
      <c r="AL57" s="119">
        <f t="shared" ref="AL57:BQ57" si="157">+AL$86+AL$93</f>
        <v>-16658.291091544193</v>
      </c>
      <c r="AM57" s="119">
        <f t="shared" si="157"/>
        <v>-16642.254365082383</v>
      </c>
      <c r="AN57" s="119">
        <f t="shared" si="157"/>
        <v>-16626.152303011888</v>
      </c>
      <c r="AO57" s="119">
        <f t="shared" si="157"/>
        <v>-16609.984639147344</v>
      </c>
      <c r="AP57" s="119">
        <f t="shared" si="157"/>
        <v>-16593.751106218926</v>
      </c>
      <c r="AQ57" s="119">
        <f t="shared" si="157"/>
        <v>-16577.451435867908</v>
      </c>
      <c r="AR57" s="119">
        <f t="shared" si="157"/>
        <v>-16561.085358642249</v>
      </c>
      <c r="AS57" s="119">
        <f t="shared" si="157"/>
        <v>-16544.652603992119</v>
      </c>
      <c r="AT57" s="119">
        <f t="shared" si="157"/>
        <v>-16528.152900265439</v>
      </c>
      <c r="AU57" s="119">
        <f t="shared" si="157"/>
        <v>-16511.585974703383</v>
      </c>
      <c r="AV57" s="119">
        <f t="shared" si="157"/>
        <v>-16494.951553435872</v>
      </c>
      <c r="AW57" s="119">
        <f t="shared" si="157"/>
        <v>-16478.249361477046</v>
      </c>
      <c r="AX57" s="119">
        <f t="shared" si="157"/>
        <v>-16461.479122720728</v>
      </c>
      <c r="AY57" s="119">
        <f t="shared" si="157"/>
        <v>-16444.64055993583</v>
      </c>
      <c r="AZ57" s="119">
        <f t="shared" si="157"/>
        <v>-16427.733394761806</v>
      </c>
      <c r="BA57" s="119">
        <f t="shared" si="157"/>
        <v>-16410.757347704035</v>
      </c>
      <c r="BB57" s="119">
        <f t="shared" si="157"/>
        <v>-16393.712138129194</v>
      </c>
      <c r="BC57" s="119">
        <f t="shared" si="157"/>
        <v>-16376.597484260628</v>
      </c>
      <c r="BD57" s="119">
        <f t="shared" si="157"/>
        <v>-16359.413103173687</v>
      </c>
      <c r="BE57" s="119">
        <f t="shared" si="157"/>
        <v>-16342.158710791051</v>
      </c>
      <c r="BF57" s="119">
        <f t="shared" si="157"/>
        <v>-16324.834021878038</v>
      </c>
      <c r="BG57" s="119">
        <f t="shared" si="157"/>
        <v>-16307.43875003788</v>
      </c>
      <c r="BH57" s="119">
        <f t="shared" si="157"/>
        <v>-16289.972607706992</v>
      </c>
      <c r="BI57" s="119">
        <f t="shared" si="157"/>
        <v>-16272.435306150226</v>
      </c>
      <c r="BJ57" s="119">
        <f t="shared" si="157"/>
        <v>-16254.826555456088</v>
      </c>
      <c r="BK57" s="119">
        <f t="shared" si="157"/>
        <v>-16237.146064531948</v>
      </c>
      <c r="BL57" s="119">
        <f t="shared" si="157"/>
        <v>-16219.393541099224</v>
      </c>
      <c r="BM57" s="119">
        <f t="shared" si="157"/>
        <v>-16201.568691688564</v>
      </c>
      <c r="BN57" s="119">
        <f t="shared" si="157"/>
        <v>-16183.671221634981</v>
      </c>
      <c r="BO57" s="119">
        <f t="shared" si="157"/>
        <v>-16165.700835072988</v>
      </c>
      <c r="BP57" s="119">
        <f t="shared" si="157"/>
        <v>-16147.657234931696</v>
      </c>
      <c r="BQ57" s="119">
        <f t="shared" si="157"/>
        <v>-16129.54012292993</v>
      </c>
      <c r="BR57" s="119">
        <f t="shared" ref="BR57:CW57" si="158">+BR$86+BR$93</f>
        <v>-16111.349199571263</v>
      </c>
      <c r="BS57" s="119">
        <f t="shared" si="158"/>
        <v>-16093.084164139098</v>
      </c>
      <c r="BT57" s="119">
        <f t="shared" si="158"/>
        <v>-16074.744714691666</v>
      </c>
      <c r="BU57" s="119">
        <f t="shared" si="158"/>
        <v>-16056.330548057065</v>
      </c>
      <c r="BV57" s="119">
        <f t="shared" si="158"/>
        <v>-16037.841359828217</v>
      </c>
      <c r="BW57" s="119">
        <f t="shared" si="158"/>
        <v>-16019.27684435787</v>
      </c>
      <c r="BX57" s="119">
        <f t="shared" si="158"/>
        <v>-16000.63669475351</v>
      </c>
      <c r="BY57" s="119">
        <f t="shared" si="158"/>
        <v>-15981.920602872318</v>
      </c>
      <c r="BZ57" s="119">
        <f t="shared" si="158"/>
        <v>-15963.128259316056</v>
      </c>
      <c r="CA57" s="119">
        <f t="shared" si="158"/>
        <v>-15944.259353425963</v>
      </c>
      <c r="CB57" s="119">
        <f t="shared" si="158"/>
        <v>-15925.313573277605</v>
      </c>
      <c r="CC57" s="119">
        <f t="shared" si="158"/>
        <v>-15906.290605675751</v>
      </c>
      <c r="CD57" s="119">
        <f t="shared" si="158"/>
        <v>-15887.190136149151</v>
      </c>
      <c r="CE57" s="119">
        <f t="shared" si="158"/>
        <v>-15868.011848945378</v>
      </c>
      <c r="CF57" s="119">
        <f t="shared" si="158"/>
        <v>-15848.755427025575</v>
      </c>
      <c r="CG57" s="119">
        <f t="shared" si="158"/>
        <v>-15829.42055205924</v>
      </c>
      <c r="CH57" s="119">
        <f t="shared" si="158"/>
        <v>-15810.006904418955</v>
      </c>
      <c r="CI57" s="119">
        <f t="shared" si="158"/>
        <v>-15790.514163175087</v>
      </c>
      <c r="CJ57" s="119">
        <f t="shared" si="158"/>
        <v>-15770.942006090512</v>
      </c>
      <c r="CK57" s="119">
        <f t="shared" si="158"/>
        <v>-15751.29010961526</v>
      </c>
      <c r="CL57" s="119">
        <f t="shared" si="158"/>
        <v>-15731.558148881182</v>
      </c>
      <c r="CM57" s="119">
        <f t="shared" si="158"/>
        <v>-15711.745797696583</v>
      </c>
      <c r="CN57" s="119">
        <f t="shared" si="158"/>
        <v>-15691.852728540811</v>
      </c>
      <c r="CO57" s="119">
        <f t="shared" si="158"/>
        <v>-15671.878612558863</v>
      </c>
      <c r="CP57" s="119">
        <f t="shared" si="158"/>
        <v>-15651.823119555937</v>
      </c>
      <c r="CQ57" s="119">
        <f t="shared" si="158"/>
        <v>-15631.685917991972</v>
      </c>
      <c r="CR57" s="119">
        <f t="shared" si="158"/>
        <v>-15611.46667497618</v>
      </c>
      <c r="CS57" s="119">
        <f t="shared" si="158"/>
        <v>-15591.16505626153</v>
      </c>
      <c r="CT57" s="119">
        <f t="shared" si="158"/>
        <v>-15570.780726239227</v>
      </c>
      <c r="CU57" s="119">
        <f t="shared" si="158"/>
        <v>-15550.313347933166</v>
      </c>
      <c r="CV57" s="119">
        <f t="shared" si="158"/>
        <v>-15529.762582994361</v>
      </c>
      <c r="CW57" s="119">
        <f t="shared" si="158"/>
        <v>-15509.128091695347</v>
      </c>
      <c r="CX57" s="119">
        <f t="shared" ref="CX57:EC57" si="159">+CX$86+CX$93</f>
        <v>-15488.409532924567</v>
      </c>
      <c r="CY57" s="119">
        <f t="shared" si="159"/>
        <v>-15467.606564180738</v>
      </c>
      <c r="CZ57" s="119">
        <f t="shared" si="159"/>
        <v>-15446.718841567177</v>
      </c>
      <c r="DA57" s="119">
        <f t="shared" si="159"/>
        <v>-15425.746019786131</v>
      </c>
      <c r="DB57" s="119">
        <f t="shared" si="159"/>
        <v>-15404.687752133057</v>
      </c>
      <c r="DC57" s="119">
        <f t="shared" si="159"/>
        <v>-15383.543690490897</v>
      </c>
      <c r="DD57" s="119">
        <f t="shared" si="159"/>
        <v>-15362.313485324312</v>
      </c>
      <c r="DE57" s="119">
        <f t="shared" si="159"/>
        <v>-15340.996785673929</v>
      </c>
      <c r="DF57" s="119">
        <f t="shared" si="159"/>
        <v>-15319.593239150514</v>
      </c>
      <c r="DG57" s="119">
        <f t="shared" si="159"/>
        <v>-15298.10249192915</v>
      </c>
      <c r="DH57" s="119">
        <f t="shared" si="159"/>
        <v>-15276.524188743404</v>
      </c>
      <c r="DI57" s="119">
        <f t="shared" si="159"/>
        <v>-15254.857972879439</v>
      </c>
      <c r="DJ57" s="119">
        <f t="shared" si="159"/>
        <v>-15233.103486170121</v>
      </c>
      <c r="DK57" s="119">
        <f t="shared" si="159"/>
        <v>-15211.260368989098</v>
      </c>
      <c r="DL57" s="119">
        <f t="shared" si="159"/>
        <v>-15189.32826024486</v>
      </c>
      <c r="DM57" s="119">
        <f t="shared" si="159"/>
        <v>-15167.306797374762</v>
      </c>
      <c r="DN57" s="119">
        <f t="shared" si="159"/>
        <v>-15145.195616339031</v>
      </c>
      <c r="DO57" s="119">
        <f t="shared" si="159"/>
        <v>-15122.994351614761</v>
      </c>
      <c r="DP57" s="119">
        <f t="shared" si="159"/>
        <v>-15100.702636189852</v>
      </c>
      <c r="DQ57" s="119">
        <f t="shared" si="159"/>
        <v>-15078.320101556952</v>
      </c>
      <c r="DR57" s="119">
        <f t="shared" si="159"/>
        <v>-15055.846377707365</v>
      </c>
      <c r="DS57" s="119">
        <f t="shared" si="159"/>
        <v>-15033.281093124933</v>
      </c>
      <c r="DT57" s="119">
        <f t="shared" si="159"/>
        <v>-15010.6238747799</v>
      </c>
      <c r="DU57" s="119">
        <f t="shared" si="159"/>
        <v>-14987.874348122734</v>
      </c>
      <c r="DV57" s="119">
        <f t="shared" si="159"/>
        <v>-14965.032137077951</v>
      </c>
      <c r="DW57" s="119">
        <f t="shared" si="159"/>
        <v>0</v>
      </c>
      <c r="DX57" s="119">
        <f t="shared" si="159"/>
        <v>0</v>
      </c>
      <c r="DY57" s="119">
        <f t="shared" si="159"/>
        <v>0</v>
      </c>
      <c r="DZ57" s="119">
        <f t="shared" si="159"/>
        <v>0</v>
      </c>
      <c r="EA57" s="119">
        <f t="shared" si="159"/>
        <v>0</v>
      </c>
      <c r="EB57" s="119">
        <f t="shared" si="159"/>
        <v>0</v>
      </c>
      <c r="EC57" s="119">
        <f t="shared" si="159"/>
        <v>0</v>
      </c>
      <c r="ED57" s="119">
        <f t="shared" ref="ED57:FI57" si="160">+ED$86+ED$93</f>
        <v>0</v>
      </c>
      <c r="EE57" s="119">
        <f t="shared" si="160"/>
        <v>0</v>
      </c>
      <c r="EF57" s="119">
        <f t="shared" si="160"/>
        <v>0</v>
      </c>
      <c r="EG57" s="119">
        <f t="shared" si="160"/>
        <v>0</v>
      </c>
      <c r="EH57" s="119">
        <f t="shared" si="160"/>
        <v>0</v>
      </c>
      <c r="EI57" s="119">
        <f t="shared" si="160"/>
        <v>0</v>
      </c>
      <c r="EJ57" s="119">
        <f t="shared" si="160"/>
        <v>0</v>
      </c>
      <c r="EK57" s="119">
        <f t="shared" si="160"/>
        <v>0</v>
      </c>
      <c r="EL57" s="119">
        <f t="shared" si="160"/>
        <v>0</v>
      </c>
      <c r="EM57" s="119">
        <f t="shared" si="160"/>
        <v>0</v>
      </c>
      <c r="EN57" s="119">
        <f t="shared" si="160"/>
        <v>0</v>
      </c>
      <c r="EO57" s="119">
        <f t="shared" si="160"/>
        <v>0</v>
      </c>
      <c r="EP57" s="119">
        <f t="shared" si="160"/>
        <v>0</v>
      </c>
      <c r="EQ57" s="119">
        <f t="shared" si="160"/>
        <v>0</v>
      </c>
      <c r="ER57" s="119">
        <f t="shared" si="160"/>
        <v>0</v>
      </c>
      <c r="ES57" s="119">
        <f t="shared" si="160"/>
        <v>0</v>
      </c>
      <c r="ET57" s="119">
        <f t="shared" si="160"/>
        <v>0</v>
      </c>
      <c r="EU57" s="119">
        <f t="shared" si="160"/>
        <v>0</v>
      </c>
      <c r="EV57" s="119">
        <f t="shared" si="160"/>
        <v>0</v>
      </c>
      <c r="EW57" s="119">
        <f t="shared" si="160"/>
        <v>0</v>
      </c>
      <c r="EX57" s="119">
        <f t="shared" si="160"/>
        <v>0</v>
      </c>
      <c r="EY57" s="119">
        <f t="shared" si="160"/>
        <v>0</v>
      </c>
      <c r="EZ57" s="119">
        <f t="shared" si="160"/>
        <v>0</v>
      </c>
      <c r="FA57" s="119">
        <f t="shared" si="160"/>
        <v>0</v>
      </c>
      <c r="FB57" s="119">
        <f t="shared" si="160"/>
        <v>0</v>
      </c>
      <c r="FC57" s="119">
        <f t="shared" si="160"/>
        <v>0</v>
      </c>
      <c r="FD57" s="119">
        <f t="shared" si="160"/>
        <v>0</v>
      </c>
      <c r="FE57" s="119">
        <f t="shared" si="160"/>
        <v>0</v>
      </c>
      <c r="FF57" s="119">
        <f t="shared" si="160"/>
        <v>0</v>
      </c>
      <c r="FG57" s="119">
        <f t="shared" si="160"/>
        <v>0</v>
      </c>
      <c r="FH57" s="119">
        <f t="shared" si="160"/>
        <v>0</v>
      </c>
      <c r="FI57" s="119">
        <f t="shared" si="160"/>
        <v>0</v>
      </c>
      <c r="FJ57" s="119">
        <f t="shared" ref="FJ57:GD57" si="161">+FJ$86+FJ$93</f>
        <v>0</v>
      </c>
      <c r="FK57" s="119">
        <f t="shared" si="161"/>
        <v>0</v>
      </c>
      <c r="FL57" s="119">
        <f t="shared" si="161"/>
        <v>0</v>
      </c>
      <c r="FM57" s="119">
        <f t="shared" si="161"/>
        <v>0</v>
      </c>
      <c r="FN57" s="119">
        <f t="shared" si="161"/>
        <v>0</v>
      </c>
      <c r="FO57" s="119">
        <f t="shared" si="161"/>
        <v>0</v>
      </c>
      <c r="FP57" s="119">
        <f t="shared" si="161"/>
        <v>0</v>
      </c>
      <c r="FQ57" s="119">
        <f t="shared" si="161"/>
        <v>0</v>
      </c>
      <c r="FR57" s="119">
        <f t="shared" si="161"/>
        <v>0</v>
      </c>
      <c r="FS57" s="119">
        <f t="shared" si="161"/>
        <v>0</v>
      </c>
      <c r="FT57" s="119">
        <f t="shared" si="161"/>
        <v>0</v>
      </c>
      <c r="FU57" s="119">
        <f t="shared" si="161"/>
        <v>0</v>
      </c>
      <c r="FV57" s="119">
        <f t="shared" si="161"/>
        <v>0</v>
      </c>
      <c r="FW57" s="119">
        <f t="shared" si="161"/>
        <v>0</v>
      </c>
      <c r="FX57" s="119">
        <f t="shared" si="161"/>
        <v>0</v>
      </c>
      <c r="FY57" s="119">
        <f t="shared" si="161"/>
        <v>0</v>
      </c>
      <c r="FZ57" s="119">
        <f t="shared" si="161"/>
        <v>0</v>
      </c>
      <c r="GA57" s="119">
        <f t="shared" si="161"/>
        <v>0</v>
      </c>
      <c r="GB57" s="119">
        <f t="shared" si="161"/>
        <v>0</v>
      </c>
      <c r="GC57" s="119">
        <f t="shared" si="161"/>
        <v>0</v>
      </c>
      <c r="GD57" s="119">
        <f t="shared" si="161"/>
        <v>0</v>
      </c>
      <c r="GE57" s="119">
        <f t="shared" ref="GE57:GM57" si="162">+GE$86+GE$93</f>
        <v>0</v>
      </c>
      <c r="GF57" s="119">
        <f t="shared" si="162"/>
        <v>0</v>
      </c>
      <c r="GG57" s="119">
        <f t="shared" si="162"/>
        <v>0</v>
      </c>
      <c r="GH57" s="119">
        <f t="shared" si="162"/>
        <v>0</v>
      </c>
      <c r="GI57" s="119">
        <f t="shared" si="162"/>
        <v>0</v>
      </c>
      <c r="GJ57" s="119">
        <f t="shared" si="162"/>
        <v>0</v>
      </c>
      <c r="GK57" s="119">
        <f t="shared" si="162"/>
        <v>0</v>
      </c>
      <c r="GL57" s="119">
        <f t="shared" si="162"/>
        <v>0</v>
      </c>
      <c r="GM57" s="119">
        <f t="shared" si="162"/>
        <v>0</v>
      </c>
      <c r="GN57" s="119"/>
      <c r="GO57" s="119"/>
      <c r="GP57" s="119"/>
      <c r="GQ57" s="27"/>
      <c r="GR57" s="27"/>
      <c r="GS57" s="27"/>
      <c r="GT57" s="27"/>
      <c r="GU57" s="27"/>
      <c r="GV57" s="27"/>
      <c r="GW57" s="27"/>
      <c r="GX57" s="27"/>
      <c r="GY57" s="27"/>
      <c r="GZ57" s="27"/>
      <c r="HA57" s="27"/>
      <c r="HB57" s="27"/>
      <c r="HC57" s="27"/>
      <c r="HD57" s="27"/>
      <c r="HE57" s="27"/>
      <c r="HF57" s="27"/>
      <c r="HG57" s="27"/>
      <c r="HH57" s="27"/>
      <c r="HI57" s="27"/>
      <c r="HJ57" s="27"/>
      <c r="HK57" s="27"/>
      <c r="HL57" s="27"/>
      <c r="HM57" s="27"/>
      <c r="HN57" s="27"/>
      <c r="HO57" s="27"/>
      <c r="HP57" s="27"/>
      <c r="HQ57" s="27"/>
      <c r="HR57" s="27"/>
      <c r="HS57" s="27"/>
      <c r="HT57" s="27"/>
      <c r="HU57" s="27"/>
      <c r="HV57" s="27"/>
      <c r="HW57" s="27"/>
      <c r="HX57" s="27"/>
      <c r="HY57" s="27"/>
      <c r="HZ57" s="27"/>
      <c r="IA57" s="27"/>
      <c r="IB57" s="27"/>
      <c r="IC57" s="27"/>
      <c r="ID57" s="27"/>
      <c r="IE57" s="27"/>
      <c r="IF57" s="27"/>
      <c r="IG57" s="27"/>
      <c r="IH57" s="27"/>
      <c r="II57" s="27"/>
      <c r="IJ57" s="27"/>
      <c r="IK57" s="27"/>
      <c r="IL57" s="27"/>
      <c r="IM57" s="27"/>
      <c r="IN57" s="27"/>
      <c r="IO57" s="27"/>
      <c r="IP57" s="27"/>
      <c r="IQ57" s="27"/>
      <c r="IR57" s="27"/>
      <c r="IS57" s="27"/>
      <c r="IT57" s="27"/>
      <c r="IU57" s="27"/>
      <c r="IV57" s="27"/>
      <c r="IW57" s="27"/>
      <c r="IX57" s="27"/>
      <c r="IY57" s="27"/>
      <c r="IZ57" s="27"/>
      <c r="JA57" s="27"/>
      <c r="JB57" s="27"/>
      <c r="JC57" s="27"/>
      <c r="JD57" s="27"/>
      <c r="JE57" s="27"/>
      <c r="JF57" s="27"/>
      <c r="JG57" s="27"/>
      <c r="JH57" s="27"/>
      <c r="JI57" s="27"/>
      <c r="JJ57" s="27"/>
      <c r="JK57" s="27"/>
      <c r="JL57" s="27"/>
      <c r="JM57" s="27"/>
      <c r="JN57" s="27"/>
      <c r="JO57" s="27"/>
      <c r="JP57" s="27"/>
      <c r="JQ57" s="27"/>
      <c r="JR57" s="27"/>
      <c r="JS57" s="27"/>
      <c r="JT57" s="27"/>
      <c r="JU57" s="27"/>
      <c r="JV57" s="27"/>
      <c r="JW57" s="27"/>
      <c r="JX57" s="27"/>
      <c r="JY57" s="27"/>
      <c r="JZ57" s="27"/>
      <c r="KA57" s="27"/>
      <c r="KB57" s="27"/>
      <c r="KC57" s="27"/>
      <c r="KD57" s="27"/>
      <c r="KE57" s="27"/>
      <c r="KF57" s="27"/>
      <c r="KG57" s="27"/>
      <c r="KH57" s="27"/>
      <c r="KI57" s="27"/>
      <c r="KJ57" s="27"/>
      <c r="KK57" s="27"/>
      <c r="KL57" s="27"/>
      <c r="KM57" s="27"/>
      <c r="KN57" s="27"/>
      <c r="KO57" s="27"/>
      <c r="KP57" s="27"/>
      <c r="KQ57" s="27"/>
      <c r="KR57" s="27"/>
      <c r="KS57" s="27"/>
      <c r="KT57" s="27"/>
      <c r="KU57" s="27"/>
      <c r="KV57" s="27"/>
      <c r="KW57" s="27"/>
      <c r="KX57" s="27"/>
      <c r="KY57" s="27"/>
      <c r="KZ57" s="27"/>
      <c r="LA57" s="27"/>
      <c r="LB57" s="27"/>
      <c r="LC57" s="27"/>
      <c r="LD57" s="27"/>
      <c r="LE57" s="27"/>
      <c r="LF57" s="27"/>
      <c r="LG57" s="27"/>
      <c r="LH57" s="27"/>
      <c r="LI57" s="27"/>
      <c r="LJ57" s="27"/>
      <c r="LK57" s="27"/>
      <c r="LL57" s="27"/>
      <c r="LM57" s="27"/>
      <c r="LN57" s="27"/>
      <c r="LO57" s="27"/>
      <c r="LP57" s="27"/>
      <c r="LQ57" s="27"/>
      <c r="LR57" s="27"/>
      <c r="LS57" s="27"/>
      <c r="LT57" s="27"/>
      <c r="LU57" s="27"/>
      <c r="LV57" s="27"/>
      <c r="LW57" s="27"/>
      <c r="LX57" s="27"/>
      <c r="LY57" s="27"/>
      <c r="LZ57" s="27"/>
      <c r="MA57" s="27"/>
      <c r="MB57" s="27"/>
      <c r="MC57" s="27"/>
      <c r="MD57" s="27"/>
      <c r="ME57" s="27"/>
      <c r="MF57" s="27"/>
      <c r="MG57" s="27"/>
      <c r="MH57" s="27"/>
      <c r="MI57" s="27"/>
      <c r="MJ57" s="27"/>
      <c r="MK57" s="27"/>
      <c r="ML57" s="27"/>
      <c r="MM57" s="27"/>
      <c r="MN57" s="27"/>
      <c r="MO57" s="27"/>
      <c r="MP57" s="27"/>
      <c r="MQ57" s="27"/>
      <c r="MR57" s="27"/>
      <c r="MS57" s="27"/>
      <c r="MT57" s="27"/>
      <c r="MU57" s="27"/>
      <c r="MV57" s="27"/>
      <c r="MW57" s="27"/>
      <c r="MX57" s="27"/>
      <c r="MY57" s="27"/>
      <c r="MZ57" s="27"/>
      <c r="NA57" s="27"/>
      <c r="NB57" s="27"/>
    </row>
    <row r="58" spans="2:366" s="31" customFormat="1" ht="16" customHeight="1" x14ac:dyDescent="0.15">
      <c r="B58" s="371" t="s">
        <v>283</v>
      </c>
      <c r="C58" s="312" t="s">
        <v>150</v>
      </c>
      <c r="D58" s="365"/>
      <c r="E58" s="366"/>
      <c r="F58" s="367">
        <f t="shared" ref="F58:AK58" si="163">+F$87+F$94</f>
        <v>0</v>
      </c>
      <c r="G58" s="367">
        <f t="shared" si="163"/>
        <v>0</v>
      </c>
      <c r="H58" s="367">
        <f t="shared" si="163"/>
        <v>0</v>
      </c>
      <c r="I58" s="367">
        <f t="shared" si="163"/>
        <v>0</v>
      </c>
      <c r="J58" s="367">
        <f t="shared" si="163"/>
        <v>0</v>
      </c>
      <c r="K58" s="367">
        <f t="shared" si="163"/>
        <v>0</v>
      </c>
      <c r="L58" s="367">
        <f t="shared" si="163"/>
        <v>0</v>
      </c>
      <c r="M58" s="367">
        <f t="shared" si="163"/>
        <v>0</v>
      </c>
      <c r="N58" s="367">
        <f t="shared" si="163"/>
        <v>0</v>
      </c>
      <c r="O58" s="367">
        <f t="shared" si="163"/>
        <v>0</v>
      </c>
      <c r="P58" s="367">
        <f t="shared" si="163"/>
        <v>0</v>
      </c>
      <c r="Q58" s="367">
        <f t="shared" si="163"/>
        <v>0</v>
      </c>
      <c r="R58" s="367">
        <f t="shared" si="163"/>
        <v>0</v>
      </c>
      <c r="S58" s="367">
        <f t="shared" si="163"/>
        <v>0</v>
      </c>
      <c r="T58" s="367">
        <f t="shared" si="163"/>
        <v>0</v>
      </c>
      <c r="U58" s="367">
        <f t="shared" si="163"/>
        <v>0</v>
      </c>
      <c r="V58" s="367">
        <f t="shared" si="163"/>
        <v>0</v>
      </c>
      <c r="W58" s="367">
        <f t="shared" si="163"/>
        <v>0</v>
      </c>
      <c r="X58" s="367">
        <f t="shared" si="163"/>
        <v>0</v>
      </c>
      <c r="Y58" s="367">
        <f t="shared" si="163"/>
        <v>-3733.5883052484219</v>
      </c>
      <c r="Z58" s="367">
        <f t="shared" si="163"/>
        <v>-3748.7994061611853</v>
      </c>
      <c r="AA58" s="367">
        <f t="shared" si="163"/>
        <v>-3764.0724789819537</v>
      </c>
      <c r="AB58" s="367">
        <f t="shared" si="163"/>
        <v>-3779.4077761919498</v>
      </c>
      <c r="AC58" s="367">
        <f t="shared" si="163"/>
        <v>-3794.8055513010395</v>
      </c>
      <c r="AD58" s="367">
        <f t="shared" si="163"/>
        <v>-3810.2660588519157</v>
      </c>
      <c r="AE58" s="367">
        <f t="shared" si="163"/>
        <v>-3825.7895544243129</v>
      </c>
      <c r="AF58" s="367">
        <f t="shared" si="163"/>
        <v>-3841.3762946392258</v>
      </c>
      <c r="AG58" s="367">
        <f t="shared" si="163"/>
        <v>-3857.0265371631585</v>
      </c>
      <c r="AH58" s="367">
        <f t="shared" si="163"/>
        <v>-3872.7405407123774</v>
      </c>
      <c r="AI58" s="367">
        <f t="shared" si="163"/>
        <v>-3888.5185650571939</v>
      </c>
      <c r="AJ58" s="367">
        <f t="shared" si="163"/>
        <v>-3904.3608710262506</v>
      </c>
      <c r="AK58" s="367">
        <f t="shared" si="163"/>
        <v>-3920.2677205108453</v>
      </c>
      <c r="AL58" s="367">
        <f t="shared" ref="AL58:BQ58" si="164">+AL$87+AL$94</f>
        <v>-3936.239376469247</v>
      </c>
      <c r="AM58" s="367">
        <f t="shared" si="164"/>
        <v>-3952.2761029310541</v>
      </c>
      <c r="AN58" s="367">
        <f t="shared" si="164"/>
        <v>-3968.3781650015499</v>
      </c>
      <c r="AO58" s="367">
        <f t="shared" si="164"/>
        <v>-3984.5458288660943</v>
      </c>
      <c r="AP58" s="367">
        <f t="shared" si="164"/>
        <v>-4000.779361794514</v>
      </c>
      <c r="AQ58" s="367">
        <f t="shared" si="164"/>
        <v>-4017.0790321455306</v>
      </c>
      <c r="AR58" s="367">
        <f t="shared" si="164"/>
        <v>-4033.4451093711896</v>
      </c>
      <c r="AS58" s="367">
        <f t="shared" si="164"/>
        <v>-4049.8778640213195</v>
      </c>
      <c r="AT58" s="367">
        <f t="shared" si="164"/>
        <v>-4066.3775677479989</v>
      </c>
      <c r="AU58" s="367">
        <f t="shared" si="164"/>
        <v>-4082.9444933100558</v>
      </c>
      <c r="AV58" s="367">
        <f t="shared" si="164"/>
        <v>-4099.5789145775661</v>
      </c>
      <c r="AW58" s="367">
        <f t="shared" si="164"/>
        <v>-4116.2811065363903</v>
      </c>
      <c r="AX58" s="367">
        <f t="shared" si="164"/>
        <v>-4133.0513452927125</v>
      </c>
      <c r="AY58" s="367">
        <f t="shared" si="164"/>
        <v>-4149.8899080776082</v>
      </c>
      <c r="AZ58" s="367">
        <f t="shared" si="164"/>
        <v>-4166.7970732516305</v>
      </c>
      <c r="BA58" s="367">
        <f t="shared" si="164"/>
        <v>-4183.7731203094008</v>
      </c>
      <c r="BB58" s="367">
        <f t="shared" si="164"/>
        <v>-4200.8183298842414</v>
      </c>
      <c r="BC58" s="367">
        <f t="shared" si="164"/>
        <v>-4217.9329837528094</v>
      </c>
      <c r="BD58" s="367">
        <f t="shared" si="164"/>
        <v>-4235.1173648397507</v>
      </c>
      <c r="BE58" s="367">
        <f t="shared" si="164"/>
        <v>-4252.3717572223877</v>
      </c>
      <c r="BF58" s="367">
        <f t="shared" si="164"/>
        <v>-4269.6964461354009</v>
      </c>
      <c r="BG58" s="367">
        <f t="shared" si="164"/>
        <v>-4287.0917179755606</v>
      </c>
      <c r="BH58" s="367">
        <f t="shared" si="164"/>
        <v>-4304.5578603064469</v>
      </c>
      <c r="BI58" s="367">
        <f t="shared" si="164"/>
        <v>-4322.0951618632125</v>
      </c>
      <c r="BJ58" s="367">
        <f t="shared" si="164"/>
        <v>-4339.703912557351</v>
      </c>
      <c r="BK58" s="367">
        <f t="shared" si="164"/>
        <v>-4357.384403481492</v>
      </c>
      <c r="BL58" s="367">
        <f t="shared" si="164"/>
        <v>-4375.1369269142151</v>
      </c>
      <c r="BM58" s="367">
        <f t="shared" si="164"/>
        <v>-4392.9617763248743</v>
      </c>
      <c r="BN58" s="367">
        <f t="shared" si="164"/>
        <v>-4410.8592463784571</v>
      </c>
      <c r="BO58" s="367">
        <f t="shared" si="164"/>
        <v>-4428.8296329404529</v>
      </c>
      <c r="BP58" s="367">
        <f t="shared" si="164"/>
        <v>-4446.8732330817429</v>
      </c>
      <c r="BQ58" s="367">
        <f t="shared" si="164"/>
        <v>-4464.99034508351</v>
      </c>
      <c r="BR58" s="367">
        <f t="shared" ref="BR58:CW58" si="165">+BR$87+BR$94</f>
        <v>-4483.1812684421748</v>
      </c>
      <c r="BS58" s="367">
        <f t="shared" si="165"/>
        <v>-4501.4463038743415</v>
      </c>
      <c r="BT58" s="367">
        <f t="shared" si="165"/>
        <v>-4519.785753321773</v>
      </c>
      <c r="BU58" s="367">
        <f t="shared" si="165"/>
        <v>-4538.1999199563761</v>
      </c>
      <c r="BV58" s="367">
        <f t="shared" si="165"/>
        <v>-4556.6891081852218</v>
      </c>
      <c r="BW58" s="367">
        <f t="shared" si="165"/>
        <v>-4575.2536236555698</v>
      </c>
      <c r="BX58" s="367">
        <f t="shared" si="165"/>
        <v>-4593.8937732599288</v>
      </c>
      <c r="BY58" s="367">
        <f t="shared" si="165"/>
        <v>-4612.6098651411203</v>
      </c>
      <c r="BZ58" s="367">
        <f t="shared" si="165"/>
        <v>-4631.4022086973828</v>
      </c>
      <c r="CA58" s="367">
        <f t="shared" si="165"/>
        <v>-4650.2711145874782</v>
      </c>
      <c r="CB58" s="367">
        <f t="shared" si="165"/>
        <v>-4669.2168947358323</v>
      </c>
      <c r="CC58" s="367">
        <f t="shared" si="165"/>
        <v>-4688.2398623376876</v>
      </c>
      <c r="CD58" s="367">
        <f t="shared" si="165"/>
        <v>-4707.3403318642868</v>
      </c>
      <c r="CE58" s="367">
        <f t="shared" si="165"/>
        <v>-4726.5186190680624</v>
      </c>
      <c r="CF58" s="367">
        <f t="shared" si="165"/>
        <v>-4745.7750409878645</v>
      </c>
      <c r="CG58" s="367">
        <f t="shared" si="165"/>
        <v>-4765.1099159541973</v>
      </c>
      <c r="CH58" s="367">
        <f t="shared" si="165"/>
        <v>-4784.5235635944855</v>
      </c>
      <c r="CI58" s="367">
        <f t="shared" si="165"/>
        <v>-4804.0163048383511</v>
      </c>
      <c r="CJ58" s="367">
        <f t="shared" si="165"/>
        <v>-4823.5884619229273</v>
      </c>
      <c r="CK58" s="367">
        <f t="shared" si="165"/>
        <v>-4843.2403583981795</v>
      </c>
      <c r="CL58" s="367">
        <f t="shared" si="165"/>
        <v>-4862.9723191322555</v>
      </c>
      <c r="CM58" s="367">
        <f t="shared" si="165"/>
        <v>-4882.7846703168552</v>
      </c>
      <c r="CN58" s="367">
        <f t="shared" si="165"/>
        <v>-4902.6777394726269</v>
      </c>
      <c r="CO58" s="367">
        <f t="shared" si="165"/>
        <v>-4922.6518554545755</v>
      </c>
      <c r="CP58" s="367">
        <f t="shared" si="165"/>
        <v>-4942.7073484575039</v>
      </c>
      <c r="CQ58" s="367">
        <f t="shared" si="165"/>
        <v>-4962.8445500214675</v>
      </c>
      <c r="CR58" s="367">
        <f t="shared" si="165"/>
        <v>-4983.0637930372604</v>
      </c>
      <c r="CS58" s="367">
        <f t="shared" si="165"/>
        <v>-5003.36541175191</v>
      </c>
      <c r="CT58" s="367">
        <f t="shared" si="165"/>
        <v>-5023.7497417742125</v>
      </c>
      <c r="CU58" s="367">
        <f t="shared" si="165"/>
        <v>-5044.2171200802713</v>
      </c>
      <c r="CV58" s="367">
        <f t="shared" si="165"/>
        <v>-5064.7678850190778</v>
      </c>
      <c r="CW58" s="367">
        <f t="shared" si="165"/>
        <v>-5085.4023763180912</v>
      </c>
      <c r="CX58" s="367">
        <f t="shared" ref="CX58:EC58" si="166">+CX$87+CX$94</f>
        <v>-5106.1209350888712</v>
      </c>
      <c r="CY58" s="367">
        <f t="shared" si="166"/>
        <v>-5126.9239038327005</v>
      </c>
      <c r="CZ58" s="367">
        <f t="shared" si="166"/>
        <v>-5147.8116264462615</v>
      </c>
      <c r="DA58" s="367">
        <f t="shared" si="166"/>
        <v>-5168.7844482273067</v>
      </c>
      <c r="DB58" s="367">
        <f t="shared" si="166"/>
        <v>-5189.8427158803825</v>
      </c>
      <c r="DC58" s="367">
        <f t="shared" si="166"/>
        <v>-5210.9867775225439</v>
      </c>
      <c r="DD58" s="367">
        <f t="shared" si="166"/>
        <v>-5232.2169826891268</v>
      </c>
      <c r="DE58" s="367">
        <f t="shared" si="166"/>
        <v>-5253.5336823395073</v>
      </c>
      <c r="DF58" s="367">
        <f t="shared" si="166"/>
        <v>-5274.9372288629265</v>
      </c>
      <c r="DG58" s="367">
        <f t="shared" si="166"/>
        <v>-5296.4279760842883</v>
      </c>
      <c r="DH58" s="367">
        <f t="shared" si="166"/>
        <v>-5318.0062792700346</v>
      </c>
      <c r="DI58" s="367">
        <f t="shared" si="166"/>
        <v>-5339.6724951339993</v>
      </c>
      <c r="DJ58" s="367">
        <f t="shared" si="166"/>
        <v>-5361.4269818433177</v>
      </c>
      <c r="DK58" s="367">
        <f t="shared" si="166"/>
        <v>-5383.2700990243384</v>
      </c>
      <c r="DL58" s="367">
        <f t="shared" si="166"/>
        <v>-5405.2022077685779</v>
      </c>
      <c r="DM58" s="367">
        <f t="shared" si="166"/>
        <v>-5427.2236706386757</v>
      </c>
      <c r="DN58" s="367">
        <f t="shared" si="166"/>
        <v>-5449.3348516744054</v>
      </c>
      <c r="DO58" s="367">
        <f t="shared" si="166"/>
        <v>-5471.5361163986754</v>
      </c>
      <c r="DP58" s="367">
        <f t="shared" si="166"/>
        <v>-5493.8278318235862</v>
      </c>
      <c r="DQ58" s="367">
        <f t="shared" si="166"/>
        <v>-5516.2103664564875</v>
      </c>
      <c r="DR58" s="367">
        <f t="shared" si="166"/>
        <v>-5538.6840903060765</v>
      </c>
      <c r="DS58" s="367">
        <f t="shared" si="166"/>
        <v>-5561.2493748885063</v>
      </c>
      <c r="DT58" s="367">
        <f t="shared" si="166"/>
        <v>-5583.9065932335398</v>
      </c>
      <c r="DU58" s="367">
        <f t="shared" si="166"/>
        <v>-5606.6561198907038</v>
      </c>
      <c r="DV58" s="367">
        <f t="shared" si="166"/>
        <v>-5629.4983309354875</v>
      </c>
      <c r="DW58" s="367">
        <f t="shared" si="166"/>
        <v>0</v>
      </c>
      <c r="DX58" s="367">
        <f t="shared" si="166"/>
        <v>0</v>
      </c>
      <c r="DY58" s="367">
        <f t="shared" si="166"/>
        <v>0</v>
      </c>
      <c r="DZ58" s="367">
        <f t="shared" si="166"/>
        <v>0</v>
      </c>
      <c r="EA58" s="367">
        <f t="shared" si="166"/>
        <v>0</v>
      </c>
      <c r="EB58" s="367">
        <f t="shared" si="166"/>
        <v>0</v>
      </c>
      <c r="EC58" s="367">
        <f t="shared" si="166"/>
        <v>0</v>
      </c>
      <c r="ED58" s="367">
        <f t="shared" ref="ED58:FI58" si="167">+ED$87+ED$94</f>
        <v>0</v>
      </c>
      <c r="EE58" s="367">
        <f t="shared" si="167"/>
        <v>0</v>
      </c>
      <c r="EF58" s="367">
        <f t="shared" si="167"/>
        <v>0</v>
      </c>
      <c r="EG58" s="367">
        <f t="shared" si="167"/>
        <v>0</v>
      </c>
      <c r="EH58" s="367">
        <f t="shared" si="167"/>
        <v>0</v>
      </c>
      <c r="EI58" s="367">
        <f t="shared" si="167"/>
        <v>0</v>
      </c>
      <c r="EJ58" s="367">
        <f t="shared" si="167"/>
        <v>0</v>
      </c>
      <c r="EK58" s="367">
        <f t="shared" si="167"/>
        <v>0</v>
      </c>
      <c r="EL58" s="367">
        <f t="shared" si="167"/>
        <v>0</v>
      </c>
      <c r="EM58" s="367">
        <f t="shared" si="167"/>
        <v>0</v>
      </c>
      <c r="EN58" s="367">
        <f t="shared" si="167"/>
        <v>0</v>
      </c>
      <c r="EO58" s="367">
        <f t="shared" si="167"/>
        <v>0</v>
      </c>
      <c r="EP58" s="367">
        <f t="shared" si="167"/>
        <v>0</v>
      </c>
      <c r="EQ58" s="367">
        <f t="shared" si="167"/>
        <v>0</v>
      </c>
      <c r="ER58" s="367">
        <f t="shared" si="167"/>
        <v>0</v>
      </c>
      <c r="ES58" s="367">
        <f t="shared" si="167"/>
        <v>0</v>
      </c>
      <c r="ET58" s="367">
        <f t="shared" si="167"/>
        <v>0</v>
      </c>
      <c r="EU58" s="367">
        <f t="shared" si="167"/>
        <v>0</v>
      </c>
      <c r="EV58" s="367">
        <f t="shared" si="167"/>
        <v>0</v>
      </c>
      <c r="EW58" s="367">
        <f t="shared" si="167"/>
        <v>0</v>
      </c>
      <c r="EX58" s="367">
        <f t="shared" si="167"/>
        <v>0</v>
      </c>
      <c r="EY58" s="367">
        <f t="shared" si="167"/>
        <v>0</v>
      </c>
      <c r="EZ58" s="367">
        <f t="shared" si="167"/>
        <v>0</v>
      </c>
      <c r="FA58" s="367">
        <f t="shared" si="167"/>
        <v>0</v>
      </c>
      <c r="FB58" s="367">
        <f t="shared" si="167"/>
        <v>0</v>
      </c>
      <c r="FC58" s="367">
        <f t="shared" si="167"/>
        <v>0</v>
      </c>
      <c r="FD58" s="367">
        <f t="shared" si="167"/>
        <v>0</v>
      </c>
      <c r="FE58" s="367">
        <f t="shared" si="167"/>
        <v>0</v>
      </c>
      <c r="FF58" s="367">
        <f t="shared" si="167"/>
        <v>0</v>
      </c>
      <c r="FG58" s="367">
        <f t="shared" si="167"/>
        <v>0</v>
      </c>
      <c r="FH58" s="367">
        <f t="shared" si="167"/>
        <v>0</v>
      </c>
      <c r="FI58" s="367">
        <f t="shared" si="167"/>
        <v>0</v>
      </c>
      <c r="FJ58" s="367">
        <f t="shared" ref="FJ58:GD58" si="168">+FJ$87+FJ$94</f>
        <v>0</v>
      </c>
      <c r="FK58" s="367">
        <f t="shared" si="168"/>
        <v>0</v>
      </c>
      <c r="FL58" s="367">
        <f t="shared" si="168"/>
        <v>0</v>
      </c>
      <c r="FM58" s="367">
        <f t="shared" si="168"/>
        <v>0</v>
      </c>
      <c r="FN58" s="367">
        <f t="shared" si="168"/>
        <v>0</v>
      </c>
      <c r="FO58" s="367">
        <f t="shared" si="168"/>
        <v>0</v>
      </c>
      <c r="FP58" s="367">
        <f t="shared" si="168"/>
        <v>0</v>
      </c>
      <c r="FQ58" s="367">
        <f t="shared" si="168"/>
        <v>0</v>
      </c>
      <c r="FR58" s="367">
        <f t="shared" si="168"/>
        <v>0</v>
      </c>
      <c r="FS58" s="367">
        <f t="shared" si="168"/>
        <v>0</v>
      </c>
      <c r="FT58" s="367">
        <f t="shared" si="168"/>
        <v>0</v>
      </c>
      <c r="FU58" s="367">
        <f t="shared" si="168"/>
        <v>0</v>
      </c>
      <c r="FV58" s="367">
        <f t="shared" si="168"/>
        <v>0</v>
      </c>
      <c r="FW58" s="367">
        <f t="shared" si="168"/>
        <v>0</v>
      </c>
      <c r="FX58" s="367">
        <f t="shared" si="168"/>
        <v>0</v>
      </c>
      <c r="FY58" s="367">
        <f t="shared" si="168"/>
        <v>0</v>
      </c>
      <c r="FZ58" s="367">
        <f t="shared" si="168"/>
        <v>0</v>
      </c>
      <c r="GA58" s="367">
        <f t="shared" si="168"/>
        <v>0</v>
      </c>
      <c r="GB58" s="367">
        <f t="shared" si="168"/>
        <v>0</v>
      </c>
      <c r="GC58" s="367">
        <f t="shared" si="168"/>
        <v>0</v>
      </c>
      <c r="GD58" s="367">
        <f t="shared" si="168"/>
        <v>0</v>
      </c>
      <c r="GE58" s="367">
        <f t="shared" ref="GE58:GM58" si="169">+GE$87+GE$94</f>
        <v>0</v>
      </c>
      <c r="GF58" s="367">
        <f t="shared" si="169"/>
        <v>0</v>
      </c>
      <c r="GG58" s="367">
        <f t="shared" si="169"/>
        <v>0</v>
      </c>
      <c r="GH58" s="367">
        <f t="shared" si="169"/>
        <v>0</v>
      </c>
      <c r="GI58" s="367">
        <f t="shared" si="169"/>
        <v>0</v>
      </c>
      <c r="GJ58" s="367">
        <f t="shared" si="169"/>
        <v>0</v>
      </c>
      <c r="GK58" s="367">
        <f t="shared" si="169"/>
        <v>0</v>
      </c>
      <c r="GL58" s="367">
        <f t="shared" si="169"/>
        <v>0</v>
      </c>
      <c r="GM58" s="367">
        <f t="shared" si="169"/>
        <v>0</v>
      </c>
      <c r="GN58" s="367"/>
      <c r="GO58" s="367"/>
      <c r="GP58" s="367"/>
      <c r="GQ58" s="32"/>
      <c r="GR58" s="32"/>
      <c r="GS58" s="32"/>
      <c r="GT58" s="32"/>
      <c r="GU58" s="32"/>
      <c r="GV58" s="32"/>
      <c r="GW58" s="32"/>
      <c r="GX58" s="32"/>
      <c r="GY58" s="32"/>
      <c r="GZ58" s="32"/>
      <c r="HA58" s="32"/>
      <c r="HB58" s="32"/>
      <c r="HC58" s="32"/>
      <c r="HD58" s="32"/>
      <c r="HE58" s="32"/>
      <c r="HF58" s="32"/>
      <c r="HG58" s="32"/>
      <c r="HH58" s="32"/>
      <c r="HI58" s="32"/>
      <c r="HJ58" s="32"/>
      <c r="HK58" s="32"/>
      <c r="HL58" s="32"/>
      <c r="HM58" s="32"/>
      <c r="HN58" s="32"/>
      <c r="HO58" s="32"/>
      <c r="HP58" s="32"/>
      <c r="HQ58" s="32"/>
      <c r="HR58" s="32"/>
      <c r="HS58" s="32"/>
      <c r="HT58" s="32"/>
      <c r="HU58" s="32"/>
      <c r="HV58" s="32"/>
      <c r="HW58" s="32"/>
      <c r="HX58" s="32"/>
      <c r="HY58" s="32"/>
      <c r="HZ58" s="32"/>
      <c r="IA58" s="32"/>
      <c r="IB58" s="32"/>
      <c r="IC58" s="32"/>
      <c r="ID58" s="32"/>
      <c r="IE58" s="32"/>
      <c r="IF58" s="32"/>
      <c r="IG58" s="32"/>
      <c r="IH58" s="32"/>
      <c r="II58" s="32"/>
      <c r="IJ58" s="32"/>
      <c r="IK58" s="32"/>
      <c r="IL58" s="32"/>
      <c r="IM58" s="32"/>
      <c r="IN58" s="32"/>
      <c r="IO58" s="32"/>
      <c r="IP58" s="32"/>
      <c r="IQ58" s="32"/>
      <c r="IR58" s="32"/>
      <c r="IS58" s="32"/>
      <c r="IT58" s="32"/>
      <c r="IU58" s="32"/>
      <c r="IV58" s="32"/>
      <c r="IW58" s="32"/>
      <c r="IX58" s="32"/>
      <c r="IY58" s="32"/>
      <c r="IZ58" s="32"/>
      <c r="JA58" s="32"/>
      <c r="JB58" s="32"/>
      <c r="JC58" s="32"/>
      <c r="JD58" s="32"/>
      <c r="JE58" s="32"/>
      <c r="JF58" s="32"/>
      <c r="JG58" s="32"/>
      <c r="JH58" s="32"/>
      <c r="JI58" s="32"/>
      <c r="JJ58" s="32"/>
      <c r="JK58" s="32"/>
      <c r="JL58" s="32"/>
      <c r="JM58" s="32"/>
      <c r="JN58" s="32"/>
      <c r="JO58" s="32"/>
      <c r="JP58" s="32"/>
      <c r="JQ58" s="32"/>
      <c r="JR58" s="32"/>
      <c r="JS58" s="32"/>
      <c r="JT58" s="32"/>
      <c r="JU58" s="32"/>
      <c r="JV58" s="32"/>
      <c r="JW58" s="32"/>
      <c r="JX58" s="32"/>
      <c r="JY58" s="32"/>
      <c r="JZ58" s="32"/>
      <c r="KA58" s="32"/>
      <c r="KB58" s="32"/>
      <c r="KC58" s="32"/>
      <c r="KD58" s="32"/>
      <c r="KE58" s="32"/>
      <c r="KF58" s="32"/>
      <c r="KG58" s="32"/>
      <c r="KH58" s="32"/>
      <c r="KI58" s="32"/>
      <c r="KJ58" s="32"/>
      <c r="KK58" s="32"/>
      <c r="KL58" s="32"/>
      <c r="KM58" s="32"/>
      <c r="KN58" s="32"/>
      <c r="KO58" s="32"/>
      <c r="KP58" s="32"/>
      <c r="KQ58" s="32"/>
      <c r="KR58" s="32"/>
      <c r="KS58" s="32"/>
      <c r="KT58" s="32"/>
      <c r="KU58" s="32"/>
      <c r="KV58" s="32"/>
      <c r="KW58" s="32"/>
      <c r="KX58" s="32"/>
      <c r="KY58" s="32"/>
      <c r="KZ58" s="32"/>
      <c r="LA58" s="32"/>
      <c r="LB58" s="32"/>
      <c r="LC58" s="32"/>
      <c r="LD58" s="32"/>
      <c r="LE58" s="32"/>
      <c r="LF58" s="32"/>
      <c r="LG58" s="32"/>
      <c r="LH58" s="32"/>
      <c r="LI58" s="32"/>
      <c r="LJ58" s="32"/>
      <c r="LK58" s="32"/>
      <c r="LL58" s="32"/>
      <c r="LM58" s="32"/>
      <c r="LN58" s="32"/>
      <c r="LO58" s="32"/>
      <c r="LP58" s="32"/>
      <c r="LQ58" s="32"/>
      <c r="LR58" s="32"/>
      <c r="LS58" s="32"/>
      <c r="LT58" s="32"/>
      <c r="LU58" s="32"/>
      <c r="LV58" s="32"/>
      <c r="LW58" s="32"/>
      <c r="LX58" s="32"/>
      <c r="LY58" s="32"/>
      <c r="LZ58" s="32"/>
      <c r="MA58" s="32"/>
      <c r="MB58" s="32"/>
      <c r="MC58" s="32"/>
      <c r="MD58" s="32"/>
      <c r="ME58" s="32"/>
      <c r="MF58" s="32"/>
      <c r="MG58" s="32"/>
      <c r="MH58" s="32"/>
      <c r="MI58" s="32"/>
      <c r="MJ58" s="32"/>
      <c r="MK58" s="32"/>
      <c r="ML58" s="32"/>
      <c r="MM58" s="32"/>
      <c r="MN58" s="32"/>
      <c r="MO58" s="32"/>
      <c r="MP58" s="32"/>
      <c r="MQ58" s="32"/>
      <c r="MR58" s="32"/>
      <c r="MS58" s="32"/>
      <c r="MT58" s="32"/>
      <c r="MU58" s="32"/>
      <c r="MV58" s="32"/>
      <c r="MW58" s="32"/>
      <c r="MX58" s="32"/>
      <c r="MY58" s="32"/>
      <c r="MZ58" s="32"/>
      <c r="NA58" s="32"/>
      <c r="NB58" s="32"/>
    </row>
    <row r="59" spans="2:366" ht="16" customHeight="1" x14ac:dyDescent="0.15">
      <c r="B59" s="3" t="s">
        <v>67</v>
      </c>
      <c r="C59" s="376" t="s">
        <v>150</v>
      </c>
      <c r="D59" s="37"/>
      <c r="E59" s="134"/>
      <c r="F59" s="27">
        <f t="shared" ref="F59:AK59" si="170">SUM(F57:F58)</f>
        <v>0</v>
      </c>
      <c r="G59" s="27">
        <f t="shared" si="170"/>
        <v>-17466.280858819329</v>
      </c>
      <c r="H59" s="27">
        <f t="shared" si="170"/>
        <v>-17705.66069892616</v>
      </c>
      <c r="I59" s="27">
        <f t="shared" si="170"/>
        <v>-17946.205732509035</v>
      </c>
      <c r="J59" s="27">
        <f t="shared" si="170"/>
        <v>-18187.921631206114</v>
      </c>
      <c r="K59" s="27">
        <f t="shared" si="170"/>
        <v>-18430.81409426255</v>
      </c>
      <c r="L59" s="27">
        <f t="shared" si="170"/>
        <v>-18674.888848664854</v>
      </c>
      <c r="M59" s="27">
        <f t="shared" si="170"/>
        <v>-18920.151649275937</v>
      </c>
      <c r="N59" s="27">
        <f t="shared" si="170"/>
        <v>-19166.608278970791</v>
      </c>
      <c r="O59" s="27">
        <f t="shared" si="170"/>
        <v>-19414.264548772848</v>
      </c>
      <c r="P59" s="27">
        <f t="shared" si="170"/>
        <v>-19414.264548772848</v>
      </c>
      <c r="Q59" s="27">
        <f t="shared" si="170"/>
        <v>-19414.264548772848</v>
      </c>
      <c r="R59" s="27">
        <f t="shared" si="170"/>
        <v>-19414.264548772848</v>
      </c>
      <c r="S59" s="27">
        <f t="shared" si="170"/>
        <v>-19414.264548772848</v>
      </c>
      <c r="T59" s="27">
        <f t="shared" si="170"/>
        <v>-19414.264548772848</v>
      </c>
      <c r="U59" s="27">
        <f t="shared" si="170"/>
        <v>-19414.264548772848</v>
      </c>
      <c r="V59" s="27">
        <f t="shared" si="170"/>
        <v>-19414.264548772848</v>
      </c>
      <c r="W59" s="27">
        <f t="shared" si="170"/>
        <v>-19414.264548772848</v>
      </c>
      <c r="X59" s="27">
        <f t="shared" si="170"/>
        <v>-19414.264548772848</v>
      </c>
      <c r="Y59" s="27">
        <f t="shared" si="170"/>
        <v>-20594.53046801344</v>
      </c>
      <c r="Z59" s="27">
        <f t="shared" si="170"/>
        <v>-20594.53046801344</v>
      </c>
      <c r="AA59" s="27">
        <f t="shared" si="170"/>
        <v>-20594.53046801344</v>
      </c>
      <c r="AB59" s="27">
        <f t="shared" si="170"/>
        <v>-20594.53046801344</v>
      </c>
      <c r="AC59" s="27">
        <f t="shared" si="170"/>
        <v>-20594.53046801344</v>
      </c>
      <c r="AD59" s="27">
        <f t="shared" si="170"/>
        <v>-20594.530468013436</v>
      </c>
      <c r="AE59" s="27">
        <f t="shared" si="170"/>
        <v>-20594.530468013436</v>
      </c>
      <c r="AF59" s="27">
        <f t="shared" si="170"/>
        <v>-20594.53046801344</v>
      </c>
      <c r="AG59" s="27">
        <f t="shared" si="170"/>
        <v>-20594.53046801344</v>
      </c>
      <c r="AH59" s="27">
        <f t="shared" si="170"/>
        <v>-20594.530468013436</v>
      </c>
      <c r="AI59" s="27">
        <f t="shared" si="170"/>
        <v>-20594.53046801344</v>
      </c>
      <c r="AJ59" s="27">
        <f t="shared" si="170"/>
        <v>-20594.530468013436</v>
      </c>
      <c r="AK59" s="27">
        <f t="shared" si="170"/>
        <v>-20594.53046801344</v>
      </c>
      <c r="AL59" s="27">
        <f t="shared" ref="AL59:BQ59" si="171">SUM(AL57:AL58)</f>
        <v>-20594.53046801344</v>
      </c>
      <c r="AM59" s="27">
        <f t="shared" si="171"/>
        <v>-20594.530468013436</v>
      </c>
      <c r="AN59" s="27">
        <f t="shared" si="171"/>
        <v>-20594.530468013436</v>
      </c>
      <c r="AO59" s="27">
        <f t="shared" si="171"/>
        <v>-20594.53046801344</v>
      </c>
      <c r="AP59" s="27">
        <f t="shared" si="171"/>
        <v>-20594.53046801344</v>
      </c>
      <c r="AQ59" s="27">
        <f t="shared" si="171"/>
        <v>-20594.53046801344</v>
      </c>
      <c r="AR59" s="27">
        <f t="shared" si="171"/>
        <v>-20594.53046801344</v>
      </c>
      <c r="AS59" s="27">
        <f t="shared" si="171"/>
        <v>-20594.53046801344</v>
      </c>
      <c r="AT59" s="27">
        <f t="shared" si="171"/>
        <v>-20594.530468013436</v>
      </c>
      <c r="AU59" s="27">
        <f t="shared" si="171"/>
        <v>-20594.53046801344</v>
      </c>
      <c r="AV59" s="27">
        <f t="shared" si="171"/>
        <v>-20594.53046801344</v>
      </c>
      <c r="AW59" s="27">
        <f t="shared" si="171"/>
        <v>-20594.530468013436</v>
      </c>
      <c r="AX59" s="27">
        <f t="shared" si="171"/>
        <v>-20594.53046801344</v>
      </c>
      <c r="AY59" s="27">
        <f t="shared" si="171"/>
        <v>-20594.530468013436</v>
      </c>
      <c r="AZ59" s="27">
        <f t="shared" si="171"/>
        <v>-20594.530468013436</v>
      </c>
      <c r="BA59" s="27">
        <f t="shared" si="171"/>
        <v>-20594.530468013436</v>
      </c>
      <c r="BB59" s="27">
        <f t="shared" si="171"/>
        <v>-20594.530468013436</v>
      </c>
      <c r="BC59" s="27">
        <f t="shared" si="171"/>
        <v>-20594.530468013436</v>
      </c>
      <c r="BD59" s="27">
        <f t="shared" si="171"/>
        <v>-20594.530468013436</v>
      </c>
      <c r="BE59" s="27">
        <f t="shared" si="171"/>
        <v>-20594.53046801344</v>
      </c>
      <c r="BF59" s="27">
        <f t="shared" si="171"/>
        <v>-20594.53046801344</v>
      </c>
      <c r="BG59" s="27">
        <f t="shared" si="171"/>
        <v>-20594.53046801344</v>
      </c>
      <c r="BH59" s="27">
        <f t="shared" si="171"/>
        <v>-20594.53046801344</v>
      </c>
      <c r="BI59" s="27">
        <f t="shared" si="171"/>
        <v>-20594.53046801344</v>
      </c>
      <c r="BJ59" s="27">
        <f t="shared" si="171"/>
        <v>-20594.53046801344</v>
      </c>
      <c r="BK59" s="27">
        <f t="shared" si="171"/>
        <v>-20594.53046801344</v>
      </c>
      <c r="BL59" s="27">
        <f t="shared" si="171"/>
        <v>-20594.53046801344</v>
      </c>
      <c r="BM59" s="27">
        <f t="shared" si="171"/>
        <v>-20594.53046801344</v>
      </c>
      <c r="BN59" s="27">
        <f t="shared" si="171"/>
        <v>-20594.530468013436</v>
      </c>
      <c r="BO59" s="27">
        <f t="shared" si="171"/>
        <v>-20594.530468013443</v>
      </c>
      <c r="BP59" s="27">
        <f t="shared" si="171"/>
        <v>-20594.53046801344</v>
      </c>
      <c r="BQ59" s="27">
        <f t="shared" si="171"/>
        <v>-20594.53046801344</v>
      </c>
      <c r="BR59" s="27">
        <f t="shared" ref="BR59:CW59" si="172">SUM(BR57:BR58)</f>
        <v>-20594.530468013436</v>
      </c>
      <c r="BS59" s="27">
        <f t="shared" si="172"/>
        <v>-20594.53046801344</v>
      </c>
      <c r="BT59" s="27">
        <f t="shared" si="172"/>
        <v>-20594.53046801344</v>
      </c>
      <c r="BU59" s="27">
        <f t="shared" si="172"/>
        <v>-20594.530468013443</v>
      </c>
      <c r="BV59" s="27">
        <f t="shared" si="172"/>
        <v>-20594.53046801344</v>
      </c>
      <c r="BW59" s="27">
        <f t="shared" si="172"/>
        <v>-20594.53046801344</v>
      </c>
      <c r="BX59" s="27">
        <f t="shared" si="172"/>
        <v>-20594.53046801344</v>
      </c>
      <c r="BY59" s="27">
        <f t="shared" si="172"/>
        <v>-20594.53046801344</v>
      </c>
      <c r="BZ59" s="27">
        <f t="shared" si="172"/>
        <v>-20594.53046801344</v>
      </c>
      <c r="CA59" s="27">
        <f t="shared" si="172"/>
        <v>-20594.530468013443</v>
      </c>
      <c r="CB59" s="27">
        <f t="shared" si="172"/>
        <v>-20594.530468013436</v>
      </c>
      <c r="CC59" s="27">
        <f t="shared" si="172"/>
        <v>-20594.53046801344</v>
      </c>
      <c r="CD59" s="27">
        <f t="shared" si="172"/>
        <v>-20594.530468013436</v>
      </c>
      <c r="CE59" s="27">
        <f t="shared" si="172"/>
        <v>-20594.53046801344</v>
      </c>
      <c r="CF59" s="27">
        <f t="shared" si="172"/>
        <v>-20594.53046801344</v>
      </c>
      <c r="CG59" s="27">
        <f t="shared" si="172"/>
        <v>-20594.530468013436</v>
      </c>
      <c r="CH59" s="27">
        <f t="shared" si="172"/>
        <v>-20594.53046801344</v>
      </c>
      <c r="CI59" s="27">
        <f t="shared" si="172"/>
        <v>-20594.530468013436</v>
      </c>
      <c r="CJ59" s="27">
        <f t="shared" si="172"/>
        <v>-20594.53046801344</v>
      </c>
      <c r="CK59" s="27">
        <f t="shared" si="172"/>
        <v>-20594.53046801344</v>
      </c>
      <c r="CL59" s="27">
        <f t="shared" si="172"/>
        <v>-20594.530468013436</v>
      </c>
      <c r="CM59" s="27">
        <f t="shared" si="172"/>
        <v>-20594.53046801344</v>
      </c>
      <c r="CN59" s="27">
        <f t="shared" si="172"/>
        <v>-20594.530468013436</v>
      </c>
      <c r="CO59" s="27">
        <f t="shared" si="172"/>
        <v>-20594.53046801344</v>
      </c>
      <c r="CP59" s="27">
        <f t="shared" si="172"/>
        <v>-20594.53046801344</v>
      </c>
      <c r="CQ59" s="27">
        <f t="shared" si="172"/>
        <v>-20594.53046801344</v>
      </c>
      <c r="CR59" s="27">
        <f t="shared" si="172"/>
        <v>-20594.53046801344</v>
      </c>
      <c r="CS59" s="27">
        <f t="shared" si="172"/>
        <v>-20594.53046801344</v>
      </c>
      <c r="CT59" s="27">
        <f t="shared" si="172"/>
        <v>-20594.53046801344</v>
      </c>
      <c r="CU59" s="27">
        <f t="shared" si="172"/>
        <v>-20594.530468013436</v>
      </c>
      <c r="CV59" s="27">
        <f t="shared" si="172"/>
        <v>-20594.53046801344</v>
      </c>
      <c r="CW59" s="27">
        <f t="shared" si="172"/>
        <v>-20594.53046801344</v>
      </c>
      <c r="CX59" s="27">
        <f t="shared" ref="CX59:EC59" si="173">SUM(CX57:CX58)</f>
        <v>-20594.530468013436</v>
      </c>
      <c r="CY59" s="27">
        <f t="shared" si="173"/>
        <v>-20594.53046801344</v>
      </c>
      <c r="CZ59" s="27">
        <f t="shared" si="173"/>
        <v>-20594.53046801344</v>
      </c>
      <c r="DA59" s="27">
        <f t="shared" si="173"/>
        <v>-20594.530468013436</v>
      </c>
      <c r="DB59" s="27">
        <f t="shared" si="173"/>
        <v>-20594.53046801344</v>
      </c>
      <c r="DC59" s="27">
        <f t="shared" si="173"/>
        <v>-20594.53046801344</v>
      </c>
      <c r="DD59" s="27">
        <f t="shared" si="173"/>
        <v>-20594.53046801344</v>
      </c>
      <c r="DE59" s="27">
        <f t="shared" si="173"/>
        <v>-20594.530468013436</v>
      </c>
      <c r="DF59" s="27">
        <f t="shared" si="173"/>
        <v>-20594.53046801344</v>
      </c>
      <c r="DG59" s="27">
        <f t="shared" si="173"/>
        <v>-20594.53046801344</v>
      </c>
      <c r="DH59" s="27">
        <f t="shared" si="173"/>
        <v>-20594.53046801344</v>
      </c>
      <c r="DI59" s="27">
        <f t="shared" si="173"/>
        <v>-20594.53046801344</v>
      </c>
      <c r="DJ59" s="27">
        <f t="shared" si="173"/>
        <v>-20594.53046801344</v>
      </c>
      <c r="DK59" s="27">
        <f t="shared" si="173"/>
        <v>-20594.530468013436</v>
      </c>
      <c r="DL59" s="27">
        <f t="shared" si="173"/>
        <v>-20594.530468013436</v>
      </c>
      <c r="DM59" s="27">
        <f t="shared" si="173"/>
        <v>-20594.530468013436</v>
      </c>
      <c r="DN59" s="27">
        <f t="shared" si="173"/>
        <v>-20594.530468013436</v>
      </c>
      <c r="DO59" s="27">
        <f t="shared" si="173"/>
        <v>-20594.530468013436</v>
      </c>
      <c r="DP59" s="27">
        <f t="shared" si="173"/>
        <v>-20594.530468013436</v>
      </c>
      <c r="DQ59" s="27">
        <f t="shared" si="173"/>
        <v>-20594.53046801344</v>
      </c>
      <c r="DR59" s="27">
        <f t="shared" si="173"/>
        <v>-20594.530468013443</v>
      </c>
      <c r="DS59" s="27">
        <f t="shared" si="173"/>
        <v>-20594.53046801344</v>
      </c>
      <c r="DT59" s="27">
        <f t="shared" si="173"/>
        <v>-20594.53046801344</v>
      </c>
      <c r="DU59" s="27">
        <f t="shared" si="173"/>
        <v>-20594.530468013436</v>
      </c>
      <c r="DV59" s="27">
        <f t="shared" si="173"/>
        <v>-20594.53046801344</v>
      </c>
      <c r="DW59" s="27">
        <f t="shared" si="173"/>
        <v>0</v>
      </c>
      <c r="DX59" s="27">
        <f t="shared" si="173"/>
        <v>0</v>
      </c>
      <c r="DY59" s="27">
        <f t="shared" si="173"/>
        <v>0</v>
      </c>
      <c r="DZ59" s="27">
        <f t="shared" si="173"/>
        <v>0</v>
      </c>
      <c r="EA59" s="27">
        <f t="shared" si="173"/>
        <v>0</v>
      </c>
      <c r="EB59" s="27">
        <f t="shared" si="173"/>
        <v>0</v>
      </c>
      <c r="EC59" s="27">
        <f t="shared" si="173"/>
        <v>0</v>
      </c>
      <c r="ED59" s="27">
        <f t="shared" ref="ED59:FI59" si="174">SUM(ED57:ED58)</f>
        <v>0</v>
      </c>
      <c r="EE59" s="27">
        <f t="shared" si="174"/>
        <v>0</v>
      </c>
      <c r="EF59" s="27">
        <f t="shared" si="174"/>
        <v>0</v>
      </c>
      <c r="EG59" s="27">
        <f t="shared" si="174"/>
        <v>0</v>
      </c>
      <c r="EH59" s="27">
        <f t="shared" si="174"/>
        <v>0</v>
      </c>
      <c r="EI59" s="27">
        <f t="shared" si="174"/>
        <v>0</v>
      </c>
      <c r="EJ59" s="27">
        <f t="shared" si="174"/>
        <v>0</v>
      </c>
      <c r="EK59" s="27">
        <f t="shared" si="174"/>
        <v>0</v>
      </c>
      <c r="EL59" s="27">
        <f t="shared" si="174"/>
        <v>0</v>
      </c>
      <c r="EM59" s="27">
        <f t="shared" si="174"/>
        <v>0</v>
      </c>
      <c r="EN59" s="27">
        <f t="shared" si="174"/>
        <v>0</v>
      </c>
      <c r="EO59" s="27">
        <f t="shared" si="174"/>
        <v>0</v>
      </c>
      <c r="EP59" s="27">
        <f t="shared" si="174"/>
        <v>0</v>
      </c>
      <c r="EQ59" s="27">
        <f t="shared" si="174"/>
        <v>0</v>
      </c>
      <c r="ER59" s="27">
        <f t="shared" si="174"/>
        <v>0</v>
      </c>
      <c r="ES59" s="27">
        <f t="shared" si="174"/>
        <v>0</v>
      </c>
      <c r="ET59" s="27">
        <f t="shared" si="174"/>
        <v>0</v>
      </c>
      <c r="EU59" s="27">
        <f t="shared" si="174"/>
        <v>0</v>
      </c>
      <c r="EV59" s="27">
        <f t="shared" si="174"/>
        <v>0</v>
      </c>
      <c r="EW59" s="27">
        <f t="shared" si="174"/>
        <v>0</v>
      </c>
      <c r="EX59" s="27">
        <f t="shared" si="174"/>
        <v>0</v>
      </c>
      <c r="EY59" s="27">
        <f t="shared" si="174"/>
        <v>0</v>
      </c>
      <c r="EZ59" s="27">
        <f t="shared" si="174"/>
        <v>0</v>
      </c>
      <c r="FA59" s="27">
        <f t="shared" si="174"/>
        <v>0</v>
      </c>
      <c r="FB59" s="27">
        <f t="shared" si="174"/>
        <v>0</v>
      </c>
      <c r="FC59" s="27">
        <f t="shared" si="174"/>
        <v>0</v>
      </c>
      <c r="FD59" s="27">
        <f t="shared" si="174"/>
        <v>0</v>
      </c>
      <c r="FE59" s="27">
        <f t="shared" si="174"/>
        <v>0</v>
      </c>
      <c r="FF59" s="27">
        <f t="shared" si="174"/>
        <v>0</v>
      </c>
      <c r="FG59" s="27">
        <f t="shared" si="174"/>
        <v>0</v>
      </c>
      <c r="FH59" s="27">
        <f t="shared" si="174"/>
        <v>0</v>
      </c>
      <c r="FI59" s="27">
        <f t="shared" si="174"/>
        <v>0</v>
      </c>
      <c r="FJ59" s="27">
        <f t="shared" ref="FJ59:GD59" si="175">SUM(FJ57:FJ58)</f>
        <v>0</v>
      </c>
      <c r="FK59" s="27">
        <f t="shared" si="175"/>
        <v>0</v>
      </c>
      <c r="FL59" s="27">
        <f t="shared" si="175"/>
        <v>0</v>
      </c>
      <c r="FM59" s="27">
        <f t="shared" si="175"/>
        <v>0</v>
      </c>
      <c r="FN59" s="27">
        <f t="shared" si="175"/>
        <v>0</v>
      </c>
      <c r="FO59" s="27">
        <f t="shared" si="175"/>
        <v>0</v>
      </c>
      <c r="FP59" s="27">
        <f t="shared" si="175"/>
        <v>0</v>
      </c>
      <c r="FQ59" s="27">
        <f t="shared" si="175"/>
        <v>0</v>
      </c>
      <c r="FR59" s="27">
        <f t="shared" si="175"/>
        <v>0</v>
      </c>
      <c r="FS59" s="27">
        <f t="shared" si="175"/>
        <v>0</v>
      </c>
      <c r="FT59" s="27">
        <f t="shared" si="175"/>
        <v>0</v>
      </c>
      <c r="FU59" s="27">
        <f t="shared" si="175"/>
        <v>0</v>
      </c>
      <c r="FV59" s="27">
        <f t="shared" si="175"/>
        <v>0</v>
      </c>
      <c r="FW59" s="27">
        <f t="shared" si="175"/>
        <v>0</v>
      </c>
      <c r="FX59" s="27">
        <f t="shared" si="175"/>
        <v>0</v>
      </c>
      <c r="FY59" s="27">
        <f t="shared" si="175"/>
        <v>0</v>
      </c>
      <c r="FZ59" s="27">
        <f t="shared" si="175"/>
        <v>0</v>
      </c>
      <c r="GA59" s="27">
        <f t="shared" si="175"/>
        <v>0</v>
      </c>
      <c r="GB59" s="27">
        <f t="shared" si="175"/>
        <v>0</v>
      </c>
      <c r="GC59" s="27">
        <f t="shared" si="175"/>
        <v>0</v>
      </c>
      <c r="GD59" s="27">
        <f t="shared" si="175"/>
        <v>0</v>
      </c>
      <c r="GE59" s="27">
        <f t="shared" ref="GE59:GM59" si="176">SUM(GE57:GE58)</f>
        <v>0</v>
      </c>
      <c r="GF59" s="27">
        <f t="shared" si="176"/>
        <v>0</v>
      </c>
      <c r="GG59" s="27">
        <f t="shared" si="176"/>
        <v>0</v>
      </c>
      <c r="GH59" s="27">
        <f t="shared" si="176"/>
        <v>0</v>
      </c>
      <c r="GI59" s="27">
        <f t="shared" si="176"/>
        <v>0</v>
      </c>
      <c r="GJ59" s="27">
        <f t="shared" si="176"/>
        <v>0</v>
      </c>
      <c r="GK59" s="27">
        <f t="shared" si="176"/>
        <v>0</v>
      </c>
      <c r="GL59" s="27">
        <f t="shared" si="176"/>
        <v>0</v>
      </c>
      <c r="GM59" s="27">
        <f t="shared" si="176"/>
        <v>0</v>
      </c>
      <c r="GN59" s="27"/>
      <c r="GO59" s="27"/>
      <c r="GP59" s="27"/>
      <c r="GQ59" s="27"/>
      <c r="GR59" s="27"/>
      <c r="GS59" s="27"/>
      <c r="GT59" s="27"/>
      <c r="GU59" s="27"/>
      <c r="GV59" s="27"/>
      <c r="GW59" s="27"/>
      <c r="GX59" s="27"/>
      <c r="GY59" s="27"/>
      <c r="GZ59" s="27"/>
      <c r="HA59" s="27"/>
      <c r="HB59" s="27"/>
      <c r="HC59" s="27"/>
      <c r="HD59" s="27"/>
      <c r="HE59" s="27"/>
      <c r="HF59" s="27"/>
      <c r="HG59" s="27"/>
      <c r="HH59" s="27"/>
      <c r="HI59" s="27"/>
      <c r="HJ59" s="27"/>
      <c r="HK59" s="27"/>
      <c r="HL59" s="27"/>
      <c r="HM59" s="27"/>
      <c r="HN59" s="27"/>
      <c r="HO59" s="27"/>
      <c r="HP59" s="27"/>
      <c r="HQ59" s="27"/>
      <c r="HR59" s="27"/>
      <c r="HS59" s="27"/>
      <c r="HT59" s="27"/>
      <c r="HU59" s="27"/>
      <c r="HV59" s="27"/>
      <c r="HW59" s="27"/>
      <c r="HX59" s="27"/>
      <c r="HY59" s="27"/>
      <c r="HZ59" s="27"/>
      <c r="IA59" s="27"/>
      <c r="IB59" s="27"/>
      <c r="IC59" s="27"/>
      <c r="ID59" s="27"/>
      <c r="IE59" s="27"/>
      <c r="IF59" s="27"/>
      <c r="IG59" s="27"/>
      <c r="IH59" s="27"/>
      <c r="II59" s="27"/>
      <c r="IJ59" s="27"/>
      <c r="IK59" s="27"/>
      <c r="IL59" s="27"/>
      <c r="IM59" s="27"/>
      <c r="IN59" s="27"/>
      <c r="IO59" s="27"/>
      <c r="IP59" s="27"/>
      <c r="IQ59" s="27"/>
      <c r="IR59" s="27"/>
      <c r="IS59" s="27"/>
      <c r="IT59" s="27"/>
      <c r="IU59" s="27"/>
      <c r="IV59" s="27"/>
      <c r="IW59" s="27"/>
      <c r="IX59" s="27"/>
      <c r="IY59" s="27"/>
      <c r="IZ59" s="27"/>
      <c r="JA59" s="27"/>
      <c r="JB59" s="27"/>
      <c r="JC59" s="27"/>
      <c r="JD59" s="27"/>
      <c r="JE59" s="27"/>
      <c r="JF59" s="27"/>
      <c r="JG59" s="27"/>
      <c r="JH59" s="27"/>
      <c r="JI59" s="27"/>
      <c r="JJ59" s="27"/>
      <c r="JK59" s="27"/>
      <c r="JL59" s="27"/>
      <c r="JM59" s="27"/>
      <c r="JN59" s="27"/>
      <c r="JO59" s="27"/>
      <c r="JP59" s="27"/>
      <c r="JQ59" s="27"/>
      <c r="JR59" s="27"/>
      <c r="JS59" s="27"/>
      <c r="JT59" s="27"/>
      <c r="JU59" s="27"/>
      <c r="JV59" s="27"/>
      <c r="JW59" s="27"/>
      <c r="JX59" s="27"/>
      <c r="JY59" s="27"/>
      <c r="JZ59" s="27"/>
      <c r="KA59" s="27"/>
      <c r="KB59" s="27"/>
      <c r="KC59" s="27"/>
      <c r="KD59" s="27"/>
      <c r="KE59" s="27"/>
      <c r="KF59" s="27"/>
      <c r="KG59" s="27"/>
      <c r="KH59" s="27"/>
      <c r="KI59" s="27"/>
      <c r="KJ59" s="27"/>
      <c r="KK59" s="27"/>
      <c r="KL59" s="27"/>
      <c r="KM59" s="27"/>
      <c r="KN59" s="27"/>
      <c r="KO59" s="27"/>
      <c r="KP59" s="27"/>
      <c r="KQ59" s="27"/>
      <c r="KR59" s="27"/>
      <c r="KS59" s="27"/>
      <c r="KT59" s="27"/>
      <c r="KU59" s="27"/>
      <c r="KV59" s="27"/>
      <c r="KW59" s="27"/>
      <c r="KX59" s="27"/>
      <c r="KY59" s="27"/>
      <c r="KZ59" s="27"/>
      <c r="LA59" s="27"/>
      <c r="LB59" s="27"/>
      <c r="LC59" s="27"/>
      <c r="LD59" s="27"/>
      <c r="LE59" s="27"/>
      <c r="LF59" s="27"/>
      <c r="LG59" s="27"/>
      <c r="LH59" s="27"/>
      <c r="LI59" s="27"/>
      <c r="LJ59" s="27"/>
      <c r="LK59" s="27"/>
      <c r="LL59" s="27"/>
      <c r="LM59" s="27"/>
      <c r="LN59" s="27"/>
      <c r="LO59" s="27"/>
      <c r="LP59" s="27"/>
      <c r="LQ59" s="27"/>
      <c r="LR59" s="27"/>
      <c r="LS59" s="27"/>
      <c r="LT59" s="27"/>
      <c r="LU59" s="27"/>
      <c r="LV59" s="27"/>
      <c r="LW59" s="27"/>
      <c r="LX59" s="27"/>
      <c r="LY59" s="27"/>
      <c r="LZ59" s="27"/>
      <c r="MA59" s="27"/>
      <c r="MB59" s="27"/>
      <c r="MC59" s="27"/>
      <c r="MD59" s="27"/>
      <c r="ME59" s="27"/>
      <c r="MF59" s="27"/>
      <c r="MG59" s="27"/>
      <c r="MH59" s="27"/>
      <c r="MI59" s="27"/>
      <c r="MJ59" s="27"/>
      <c r="MK59" s="27"/>
      <c r="ML59" s="27"/>
      <c r="MM59" s="27"/>
      <c r="MN59" s="27"/>
      <c r="MO59" s="27"/>
      <c r="MP59" s="27"/>
      <c r="MQ59" s="27"/>
      <c r="MR59" s="27"/>
      <c r="MS59" s="27"/>
      <c r="MT59" s="27"/>
      <c r="MU59" s="27"/>
      <c r="MV59" s="27"/>
      <c r="MW59" s="27"/>
      <c r="MX59" s="27"/>
      <c r="MY59" s="27"/>
      <c r="MZ59" s="27"/>
      <c r="NA59" s="27"/>
      <c r="NB59" s="27"/>
    </row>
    <row r="61" spans="2:366" ht="16" customHeight="1" x14ac:dyDescent="0.15">
      <c r="B61" s="71" t="s">
        <v>294</v>
      </c>
      <c r="C61" s="312" t="s">
        <v>150</v>
      </c>
      <c r="D61" s="95"/>
      <c r="E61" s="3"/>
      <c r="F61" s="32">
        <f>IF(F$7='Assumptions_&amp;_Inputs'!$I$80,'Assumptions_&amp;_Inputs'!$I$74,0)</f>
        <v>0</v>
      </c>
      <c r="G61" s="32">
        <f>IF(G$7='Assumptions_&amp;_Inputs'!$I$80,'Assumptions_&amp;_Inputs'!$I$74,0)</f>
        <v>0</v>
      </c>
      <c r="H61" s="32">
        <f>IF(H$7='Assumptions_&amp;_Inputs'!$I$80,'Assumptions_&amp;_Inputs'!$I$74,0)</f>
        <v>0</v>
      </c>
      <c r="I61" s="32">
        <f>IF(I$7='Assumptions_&amp;_Inputs'!$I$80,'Assumptions_&amp;_Inputs'!$I$74,0)</f>
        <v>0</v>
      </c>
      <c r="J61" s="32">
        <f>IF(J$7='Assumptions_&amp;_Inputs'!$I$80,'Assumptions_&amp;_Inputs'!$I$74,0)</f>
        <v>0</v>
      </c>
      <c r="K61" s="32">
        <f>IF(K$7='Assumptions_&amp;_Inputs'!$I$80,'Assumptions_&amp;_Inputs'!$I$74,0)</f>
        <v>0</v>
      </c>
      <c r="L61" s="32">
        <f>IF(L$7='Assumptions_&amp;_Inputs'!$I$80,'Assumptions_&amp;_Inputs'!$I$74,0)</f>
        <v>0</v>
      </c>
      <c r="M61" s="32">
        <f>IF(M$7='Assumptions_&amp;_Inputs'!$I$80,'Assumptions_&amp;_Inputs'!$I$74,0)</f>
        <v>0</v>
      </c>
      <c r="N61" s="32">
        <f>IF(N$7='Assumptions_&amp;_Inputs'!$I$80,'Assumptions_&amp;_Inputs'!$I$74,0)</f>
        <v>0</v>
      </c>
      <c r="O61" s="32">
        <f>IF(O$7='Assumptions_&amp;_Inputs'!$I$80,'Assumptions_&amp;_Inputs'!$I$74,0)</f>
        <v>0</v>
      </c>
      <c r="P61" s="32">
        <f>IF(P$7='Assumptions_&amp;_Inputs'!$I$80,'Assumptions_&amp;_Inputs'!$I$74,0)</f>
        <v>0</v>
      </c>
      <c r="Q61" s="32">
        <f>IF(Q$7='Assumptions_&amp;_Inputs'!$I$80,'Assumptions_&amp;_Inputs'!$I$74,0)</f>
        <v>0</v>
      </c>
      <c r="R61" s="32">
        <f>IF(R$7='Assumptions_&amp;_Inputs'!$I$80,'Assumptions_&amp;_Inputs'!$I$74,0)</f>
        <v>0</v>
      </c>
      <c r="S61" s="32">
        <f>IF(S$7='Assumptions_&amp;_Inputs'!$I$80,'Assumptions_&amp;_Inputs'!$I$74,0)</f>
        <v>0</v>
      </c>
      <c r="T61" s="32">
        <f>IF(T$7='Assumptions_&amp;_Inputs'!$I$80,'Assumptions_&amp;_Inputs'!$I$74,0)</f>
        <v>0</v>
      </c>
      <c r="U61" s="32">
        <f>IF(U$7='Assumptions_&amp;_Inputs'!$I$80,'Assumptions_&amp;_Inputs'!$I$74,0)</f>
        <v>0</v>
      </c>
      <c r="V61" s="32">
        <f>IF(V$7='Assumptions_&amp;_Inputs'!$I$80,'Assumptions_&amp;_Inputs'!$I$74,0)</f>
        <v>0</v>
      </c>
      <c r="W61" s="32">
        <f>IF(W$7='Assumptions_&amp;_Inputs'!$I$80,'Assumptions_&amp;_Inputs'!$I$74,0)</f>
        <v>0</v>
      </c>
      <c r="X61" s="32">
        <f>IF(X$7='Assumptions_&amp;_Inputs'!$I$80,'Assumptions_&amp;_Inputs'!$I$74,0)</f>
        <v>4138544.398291734</v>
      </c>
      <c r="Y61" s="32">
        <f>IF(Y$7='Assumptions_&amp;_Inputs'!$I$80,'Assumptions_&amp;_Inputs'!$I$74,0)</f>
        <v>0</v>
      </c>
      <c r="Z61" s="32">
        <f>IF(Z$7='Assumptions_&amp;_Inputs'!$I$80,'Assumptions_&amp;_Inputs'!$I$74,0)</f>
        <v>0</v>
      </c>
      <c r="AA61" s="32">
        <f>IF(AA$7='Assumptions_&amp;_Inputs'!$I$80,'Assumptions_&amp;_Inputs'!$I$74,0)</f>
        <v>0</v>
      </c>
      <c r="AB61" s="32">
        <f>IF(AB$7='Assumptions_&amp;_Inputs'!$I$80,'Assumptions_&amp;_Inputs'!$I$74,0)</f>
        <v>0</v>
      </c>
      <c r="AC61" s="32">
        <f>IF(AC$7='Assumptions_&amp;_Inputs'!$I$80,'Assumptions_&amp;_Inputs'!$I$74,0)</f>
        <v>0</v>
      </c>
      <c r="AD61" s="32">
        <f>IF(AD$7='Assumptions_&amp;_Inputs'!$I$80,'Assumptions_&amp;_Inputs'!$I$74,0)</f>
        <v>0</v>
      </c>
      <c r="AE61" s="32">
        <f>IF(AE$7='Assumptions_&amp;_Inputs'!$I$80,'Assumptions_&amp;_Inputs'!$I$74,0)</f>
        <v>0</v>
      </c>
      <c r="AF61" s="32">
        <f>IF(AF$7='Assumptions_&amp;_Inputs'!$I$80,'Assumptions_&amp;_Inputs'!$I$74,0)</f>
        <v>0</v>
      </c>
      <c r="AG61" s="32">
        <f>IF(AG$7='Assumptions_&amp;_Inputs'!$I$80,'Assumptions_&amp;_Inputs'!$I$74,0)</f>
        <v>0</v>
      </c>
      <c r="AH61" s="32">
        <f>IF(AH$7='Assumptions_&amp;_Inputs'!$I$80,'Assumptions_&amp;_Inputs'!$I$74,0)</f>
        <v>0</v>
      </c>
      <c r="AI61" s="32">
        <f>IF(AI$7='Assumptions_&amp;_Inputs'!$I$80,'Assumptions_&amp;_Inputs'!$I$74,0)</f>
        <v>0</v>
      </c>
      <c r="AJ61" s="32">
        <f>IF(AJ$7='Assumptions_&amp;_Inputs'!$I$80,'Assumptions_&amp;_Inputs'!$I$74,0)</f>
        <v>0</v>
      </c>
      <c r="AK61" s="32">
        <f>IF(AK$7='Assumptions_&amp;_Inputs'!$I$80,'Assumptions_&amp;_Inputs'!$I$74,0)</f>
        <v>0</v>
      </c>
      <c r="AL61" s="32">
        <f>IF(AL$7='Assumptions_&amp;_Inputs'!$I$80,'Assumptions_&amp;_Inputs'!$I$74,0)</f>
        <v>0</v>
      </c>
      <c r="AM61" s="32">
        <f>IF(AM$7='Assumptions_&amp;_Inputs'!$I$80,'Assumptions_&amp;_Inputs'!$I$74,0)</f>
        <v>0</v>
      </c>
      <c r="AN61" s="32">
        <f>IF(AN$7='Assumptions_&amp;_Inputs'!$I$80,'Assumptions_&amp;_Inputs'!$I$74,0)</f>
        <v>0</v>
      </c>
      <c r="AO61" s="32">
        <f>IF(AO$7='Assumptions_&amp;_Inputs'!$I$80,'Assumptions_&amp;_Inputs'!$I$74,0)</f>
        <v>0</v>
      </c>
      <c r="AP61" s="32">
        <f>IF(AP$7='Assumptions_&amp;_Inputs'!$I$80,'Assumptions_&amp;_Inputs'!$I$74,0)</f>
        <v>0</v>
      </c>
      <c r="AQ61" s="32">
        <f>IF(AQ$7='Assumptions_&amp;_Inputs'!$I$80,'Assumptions_&amp;_Inputs'!$I$74,0)</f>
        <v>0</v>
      </c>
      <c r="AR61" s="32">
        <f>IF(AR$7='Assumptions_&amp;_Inputs'!$I$80,'Assumptions_&amp;_Inputs'!$I$74,0)</f>
        <v>0</v>
      </c>
      <c r="AS61" s="32">
        <f>IF(AS$7='Assumptions_&amp;_Inputs'!$I$80,'Assumptions_&amp;_Inputs'!$I$74,0)</f>
        <v>0</v>
      </c>
      <c r="AT61" s="32">
        <f>IF(AT$7='Assumptions_&amp;_Inputs'!$I$80,'Assumptions_&amp;_Inputs'!$I$74,0)</f>
        <v>0</v>
      </c>
      <c r="AU61" s="32">
        <f>IF(AU$7='Assumptions_&amp;_Inputs'!$I$80,'Assumptions_&amp;_Inputs'!$I$74,0)</f>
        <v>0</v>
      </c>
      <c r="AV61" s="32">
        <f>IF(AV$7='Assumptions_&amp;_Inputs'!$I$80,'Assumptions_&amp;_Inputs'!$I$74,0)</f>
        <v>0</v>
      </c>
      <c r="AW61" s="32">
        <f>IF(AW$7='Assumptions_&amp;_Inputs'!$I$80,'Assumptions_&amp;_Inputs'!$I$74,0)</f>
        <v>0</v>
      </c>
      <c r="AX61" s="32">
        <f>IF(AX$7='Assumptions_&amp;_Inputs'!$I$80,'Assumptions_&amp;_Inputs'!$I$74,0)</f>
        <v>0</v>
      </c>
      <c r="AY61" s="32">
        <f>IF(AY$7='Assumptions_&amp;_Inputs'!$I$80,'Assumptions_&amp;_Inputs'!$I$74,0)</f>
        <v>0</v>
      </c>
      <c r="AZ61" s="32">
        <f>IF(AZ$7='Assumptions_&amp;_Inputs'!$I$80,'Assumptions_&amp;_Inputs'!$I$74,0)</f>
        <v>0</v>
      </c>
      <c r="BA61" s="32">
        <f>IF(BA$7='Assumptions_&amp;_Inputs'!$I$80,'Assumptions_&amp;_Inputs'!$I$74,0)</f>
        <v>0</v>
      </c>
      <c r="BB61" s="32">
        <f>IF(BB$7='Assumptions_&amp;_Inputs'!$I$80,'Assumptions_&amp;_Inputs'!$I$74,0)</f>
        <v>0</v>
      </c>
      <c r="BC61" s="32">
        <f>IF(BC$7='Assumptions_&amp;_Inputs'!$I$80,'Assumptions_&amp;_Inputs'!$I$74,0)</f>
        <v>0</v>
      </c>
      <c r="BD61" s="32">
        <f>IF(BD$7='Assumptions_&amp;_Inputs'!$I$80,'Assumptions_&amp;_Inputs'!$I$74,0)</f>
        <v>0</v>
      </c>
      <c r="BE61" s="32">
        <f>IF(BE$7='Assumptions_&amp;_Inputs'!$I$80,'Assumptions_&amp;_Inputs'!$I$74,0)</f>
        <v>0</v>
      </c>
      <c r="BF61" s="32">
        <f>IF(BF$7='Assumptions_&amp;_Inputs'!$I$80,'Assumptions_&amp;_Inputs'!$I$74,0)</f>
        <v>0</v>
      </c>
      <c r="BG61" s="32">
        <f>IF(BG$7='Assumptions_&amp;_Inputs'!$I$80,'Assumptions_&amp;_Inputs'!$I$74,0)</f>
        <v>0</v>
      </c>
      <c r="BH61" s="32">
        <f>IF(BH$7='Assumptions_&amp;_Inputs'!$I$80,'Assumptions_&amp;_Inputs'!$I$74,0)</f>
        <v>0</v>
      </c>
      <c r="BI61" s="32">
        <f>IF(BI$7='Assumptions_&amp;_Inputs'!$I$80,'Assumptions_&amp;_Inputs'!$I$74,0)</f>
        <v>0</v>
      </c>
      <c r="BJ61" s="32">
        <f>IF(BJ$7='Assumptions_&amp;_Inputs'!$I$80,'Assumptions_&amp;_Inputs'!$I$74,0)</f>
        <v>0</v>
      </c>
      <c r="BK61" s="32">
        <f>IF(BK$7='Assumptions_&amp;_Inputs'!$I$80,'Assumptions_&amp;_Inputs'!$I$74,0)</f>
        <v>0</v>
      </c>
      <c r="BL61" s="32">
        <f>IF(BL$7='Assumptions_&amp;_Inputs'!$I$80,'Assumptions_&amp;_Inputs'!$I$74,0)</f>
        <v>0</v>
      </c>
      <c r="BM61" s="32">
        <f>IF(BM$7='Assumptions_&amp;_Inputs'!$I$80,'Assumptions_&amp;_Inputs'!$I$74,0)</f>
        <v>0</v>
      </c>
      <c r="BN61" s="32">
        <f>IF(BN$7='Assumptions_&amp;_Inputs'!$I$80,'Assumptions_&amp;_Inputs'!$I$74,0)</f>
        <v>0</v>
      </c>
      <c r="BO61" s="32">
        <f>IF(BO$7='Assumptions_&amp;_Inputs'!$I$80,'Assumptions_&amp;_Inputs'!$I$74,0)</f>
        <v>0</v>
      </c>
      <c r="BP61" s="32">
        <f>IF(BP$7='Assumptions_&amp;_Inputs'!$I$80,'Assumptions_&amp;_Inputs'!$I$74,0)</f>
        <v>0</v>
      </c>
      <c r="BQ61" s="32">
        <f>IF(BQ$7='Assumptions_&amp;_Inputs'!$I$80,'Assumptions_&amp;_Inputs'!$I$74,0)</f>
        <v>0</v>
      </c>
      <c r="BR61" s="32">
        <f>IF(BR$7='Assumptions_&amp;_Inputs'!$I$80,'Assumptions_&amp;_Inputs'!$I$74,0)</f>
        <v>0</v>
      </c>
      <c r="BS61" s="32">
        <f>IF(BS$7='Assumptions_&amp;_Inputs'!$I$80,'Assumptions_&amp;_Inputs'!$I$74,0)</f>
        <v>0</v>
      </c>
      <c r="BT61" s="32">
        <f>IF(BT$7='Assumptions_&amp;_Inputs'!$I$80,'Assumptions_&amp;_Inputs'!$I$74,0)</f>
        <v>0</v>
      </c>
      <c r="BU61" s="32">
        <f>IF(BU$7='Assumptions_&amp;_Inputs'!$I$80,'Assumptions_&amp;_Inputs'!$I$74,0)</f>
        <v>0</v>
      </c>
      <c r="BV61" s="32">
        <f>IF(BV$7='Assumptions_&amp;_Inputs'!$I$80,'Assumptions_&amp;_Inputs'!$I$74,0)</f>
        <v>0</v>
      </c>
      <c r="BW61" s="32">
        <f>IF(BW$7='Assumptions_&amp;_Inputs'!$I$80,'Assumptions_&amp;_Inputs'!$I$74,0)</f>
        <v>0</v>
      </c>
      <c r="BX61" s="32">
        <f>IF(BX$7='Assumptions_&amp;_Inputs'!$I$80,'Assumptions_&amp;_Inputs'!$I$74,0)</f>
        <v>0</v>
      </c>
      <c r="BY61" s="32">
        <f>IF(BY$7='Assumptions_&amp;_Inputs'!$I$80,'Assumptions_&amp;_Inputs'!$I$74,0)</f>
        <v>0</v>
      </c>
      <c r="BZ61" s="32">
        <f>IF(BZ$7='Assumptions_&amp;_Inputs'!$I$80,'Assumptions_&amp;_Inputs'!$I$74,0)</f>
        <v>0</v>
      </c>
      <c r="CA61" s="32">
        <f>IF(CA$7='Assumptions_&amp;_Inputs'!$I$80,'Assumptions_&amp;_Inputs'!$I$74,0)</f>
        <v>0</v>
      </c>
      <c r="CB61" s="32">
        <f>IF(CB$7='Assumptions_&amp;_Inputs'!$I$80,'Assumptions_&amp;_Inputs'!$I$74,0)</f>
        <v>0</v>
      </c>
      <c r="CC61" s="32">
        <f>IF(CC$7='Assumptions_&amp;_Inputs'!$I$80,'Assumptions_&amp;_Inputs'!$I$74,0)</f>
        <v>0</v>
      </c>
      <c r="CD61" s="32">
        <f>IF(CD$7='Assumptions_&amp;_Inputs'!$I$80,'Assumptions_&amp;_Inputs'!$I$74,0)</f>
        <v>0</v>
      </c>
      <c r="CE61" s="32">
        <f>IF(CE$7='Assumptions_&amp;_Inputs'!$I$80,'Assumptions_&amp;_Inputs'!$I$74,0)</f>
        <v>0</v>
      </c>
      <c r="CF61" s="32">
        <f>IF(CF$7='Assumptions_&amp;_Inputs'!$I$80,'Assumptions_&amp;_Inputs'!$I$74,0)</f>
        <v>0</v>
      </c>
      <c r="CG61" s="32">
        <f>IF(CG$7='Assumptions_&amp;_Inputs'!$I$80,'Assumptions_&amp;_Inputs'!$I$74,0)</f>
        <v>0</v>
      </c>
      <c r="CH61" s="32">
        <f>IF(CH$7='Assumptions_&amp;_Inputs'!$I$80,'Assumptions_&amp;_Inputs'!$I$74,0)</f>
        <v>0</v>
      </c>
      <c r="CI61" s="32">
        <f>IF(CI$7='Assumptions_&amp;_Inputs'!$I$80,'Assumptions_&amp;_Inputs'!$I$74,0)</f>
        <v>0</v>
      </c>
      <c r="CJ61" s="32">
        <f>IF(CJ$7='Assumptions_&amp;_Inputs'!$I$80,'Assumptions_&amp;_Inputs'!$I$74,0)</f>
        <v>0</v>
      </c>
      <c r="CK61" s="32">
        <f>IF(CK$7='Assumptions_&amp;_Inputs'!$I$80,'Assumptions_&amp;_Inputs'!$I$74,0)</f>
        <v>0</v>
      </c>
      <c r="CL61" s="32">
        <f>IF(CL$7='Assumptions_&amp;_Inputs'!$I$80,'Assumptions_&amp;_Inputs'!$I$74,0)</f>
        <v>0</v>
      </c>
      <c r="CM61" s="32">
        <f>IF(CM$7='Assumptions_&amp;_Inputs'!$I$80,'Assumptions_&amp;_Inputs'!$I$74,0)</f>
        <v>0</v>
      </c>
      <c r="CN61" s="32">
        <f>IF(CN$7='Assumptions_&amp;_Inputs'!$I$80,'Assumptions_&amp;_Inputs'!$I$74,0)</f>
        <v>0</v>
      </c>
      <c r="CO61" s="32">
        <f>IF(CO$7='Assumptions_&amp;_Inputs'!$I$80,'Assumptions_&amp;_Inputs'!$I$74,0)</f>
        <v>0</v>
      </c>
      <c r="CP61" s="32">
        <f>IF(CP$7='Assumptions_&amp;_Inputs'!$I$80,'Assumptions_&amp;_Inputs'!$I$74,0)</f>
        <v>0</v>
      </c>
      <c r="CQ61" s="32">
        <f>IF(CQ$7='Assumptions_&amp;_Inputs'!$I$80,'Assumptions_&amp;_Inputs'!$I$74,0)</f>
        <v>0</v>
      </c>
      <c r="CR61" s="32">
        <f>IF(CR$7='Assumptions_&amp;_Inputs'!$I$80,'Assumptions_&amp;_Inputs'!$I$74,0)</f>
        <v>0</v>
      </c>
      <c r="CS61" s="32">
        <f>IF(CS$7='Assumptions_&amp;_Inputs'!$I$80,'Assumptions_&amp;_Inputs'!$I$74,0)</f>
        <v>0</v>
      </c>
      <c r="CT61" s="32">
        <f>IF(CT$7='Assumptions_&amp;_Inputs'!$I$80,'Assumptions_&amp;_Inputs'!$I$74,0)</f>
        <v>0</v>
      </c>
      <c r="CU61" s="32">
        <f>IF(CU$7='Assumptions_&amp;_Inputs'!$I$80,'Assumptions_&amp;_Inputs'!$I$74,0)</f>
        <v>0</v>
      </c>
      <c r="CV61" s="32">
        <f>IF(CV$7='Assumptions_&amp;_Inputs'!$I$80,'Assumptions_&amp;_Inputs'!$I$74,0)</f>
        <v>0</v>
      </c>
      <c r="CW61" s="32">
        <f>IF(CW$7='Assumptions_&amp;_Inputs'!$I$80,'Assumptions_&amp;_Inputs'!$I$74,0)</f>
        <v>0</v>
      </c>
      <c r="CX61" s="32">
        <f>IF(CX$7='Assumptions_&amp;_Inputs'!$I$80,'Assumptions_&amp;_Inputs'!$I$74,0)</f>
        <v>0</v>
      </c>
      <c r="CY61" s="32">
        <f>IF(CY$7='Assumptions_&amp;_Inputs'!$I$80,'Assumptions_&amp;_Inputs'!$I$74,0)</f>
        <v>0</v>
      </c>
      <c r="CZ61" s="32">
        <f>IF(CZ$7='Assumptions_&amp;_Inputs'!$I$80,'Assumptions_&amp;_Inputs'!$I$74,0)</f>
        <v>0</v>
      </c>
      <c r="DA61" s="32">
        <f>IF(DA$7='Assumptions_&amp;_Inputs'!$I$80,'Assumptions_&amp;_Inputs'!$I$74,0)</f>
        <v>0</v>
      </c>
      <c r="DB61" s="32">
        <f>IF(DB$7='Assumptions_&amp;_Inputs'!$I$80,'Assumptions_&amp;_Inputs'!$I$74,0)</f>
        <v>0</v>
      </c>
      <c r="DC61" s="32">
        <f>IF(DC$7='Assumptions_&amp;_Inputs'!$I$80,'Assumptions_&amp;_Inputs'!$I$74,0)</f>
        <v>0</v>
      </c>
      <c r="DD61" s="32">
        <f>IF(DD$7='Assumptions_&amp;_Inputs'!$I$80,'Assumptions_&amp;_Inputs'!$I$74,0)</f>
        <v>0</v>
      </c>
      <c r="DE61" s="32">
        <f>IF(DE$7='Assumptions_&amp;_Inputs'!$I$80,'Assumptions_&amp;_Inputs'!$I$74,0)</f>
        <v>0</v>
      </c>
      <c r="DF61" s="32">
        <f>IF(DF$7='Assumptions_&amp;_Inputs'!$I$80,'Assumptions_&amp;_Inputs'!$I$74,0)</f>
        <v>0</v>
      </c>
      <c r="DG61" s="32">
        <f>IF(DG$7='Assumptions_&amp;_Inputs'!$I$80,'Assumptions_&amp;_Inputs'!$I$74,0)</f>
        <v>0</v>
      </c>
      <c r="DH61" s="32">
        <f>IF(DH$7='Assumptions_&amp;_Inputs'!$I$80,'Assumptions_&amp;_Inputs'!$I$74,0)</f>
        <v>0</v>
      </c>
      <c r="DI61" s="32">
        <f>IF(DI$7='Assumptions_&amp;_Inputs'!$I$80,'Assumptions_&amp;_Inputs'!$I$74,0)</f>
        <v>0</v>
      </c>
      <c r="DJ61" s="32">
        <f>IF(DJ$7='Assumptions_&amp;_Inputs'!$I$80,'Assumptions_&amp;_Inputs'!$I$74,0)</f>
        <v>0</v>
      </c>
      <c r="DK61" s="32">
        <f>IF(DK$7='Assumptions_&amp;_Inputs'!$I$80,'Assumptions_&amp;_Inputs'!$I$74,0)</f>
        <v>0</v>
      </c>
      <c r="DL61" s="32">
        <f>IF(DL$7='Assumptions_&amp;_Inputs'!$I$80,'Assumptions_&amp;_Inputs'!$I$74,0)</f>
        <v>0</v>
      </c>
      <c r="DM61" s="32">
        <f>IF(DM$7='Assumptions_&amp;_Inputs'!$I$80,'Assumptions_&amp;_Inputs'!$I$74,0)</f>
        <v>0</v>
      </c>
      <c r="DN61" s="32">
        <f>IF(DN$7='Assumptions_&amp;_Inputs'!$I$80,'Assumptions_&amp;_Inputs'!$I$74,0)</f>
        <v>0</v>
      </c>
      <c r="DO61" s="32">
        <f>IF(DO$7='Assumptions_&amp;_Inputs'!$I$80,'Assumptions_&amp;_Inputs'!$I$74,0)</f>
        <v>0</v>
      </c>
      <c r="DP61" s="32">
        <f>IF(DP$7='Assumptions_&amp;_Inputs'!$I$80,'Assumptions_&amp;_Inputs'!$I$74,0)</f>
        <v>0</v>
      </c>
      <c r="DQ61" s="32">
        <f>IF(DQ$7='Assumptions_&amp;_Inputs'!$I$80,'Assumptions_&amp;_Inputs'!$I$74,0)</f>
        <v>0</v>
      </c>
      <c r="DR61" s="32">
        <f>IF(DR$7='Assumptions_&amp;_Inputs'!$I$80,'Assumptions_&amp;_Inputs'!$I$74,0)</f>
        <v>0</v>
      </c>
      <c r="DS61" s="32">
        <f>IF(DS$7='Assumptions_&amp;_Inputs'!$I$80,'Assumptions_&amp;_Inputs'!$I$74,0)</f>
        <v>0</v>
      </c>
      <c r="DT61" s="32">
        <f>IF(DT$7='Assumptions_&amp;_Inputs'!$I$80,'Assumptions_&amp;_Inputs'!$I$74,0)</f>
        <v>0</v>
      </c>
      <c r="DU61" s="32">
        <f>IF(DU$7='Assumptions_&amp;_Inputs'!$I$80,'Assumptions_&amp;_Inputs'!$I$74,0)</f>
        <v>0</v>
      </c>
      <c r="DV61" s="32">
        <f>IF(DV$7='Assumptions_&amp;_Inputs'!$I$80,'Assumptions_&amp;_Inputs'!$I$74,0)</f>
        <v>0</v>
      </c>
      <c r="DW61" s="32">
        <f>IF(DW$7='Assumptions_&amp;_Inputs'!$I$80,'Assumptions_&amp;_Inputs'!$I$74,0)</f>
        <v>0</v>
      </c>
      <c r="DX61" s="32">
        <f>IF(DX$7='Assumptions_&amp;_Inputs'!$I$80,'Assumptions_&amp;_Inputs'!$I$74,0)</f>
        <v>0</v>
      </c>
      <c r="DY61" s="32">
        <f>IF(DY$7='Assumptions_&amp;_Inputs'!$I$80,'Assumptions_&amp;_Inputs'!$I$74,0)</f>
        <v>0</v>
      </c>
      <c r="DZ61" s="32">
        <f>IF(DZ$7='Assumptions_&amp;_Inputs'!$I$80,'Assumptions_&amp;_Inputs'!$I$74,0)</f>
        <v>0</v>
      </c>
      <c r="EA61" s="32">
        <f>IF(EA$7='Assumptions_&amp;_Inputs'!$I$80,'Assumptions_&amp;_Inputs'!$I$74,0)</f>
        <v>0</v>
      </c>
      <c r="EB61" s="32">
        <f>IF(EB$7='Assumptions_&amp;_Inputs'!$I$80,'Assumptions_&amp;_Inputs'!$I$74,0)</f>
        <v>0</v>
      </c>
      <c r="EC61" s="32">
        <f>IF(EC$7='Assumptions_&amp;_Inputs'!$I$80,'Assumptions_&amp;_Inputs'!$I$74,0)</f>
        <v>0</v>
      </c>
      <c r="ED61" s="32">
        <f>IF(ED$7='Assumptions_&amp;_Inputs'!$I$80,'Assumptions_&amp;_Inputs'!$I$74,0)</f>
        <v>0</v>
      </c>
      <c r="EE61" s="32">
        <f>IF(EE$7='Assumptions_&amp;_Inputs'!$I$80,'Assumptions_&amp;_Inputs'!$I$74,0)</f>
        <v>0</v>
      </c>
      <c r="EF61" s="32">
        <f>IF(EF$7='Assumptions_&amp;_Inputs'!$I$80,'Assumptions_&amp;_Inputs'!$I$74,0)</f>
        <v>0</v>
      </c>
      <c r="EG61" s="32">
        <f>IF(EG$7='Assumptions_&amp;_Inputs'!$I$80,'Assumptions_&amp;_Inputs'!$I$74,0)</f>
        <v>0</v>
      </c>
      <c r="EH61" s="32">
        <f>IF(EH$7='Assumptions_&amp;_Inputs'!$I$80,'Assumptions_&amp;_Inputs'!$I$74,0)</f>
        <v>0</v>
      </c>
      <c r="EI61" s="32">
        <f>IF(EI$7='Assumptions_&amp;_Inputs'!$I$80,'Assumptions_&amp;_Inputs'!$I$74,0)</f>
        <v>0</v>
      </c>
      <c r="EJ61" s="32">
        <f>IF(EJ$7='Assumptions_&amp;_Inputs'!$I$80,'Assumptions_&amp;_Inputs'!$I$74,0)</f>
        <v>0</v>
      </c>
      <c r="EK61" s="32">
        <f>IF(EK$7='Assumptions_&amp;_Inputs'!$I$80,'Assumptions_&amp;_Inputs'!$I$74,0)</f>
        <v>0</v>
      </c>
      <c r="EL61" s="32">
        <f>IF(EL$7='Assumptions_&amp;_Inputs'!$I$80,'Assumptions_&amp;_Inputs'!$I$74,0)</f>
        <v>0</v>
      </c>
      <c r="EM61" s="32">
        <f>IF(EM$7='Assumptions_&amp;_Inputs'!$I$80,'Assumptions_&amp;_Inputs'!$I$74,0)</f>
        <v>0</v>
      </c>
      <c r="EN61" s="32">
        <f>IF(EN$7='Assumptions_&amp;_Inputs'!$I$80,'Assumptions_&amp;_Inputs'!$I$74,0)</f>
        <v>0</v>
      </c>
      <c r="EO61" s="32">
        <f>IF(EO$7='Assumptions_&amp;_Inputs'!$I$80,'Assumptions_&amp;_Inputs'!$I$74,0)</f>
        <v>0</v>
      </c>
      <c r="EP61" s="32">
        <f>IF(EP$7='Assumptions_&amp;_Inputs'!$I$80,'Assumptions_&amp;_Inputs'!$I$74,0)</f>
        <v>0</v>
      </c>
      <c r="EQ61" s="32">
        <f>IF(EQ$7='Assumptions_&amp;_Inputs'!$I$80,'Assumptions_&amp;_Inputs'!$I$74,0)</f>
        <v>0</v>
      </c>
      <c r="ER61" s="32">
        <f>IF(ER$7='Assumptions_&amp;_Inputs'!$I$80,'Assumptions_&amp;_Inputs'!$I$74,0)</f>
        <v>0</v>
      </c>
      <c r="ES61" s="32">
        <f>IF(ES$7='Assumptions_&amp;_Inputs'!$I$80,'Assumptions_&amp;_Inputs'!$I$74,0)</f>
        <v>0</v>
      </c>
      <c r="ET61" s="32">
        <f>IF(ET$7='Assumptions_&amp;_Inputs'!$I$80,'Assumptions_&amp;_Inputs'!$I$74,0)</f>
        <v>0</v>
      </c>
      <c r="EU61" s="32">
        <f>IF(EU$7='Assumptions_&amp;_Inputs'!$I$80,'Assumptions_&amp;_Inputs'!$I$74,0)</f>
        <v>0</v>
      </c>
      <c r="EV61" s="32">
        <f>IF(EV$7='Assumptions_&amp;_Inputs'!$I$80,'Assumptions_&amp;_Inputs'!$I$74,0)</f>
        <v>0</v>
      </c>
      <c r="EW61" s="32">
        <f>IF(EW$7='Assumptions_&amp;_Inputs'!$I$80,'Assumptions_&amp;_Inputs'!$I$74,0)</f>
        <v>0</v>
      </c>
      <c r="EX61" s="32">
        <f>IF(EX$7='Assumptions_&amp;_Inputs'!$I$80,'Assumptions_&amp;_Inputs'!$I$74,0)</f>
        <v>0</v>
      </c>
      <c r="EY61" s="32">
        <f>IF(EY$7='Assumptions_&amp;_Inputs'!$I$80,'Assumptions_&amp;_Inputs'!$I$74,0)</f>
        <v>0</v>
      </c>
      <c r="EZ61" s="32">
        <f>IF(EZ$7='Assumptions_&amp;_Inputs'!$I$80,'Assumptions_&amp;_Inputs'!$I$74,0)</f>
        <v>0</v>
      </c>
      <c r="FA61" s="32">
        <f>IF(FA$7='Assumptions_&amp;_Inputs'!$I$80,'Assumptions_&amp;_Inputs'!$I$74,0)</f>
        <v>0</v>
      </c>
      <c r="FB61" s="32">
        <f>IF(FB$7='Assumptions_&amp;_Inputs'!$I$80,'Assumptions_&amp;_Inputs'!$I$74,0)</f>
        <v>0</v>
      </c>
      <c r="FC61" s="32">
        <f>IF(FC$7='Assumptions_&amp;_Inputs'!$I$80,'Assumptions_&amp;_Inputs'!$I$74,0)</f>
        <v>0</v>
      </c>
      <c r="FD61" s="32">
        <f>IF(FD$7='Assumptions_&amp;_Inputs'!$I$80,'Assumptions_&amp;_Inputs'!$I$74,0)</f>
        <v>0</v>
      </c>
      <c r="FE61" s="32">
        <f>IF(FE$7='Assumptions_&amp;_Inputs'!$I$80,'Assumptions_&amp;_Inputs'!$I$74,0)</f>
        <v>0</v>
      </c>
      <c r="FF61" s="32">
        <f>IF(FF$7='Assumptions_&amp;_Inputs'!$I$80,'Assumptions_&amp;_Inputs'!$I$74,0)</f>
        <v>0</v>
      </c>
      <c r="FG61" s="32">
        <f>IF(FG$7='Assumptions_&amp;_Inputs'!$I$80,'Assumptions_&amp;_Inputs'!$I$74,0)</f>
        <v>0</v>
      </c>
      <c r="FH61" s="32">
        <f>IF(FH$7='Assumptions_&amp;_Inputs'!$I$80,'Assumptions_&amp;_Inputs'!$I$74,0)</f>
        <v>0</v>
      </c>
      <c r="FI61" s="32">
        <f>IF(FI$7='Assumptions_&amp;_Inputs'!$I$80,'Assumptions_&amp;_Inputs'!$I$74,0)</f>
        <v>0</v>
      </c>
      <c r="FJ61" s="32">
        <f>IF(FJ$7='Assumptions_&amp;_Inputs'!$I$80,'Assumptions_&amp;_Inputs'!$I$74,0)</f>
        <v>0</v>
      </c>
      <c r="FK61" s="32">
        <f>IF(FK$7='Assumptions_&amp;_Inputs'!$I$80,'Assumptions_&amp;_Inputs'!$I$74,0)</f>
        <v>0</v>
      </c>
      <c r="FL61" s="32">
        <f>IF(FL$7='Assumptions_&amp;_Inputs'!$I$80,'Assumptions_&amp;_Inputs'!$I$74,0)</f>
        <v>0</v>
      </c>
      <c r="FM61" s="32">
        <f>IF(FM$7='Assumptions_&amp;_Inputs'!$I$80,'Assumptions_&amp;_Inputs'!$I$74,0)</f>
        <v>0</v>
      </c>
      <c r="FN61" s="32">
        <f>IF(FN$7='Assumptions_&amp;_Inputs'!$I$80,'Assumptions_&amp;_Inputs'!$I$74,0)</f>
        <v>0</v>
      </c>
      <c r="FO61" s="32">
        <f>IF(FO$7='Assumptions_&amp;_Inputs'!$I$80,'Assumptions_&amp;_Inputs'!$I$74,0)</f>
        <v>0</v>
      </c>
      <c r="FP61" s="32">
        <f>IF(FP$7='Assumptions_&amp;_Inputs'!$I$80,'Assumptions_&amp;_Inputs'!$I$74,0)</f>
        <v>0</v>
      </c>
      <c r="FQ61" s="32">
        <f>IF(FQ$7='Assumptions_&amp;_Inputs'!$I$80,'Assumptions_&amp;_Inputs'!$I$74,0)</f>
        <v>0</v>
      </c>
      <c r="FR61" s="32">
        <f>IF(FR$7='Assumptions_&amp;_Inputs'!$I$80,'Assumptions_&amp;_Inputs'!$I$74,0)</f>
        <v>0</v>
      </c>
      <c r="FS61" s="32">
        <f>IF(FS$7='Assumptions_&amp;_Inputs'!$I$80,'Assumptions_&amp;_Inputs'!$I$74,0)</f>
        <v>0</v>
      </c>
      <c r="FT61" s="32">
        <f>IF(FT$7='Assumptions_&amp;_Inputs'!$I$80,'Assumptions_&amp;_Inputs'!$I$74,0)</f>
        <v>0</v>
      </c>
      <c r="FU61" s="32">
        <f>IF(FU$7='Assumptions_&amp;_Inputs'!$I$80,'Assumptions_&amp;_Inputs'!$I$74,0)</f>
        <v>0</v>
      </c>
      <c r="FV61" s="32">
        <f>IF(FV$7='Assumptions_&amp;_Inputs'!$I$80,'Assumptions_&amp;_Inputs'!$I$74,0)</f>
        <v>0</v>
      </c>
      <c r="FW61" s="32">
        <f>IF(FW$7='Assumptions_&amp;_Inputs'!$I$80,'Assumptions_&amp;_Inputs'!$I$74,0)</f>
        <v>0</v>
      </c>
      <c r="FX61" s="32">
        <f>IF(FX$7='Assumptions_&amp;_Inputs'!$I$80,'Assumptions_&amp;_Inputs'!$I$74,0)</f>
        <v>0</v>
      </c>
      <c r="FY61" s="32">
        <f>IF(FY$7='Assumptions_&amp;_Inputs'!$I$80,'Assumptions_&amp;_Inputs'!$I$74,0)</f>
        <v>0</v>
      </c>
      <c r="FZ61" s="32">
        <f>IF(FZ$7='Assumptions_&amp;_Inputs'!$I$80,'Assumptions_&amp;_Inputs'!$I$74,0)</f>
        <v>0</v>
      </c>
      <c r="GA61" s="32">
        <f>IF(GA$7='Assumptions_&amp;_Inputs'!$I$80,'Assumptions_&amp;_Inputs'!$I$74,0)</f>
        <v>0</v>
      </c>
      <c r="GB61" s="32">
        <f>IF(GB$7='Assumptions_&amp;_Inputs'!$I$80,'Assumptions_&amp;_Inputs'!$I$74,0)</f>
        <v>0</v>
      </c>
      <c r="GC61" s="32">
        <f>IF(GC$7='Assumptions_&amp;_Inputs'!$I$80,'Assumptions_&amp;_Inputs'!$I$74,0)</f>
        <v>0</v>
      </c>
      <c r="GD61" s="32">
        <f>IF(GD$7='Assumptions_&amp;_Inputs'!$I$80,'Assumptions_&amp;_Inputs'!$I$74,0)</f>
        <v>0</v>
      </c>
      <c r="GE61" s="32">
        <f>IF(GE$7='Assumptions_&amp;_Inputs'!$I$80,'Assumptions_&amp;_Inputs'!$I$74,0)</f>
        <v>0</v>
      </c>
      <c r="GF61" s="32">
        <f>IF(GF$7='Assumptions_&amp;_Inputs'!$I$80,'Assumptions_&amp;_Inputs'!$I$74,0)</f>
        <v>0</v>
      </c>
      <c r="GG61" s="32">
        <f>IF(GG$7='Assumptions_&amp;_Inputs'!$I$80,'Assumptions_&amp;_Inputs'!$I$74,0)</f>
        <v>0</v>
      </c>
      <c r="GH61" s="32">
        <f>IF(GH$7='Assumptions_&amp;_Inputs'!$I$80,'Assumptions_&amp;_Inputs'!$I$74,0)</f>
        <v>0</v>
      </c>
      <c r="GI61" s="32">
        <f>IF(GI$7='Assumptions_&amp;_Inputs'!$I$80,'Assumptions_&amp;_Inputs'!$I$74,0)</f>
        <v>0</v>
      </c>
      <c r="GJ61" s="32">
        <f>IF(GJ$7='Assumptions_&amp;_Inputs'!$I$80,'Assumptions_&amp;_Inputs'!$I$74,0)</f>
        <v>0</v>
      </c>
      <c r="GK61" s="32">
        <f>IF(GK$7='Assumptions_&amp;_Inputs'!$I$80,'Assumptions_&amp;_Inputs'!$I$74,0)</f>
        <v>0</v>
      </c>
      <c r="GL61" s="32">
        <f>IF(GL$7='Assumptions_&amp;_Inputs'!$I$80,'Assumptions_&amp;_Inputs'!$I$74,0)</f>
        <v>0</v>
      </c>
      <c r="GM61" s="32">
        <f>IF(GM$7='Assumptions_&amp;_Inputs'!$I$80,'Assumptions_&amp;_Inputs'!$I$74,0)</f>
        <v>0</v>
      </c>
      <c r="GN61" s="32"/>
      <c r="GO61" s="32"/>
      <c r="GP61" s="32"/>
      <c r="GQ61" s="27"/>
      <c r="GR61" s="27"/>
      <c r="GS61" s="27"/>
      <c r="GT61" s="27"/>
      <c r="GU61" s="27"/>
      <c r="GV61" s="27"/>
      <c r="GW61" s="27"/>
      <c r="GX61" s="27"/>
      <c r="GY61" s="27"/>
      <c r="GZ61" s="27"/>
      <c r="HA61" s="27"/>
      <c r="HB61" s="27"/>
      <c r="HC61" s="27"/>
      <c r="HD61" s="27"/>
      <c r="HE61" s="27"/>
      <c r="HF61" s="27"/>
      <c r="HG61" s="27"/>
      <c r="HH61" s="27"/>
      <c r="HI61" s="27"/>
      <c r="HJ61" s="27"/>
      <c r="HK61" s="27"/>
      <c r="HL61" s="27"/>
      <c r="HM61" s="27"/>
      <c r="HN61" s="27"/>
      <c r="HO61" s="27"/>
      <c r="HP61" s="27"/>
      <c r="HQ61" s="27"/>
      <c r="HR61" s="27"/>
      <c r="HS61" s="27"/>
      <c r="HT61" s="27"/>
      <c r="HU61" s="27"/>
      <c r="HV61" s="27"/>
      <c r="HW61" s="27"/>
      <c r="HX61" s="27"/>
      <c r="HY61" s="27"/>
      <c r="HZ61" s="27"/>
      <c r="IA61" s="27"/>
      <c r="IB61" s="27"/>
      <c r="IC61" s="27"/>
      <c r="ID61" s="27"/>
      <c r="IE61" s="27"/>
      <c r="IF61" s="27"/>
      <c r="IG61" s="27"/>
      <c r="IH61" s="27"/>
      <c r="II61" s="27"/>
      <c r="IJ61" s="27"/>
      <c r="IK61" s="27"/>
      <c r="IL61" s="27"/>
      <c r="IM61" s="27"/>
      <c r="IN61" s="27"/>
      <c r="IO61" s="27"/>
      <c r="IP61" s="27"/>
      <c r="IQ61" s="27"/>
      <c r="IR61" s="27"/>
      <c r="IS61" s="27"/>
      <c r="IT61" s="27"/>
      <c r="IU61" s="27"/>
      <c r="IV61" s="27"/>
      <c r="IW61" s="27"/>
      <c r="IX61" s="27"/>
      <c r="IY61" s="27"/>
      <c r="IZ61" s="27"/>
      <c r="JA61" s="27"/>
      <c r="JB61" s="27"/>
      <c r="JC61" s="27"/>
      <c r="JD61" s="27"/>
      <c r="JE61" s="27"/>
      <c r="JF61" s="27"/>
      <c r="JG61" s="27"/>
      <c r="JH61" s="27"/>
      <c r="JI61" s="27"/>
      <c r="JJ61" s="27"/>
      <c r="JK61" s="27"/>
      <c r="JL61" s="27"/>
      <c r="JM61" s="27"/>
      <c r="JN61" s="27"/>
      <c r="JO61" s="27"/>
      <c r="JP61" s="27"/>
      <c r="JQ61" s="27"/>
      <c r="JR61" s="27"/>
      <c r="JS61" s="27"/>
      <c r="JT61" s="27"/>
      <c r="JU61" s="27"/>
      <c r="JV61" s="27"/>
      <c r="JW61" s="27"/>
      <c r="JX61" s="27"/>
      <c r="JY61" s="27"/>
      <c r="JZ61" s="27"/>
      <c r="KA61" s="27"/>
      <c r="KB61" s="27"/>
      <c r="KC61" s="27"/>
      <c r="KD61" s="27"/>
      <c r="KE61" s="27"/>
      <c r="KF61" s="27"/>
      <c r="KG61" s="27"/>
      <c r="KH61" s="27"/>
      <c r="KI61" s="27"/>
      <c r="KJ61" s="27"/>
      <c r="KK61" s="27"/>
      <c r="KL61" s="27"/>
      <c r="KM61" s="27"/>
      <c r="KN61" s="27"/>
      <c r="KO61" s="27"/>
      <c r="KP61" s="27"/>
      <c r="KQ61" s="27"/>
      <c r="KR61" s="27"/>
      <c r="KS61" s="27"/>
      <c r="KT61" s="27"/>
      <c r="KU61" s="27"/>
      <c r="KV61" s="27"/>
      <c r="KW61" s="27"/>
      <c r="KX61" s="27"/>
      <c r="KY61" s="27"/>
      <c r="KZ61" s="27"/>
      <c r="LA61" s="27"/>
      <c r="LB61" s="27"/>
      <c r="LC61" s="27"/>
      <c r="LD61" s="27"/>
      <c r="LE61" s="27"/>
      <c r="LF61" s="27"/>
      <c r="LG61" s="27"/>
      <c r="LH61" s="27"/>
      <c r="LI61" s="27"/>
      <c r="LJ61" s="27"/>
      <c r="LK61" s="27"/>
      <c r="LL61" s="27"/>
      <c r="LM61" s="27"/>
      <c r="LN61" s="27"/>
      <c r="LO61" s="27"/>
      <c r="LP61" s="27"/>
      <c r="LQ61" s="27"/>
      <c r="LR61" s="27"/>
      <c r="LS61" s="27"/>
      <c r="LT61" s="27"/>
      <c r="LU61" s="27"/>
      <c r="LV61" s="27"/>
      <c r="LW61" s="27"/>
      <c r="LX61" s="27"/>
      <c r="LY61" s="27"/>
      <c r="LZ61" s="27"/>
      <c r="MA61" s="27"/>
      <c r="MB61" s="27"/>
      <c r="MC61" s="27"/>
      <c r="MD61" s="27"/>
      <c r="ME61" s="27"/>
      <c r="MF61" s="27"/>
      <c r="MG61" s="27"/>
      <c r="MH61" s="27"/>
      <c r="MI61" s="27"/>
      <c r="MJ61" s="27"/>
      <c r="MK61" s="27"/>
      <c r="ML61" s="27"/>
      <c r="MM61" s="27"/>
      <c r="MN61" s="27"/>
      <c r="MO61" s="27"/>
      <c r="MP61" s="27"/>
      <c r="MQ61" s="27"/>
      <c r="MR61" s="27"/>
      <c r="MS61" s="27"/>
      <c r="MT61" s="27"/>
      <c r="MU61" s="27"/>
      <c r="MV61" s="27"/>
      <c r="MW61" s="27"/>
      <c r="MX61" s="27"/>
      <c r="MY61" s="27"/>
      <c r="MZ61" s="27"/>
      <c r="NA61" s="27"/>
      <c r="NB61" s="27"/>
    </row>
    <row r="62" spans="2:366" ht="16" customHeight="1" x14ac:dyDescent="0.15">
      <c r="B62" s="71" t="s">
        <v>295</v>
      </c>
      <c r="C62" s="312" t="s">
        <v>150</v>
      </c>
      <c r="D62" s="95"/>
      <c r="E62" s="3"/>
      <c r="F62" s="32">
        <f>F$88</f>
        <v>0</v>
      </c>
      <c r="G62" s="32">
        <f t="shared" ref="G62:BR62" si="177">G$88</f>
        <v>0</v>
      </c>
      <c r="H62" s="32">
        <f t="shared" si="177"/>
        <v>0</v>
      </c>
      <c r="I62" s="32">
        <f t="shared" si="177"/>
        <v>0</v>
      </c>
      <c r="J62" s="32">
        <f t="shared" si="177"/>
        <v>0</v>
      </c>
      <c r="K62" s="32">
        <f t="shared" si="177"/>
        <v>0</v>
      </c>
      <c r="L62" s="32">
        <f t="shared" si="177"/>
        <v>0</v>
      </c>
      <c r="M62" s="32">
        <f t="shared" si="177"/>
        <v>0</v>
      </c>
      <c r="N62" s="32">
        <f t="shared" si="177"/>
        <v>0</v>
      </c>
      <c r="O62" s="32">
        <f t="shared" si="177"/>
        <v>0</v>
      </c>
      <c r="P62" s="32">
        <f t="shared" si="177"/>
        <v>0</v>
      </c>
      <c r="Q62" s="32">
        <f t="shared" si="177"/>
        <v>0</v>
      </c>
      <c r="R62" s="32">
        <f t="shared" si="177"/>
        <v>0</v>
      </c>
      <c r="S62" s="32">
        <f t="shared" si="177"/>
        <v>0</v>
      </c>
      <c r="T62" s="32">
        <f t="shared" si="177"/>
        <v>0</v>
      </c>
      <c r="U62" s="32">
        <f t="shared" si="177"/>
        <v>0</v>
      </c>
      <c r="V62" s="32">
        <f t="shared" si="177"/>
        <v>0</v>
      </c>
      <c r="W62" s="32">
        <f t="shared" si="177"/>
        <v>0</v>
      </c>
      <c r="X62" s="32">
        <f t="shared" si="177"/>
        <v>-3988508.0366709237</v>
      </c>
      <c r="Y62" s="32">
        <f t="shared" si="177"/>
        <v>0</v>
      </c>
      <c r="Z62" s="32">
        <f t="shared" si="177"/>
        <v>0</v>
      </c>
      <c r="AA62" s="32">
        <f t="shared" si="177"/>
        <v>0</v>
      </c>
      <c r="AB62" s="32">
        <f t="shared" si="177"/>
        <v>0</v>
      </c>
      <c r="AC62" s="32">
        <f t="shared" si="177"/>
        <v>0</v>
      </c>
      <c r="AD62" s="32">
        <f t="shared" si="177"/>
        <v>0</v>
      </c>
      <c r="AE62" s="32">
        <f t="shared" si="177"/>
        <v>0</v>
      </c>
      <c r="AF62" s="32">
        <f t="shared" si="177"/>
        <v>0</v>
      </c>
      <c r="AG62" s="32">
        <f t="shared" si="177"/>
        <v>0</v>
      </c>
      <c r="AH62" s="32">
        <f t="shared" si="177"/>
        <v>0</v>
      </c>
      <c r="AI62" s="32">
        <f t="shared" si="177"/>
        <v>0</v>
      </c>
      <c r="AJ62" s="32">
        <f t="shared" si="177"/>
        <v>0</v>
      </c>
      <c r="AK62" s="32">
        <f t="shared" si="177"/>
        <v>0</v>
      </c>
      <c r="AL62" s="32">
        <f t="shared" si="177"/>
        <v>0</v>
      </c>
      <c r="AM62" s="32">
        <f t="shared" si="177"/>
        <v>0</v>
      </c>
      <c r="AN62" s="32">
        <f t="shared" si="177"/>
        <v>0</v>
      </c>
      <c r="AO62" s="32">
        <f t="shared" si="177"/>
        <v>0</v>
      </c>
      <c r="AP62" s="32">
        <f t="shared" si="177"/>
        <v>0</v>
      </c>
      <c r="AQ62" s="32">
        <f t="shared" si="177"/>
        <v>0</v>
      </c>
      <c r="AR62" s="32">
        <f t="shared" si="177"/>
        <v>0</v>
      </c>
      <c r="AS62" s="32">
        <f t="shared" si="177"/>
        <v>0</v>
      </c>
      <c r="AT62" s="32">
        <f t="shared" si="177"/>
        <v>0</v>
      </c>
      <c r="AU62" s="32">
        <f t="shared" si="177"/>
        <v>0</v>
      </c>
      <c r="AV62" s="32">
        <f t="shared" si="177"/>
        <v>0</v>
      </c>
      <c r="AW62" s="32">
        <f t="shared" si="177"/>
        <v>0</v>
      </c>
      <c r="AX62" s="32">
        <f t="shared" si="177"/>
        <v>0</v>
      </c>
      <c r="AY62" s="32">
        <f t="shared" si="177"/>
        <v>0</v>
      </c>
      <c r="AZ62" s="32">
        <f t="shared" si="177"/>
        <v>0</v>
      </c>
      <c r="BA62" s="32">
        <f t="shared" si="177"/>
        <v>0</v>
      </c>
      <c r="BB62" s="32">
        <f t="shared" si="177"/>
        <v>0</v>
      </c>
      <c r="BC62" s="32">
        <f t="shared" si="177"/>
        <v>0</v>
      </c>
      <c r="BD62" s="32">
        <f t="shared" si="177"/>
        <v>0</v>
      </c>
      <c r="BE62" s="32">
        <f t="shared" si="177"/>
        <v>0</v>
      </c>
      <c r="BF62" s="32">
        <f t="shared" si="177"/>
        <v>0</v>
      </c>
      <c r="BG62" s="32">
        <f t="shared" si="177"/>
        <v>0</v>
      </c>
      <c r="BH62" s="32">
        <f t="shared" si="177"/>
        <v>0</v>
      </c>
      <c r="BI62" s="32">
        <f t="shared" si="177"/>
        <v>0</v>
      </c>
      <c r="BJ62" s="32">
        <f t="shared" si="177"/>
        <v>0</v>
      </c>
      <c r="BK62" s="32">
        <f t="shared" si="177"/>
        <v>0</v>
      </c>
      <c r="BL62" s="32">
        <f t="shared" si="177"/>
        <v>0</v>
      </c>
      <c r="BM62" s="32">
        <f t="shared" si="177"/>
        <v>0</v>
      </c>
      <c r="BN62" s="32">
        <f t="shared" si="177"/>
        <v>0</v>
      </c>
      <c r="BO62" s="32">
        <f t="shared" si="177"/>
        <v>0</v>
      </c>
      <c r="BP62" s="32">
        <f t="shared" si="177"/>
        <v>0</v>
      </c>
      <c r="BQ62" s="32">
        <f t="shared" si="177"/>
        <v>0</v>
      </c>
      <c r="BR62" s="32">
        <f t="shared" si="177"/>
        <v>0</v>
      </c>
      <c r="BS62" s="32">
        <f t="shared" ref="BS62:ED62" si="178">BS$88</f>
        <v>0</v>
      </c>
      <c r="BT62" s="32">
        <f t="shared" si="178"/>
        <v>0</v>
      </c>
      <c r="BU62" s="32">
        <f t="shared" si="178"/>
        <v>0</v>
      </c>
      <c r="BV62" s="32">
        <f t="shared" si="178"/>
        <v>0</v>
      </c>
      <c r="BW62" s="32">
        <f t="shared" si="178"/>
        <v>0</v>
      </c>
      <c r="BX62" s="32">
        <f t="shared" si="178"/>
        <v>0</v>
      </c>
      <c r="BY62" s="32">
        <f t="shared" si="178"/>
        <v>0</v>
      </c>
      <c r="BZ62" s="32">
        <f t="shared" si="178"/>
        <v>0</v>
      </c>
      <c r="CA62" s="32">
        <f t="shared" si="178"/>
        <v>0</v>
      </c>
      <c r="CB62" s="32">
        <f t="shared" si="178"/>
        <v>0</v>
      </c>
      <c r="CC62" s="32">
        <f t="shared" si="178"/>
        <v>0</v>
      </c>
      <c r="CD62" s="32">
        <f t="shared" si="178"/>
        <v>0</v>
      </c>
      <c r="CE62" s="32">
        <f t="shared" si="178"/>
        <v>0</v>
      </c>
      <c r="CF62" s="32">
        <f t="shared" si="178"/>
        <v>0</v>
      </c>
      <c r="CG62" s="32">
        <f t="shared" si="178"/>
        <v>0</v>
      </c>
      <c r="CH62" s="32">
        <f t="shared" si="178"/>
        <v>0</v>
      </c>
      <c r="CI62" s="32">
        <f t="shared" si="178"/>
        <v>0</v>
      </c>
      <c r="CJ62" s="32">
        <f t="shared" si="178"/>
        <v>0</v>
      </c>
      <c r="CK62" s="32">
        <f t="shared" si="178"/>
        <v>0</v>
      </c>
      <c r="CL62" s="32">
        <f t="shared" si="178"/>
        <v>0</v>
      </c>
      <c r="CM62" s="32">
        <f t="shared" si="178"/>
        <v>0</v>
      </c>
      <c r="CN62" s="32">
        <f t="shared" si="178"/>
        <v>0</v>
      </c>
      <c r="CO62" s="32">
        <f t="shared" si="178"/>
        <v>0</v>
      </c>
      <c r="CP62" s="32">
        <f t="shared" si="178"/>
        <v>0</v>
      </c>
      <c r="CQ62" s="32">
        <f t="shared" si="178"/>
        <v>0</v>
      </c>
      <c r="CR62" s="32">
        <f t="shared" si="178"/>
        <v>0</v>
      </c>
      <c r="CS62" s="32">
        <f t="shared" si="178"/>
        <v>0</v>
      </c>
      <c r="CT62" s="32">
        <f t="shared" si="178"/>
        <v>0</v>
      </c>
      <c r="CU62" s="32">
        <f t="shared" si="178"/>
        <v>0</v>
      </c>
      <c r="CV62" s="32">
        <f t="shared" si="178"/>
        <v>0</v>
      </c>
      <c r="CW62" s="32">
        <f t="shared" si="178"/>
        <v>0</v>
      </c>
      <c r="CX62" s="32">
        <f t="shared" si="178"/>
        <v>0</v>
      </c>
      <c r="CY62" s="32">
        <f t="shared" si="178"/>
        <v>0</v>
      </c>
      <c r="CZ62" s="32">
        <f t="shared" si="178"/>
        <v>0</v>
      </c>
      <c r="DA62" s="32">
        <f t="shared" si="178"/>
        <v>0</v>
      </c>
      <c r="DB62" s="32">
        <f t="shared" si="178"/>
        <v>0</v>
      </c>
      <c r="DC62" s="32">
        <f t="shared" si="178"/>
        <v>0</v>
      </c>
      <c r="DD62" s="32">
        <f t="shared" si="178"/>
        <v>0</v>
      </c>
      <c r="DE62" s="32">
        <f t="shared" si="178"/>
        <v>0</v>
      </c>
      <c r="DF62" s="32">
        <f t="shared" si="178"/>
        <v>0</v>
      </c>
      <c r="DG62" s="32">
        <f t="shared" si="178"/>
        <v>0</v>
      </c>
      <c r="DH62" s="32">
        <f t="shared" si="178"/>
        <v>0</v>
      </c>
      <c r="DI62" s="32">
        <f t="shared" si="178"/>
        <v>0</v>
      </c>
      <c r="DJ62" s="32">
        <f t="shared" si="178"/>
        <v>0</v>
      </c>
      <c r="DK62" s="32">
        <f t="shared" si="178"/>
        <v>0</v>
      </c>
      <c r="DL62" s="32">
        <f t="shared" si="178"/>
        <v>0</v>
      </c>
      <c r="DM62" s="32">
        <f t="shared" si="178"/>
        <v>0</v>
      </c>
      <c r="DN62" s="32">
        <f t="shared" si="178"/>
        <v>0</v>
      </c>
      <c r="DO62" s="32">
        <f t="shared" si="178"/>
        <v>0</v>
      </c>
      <c r="DP62" s="32">
        <f t="shared" si="178"/>
        <v>0</v>
      </c>
      <c r="DQ62" s="32">
        <f t="shared" si="178"/>
        <v>0</v>
      </c>
      <c r="DR62" s="32">
        <f t="shared" si="178"/>
        <v>0</v>
      </c>
      <c r="DS62" s="32">
        <f t="shared" si="178"/>
        <v>0</v>
      </c>
      <c r="DT62" s="32">
        <f t="shared" si="178"/>
        <v>0</v>
      </c>
      <c r="DU62" s="32">
        <f t="shared" si="178"/>
        <v>0</v>
      </c>
      <c r="DV62" s="32">
        <f t="shared" si="178"/>
        <v>0</v>
      </c>
      <c r="DW62" s="32">
        <f t="shared" si="178"/>
        <v>0</v>
      </c>
      <c r="DX62" s="32">
        <f t="shared" si="178"/>
        <v>0</v>
      </c>
      <c r="DY62" s="32">
        <f t="shared" si="178"/>
        <v>0</v>
      </c>
      <c r="DZ62" s="32">
        <f t="shared" si="178"/>
        <v>0</v>
      </c>
      <c r="EA62" s="32">
        <f t="shared" si="178"/>
        <v>0</v>
      </c>
      <c r="EB62" s="32">
        <f t="shared" si="178"/>
        <v>0</v>
      </c>
      <c r="EC62" s="32">
        <f t="shared" si="178"/>
        <v>0</v>
      </c>
      <c r="ED62" s="32">
        <f t="shared" si="178"/>
        <v>0</v>
      </c>
      <c r="EE62" s="32">
        <f t="shared" ref="EE62:GM62" si="179">EE$88</f>
        <v>0</v>
      </c>
      <c r="EF62" s="32">
        <f t="shared" si="179"/>
        <v>0</v>
      </c>
      <c r="EG62" s="32">
        <f t="shared" si="179"/>
        <v>0</v>
      </c>
      <c r="EH62" s="32">
        <f t="shared" si="179"/>
        <v>0</v>
      </c>
      <c r="EI62" s="32">
        <f t="shared" si="179"/>
        <v>0</v>
      </c>
      <c r="EJ62" s="32">
        <f t="shared" si="179"/>
        <v>0</v>
      </c>
      <c r="EK62" s="32">
        <f t="shared" si="179"/>
        <v>0</v>
      </c>
      <c r="EL62" s="32">
        <f t="shared" si="179"/>
        <v>0</v>
      </c>
      <c r="EM62" s="32">
        <f t="shared" si="179"/>
        <v>0</v>
      </c>
      <c r="EN62" s="32">
        <f t="shared" si="179"/>
        <v>0</v>
      </c>
      <c r="EO62" s="32">
        <f t="shared" si="179"/>
        <v>0</v>
      </c>
      <c r="EP62" s="32">
        <f t="shared" si="179"/>
        <v>0</v>
      </c>
      <c r="EQ62" s="32">
        <f t="shared" si="179"/>
        <v>0</v>
      </c>
      <c r="ER62" s="32">
        <f t="shared" si="179"/>
        <v>0</v>
      </c>
      <c r="ES62" s="32">
        <f t="shared" si="179"/>
        <v>0</v>
      </c>
      <c r="ET62" s="32">
        <f t="shared" si="179"/>
        <v>0</v>
      </c>
      <c r="EU62" s="32">
        <f t="shared" si="179"/>
        <v>0</v>
      </c>
      <c r="EV62" s="32">
        <f t="shared" si="179"/>
        <v>0</v>
      </c>
      <c r="EW62" s="32">
        <f t="shared" si="179"/>
        <v>0</v>
      </c>
      <c r="EX62" s="32">
        <f t="shared" si="179"/>
        <v>0</v>
      </c>
      <c r="EY62" s="32">
        <f t="shared" si="179"/>
        <v>0</v>
      </c>
      <c r="EZ62" s="32">
        <f t="shared" si="179"/>
        <v>0</v>
      </c>
      <c r="FA62" s="32">
        <f t="shared" si="179"/>
        <v>0</v>
      </c>
      <c r="FB62" s="32">
        <f t="shared" si="179"/>
        <v>0</v>
      </c>
      <c r="FC62" s="32">
        <f t="shared" si="179"/>
        <v>0</v>
      </c>
      <c r="FD62" s="32">
        <f t="shared" si="179"/>
        <v>0</v>
      </c>
      <c r="FE62" s="32">
        <f t="shared" si="179"/>
        <v>0</v>
      </c>
      <c r="FF62" s="32">
        <f t="shared" si="179"/>
        <v>0</v>
      </c>
      <c r="FG62" s="32">
        <f t="shared" si="179"/>
        <v>0</v>
      </c>
      <c r="FH62" s="32">
        <f t="shared" si="179"/>
        <v>0</v>
      </c>
      <c r="FI62" s="32">
        <f t="shared" si="179"/>
        <v>0</v>
      </c>
      <c r="FJ62" s="32">
        <f t="shared" si="179"/>
        <v>0</v>
      </c>
      <c r="FK62" s="32">
        <f t="shared" si="179"/>
        <v>0</v>
      </c>
      <c r="FL62" s="32">
        <f t="shared" si="179"/>
        <v>0</v>
      </c>
      <c r="FM62" s="32">
        <f t="shared" si="179"/>
        <v>0</v>
      </c>
      <c r="FN62" s="32">
        <f t="shared" si="179"/>
        <v>0</v>
      </c>
      <c r="FO62" s="32">
        <f t="shared" si="179"/>
        <v>0</v>
      </c>
      <c r="FP62" s="32">
        <f t="shared" si="179"/>
        <v>0</v>
      </c>
      <c r="FQ62" s="32">
        <f t="shared" si="179"/>
        <v>0</v>
      </c>
      <c r="FR62" s="32">
        <f t="shared" si="179"/>
        <v>0</v>
      </c>
      <c r="FS62" s="32">
        <f t="shared" si="179"/>
        <v>0</v>
      </c>
      <c r="FT62" s="32">
        <f t="shared" si="179"/>
        <v>0</v>
      </c>
      <c r="FU62" s="32">
        <f t="shared" si="179"/>
        <v>0</v>
      </c>
      <c r="FV62" s="32">
        <f t="shared" si="179"/>
        <v>0</v>
      </c>
      <c r="FW62" s="32">
        <f t="shared" si="179"/>
        <v>0</v>
      </c>
      <c r="FX62" s="32">
        <f t="shared" si="179"/>
        <v>0</v>
      </c>
      <c r="FY62" s="32">
        <f t="shared" si="179"/>
        <v>0</v>
      </c>
      <c r="FZ62" s="32">
        <f t="shared" si="179"/>
        <v>0</v>
      </c>
      <c r="GA62" s="32">
        <f t="shared" si="179"/>
        <v>0</v>
      </c>
      <c r="GB62" s="32">
        <f t="shared" si="179"/>
        <v>0</v>
      </c>
      <c r="GC62" s="32">
        <f t="shared" si="179"/>
        <v>0</v>
      </c>
      <c r="GD62" s="32">
        <f t="shared" si="179"/>
        <v>0</v>
      </c>
      <c r="GE62" s="32">
        <f t="shared" si="179"/>
        <v>0</v>
      </c>
      <c r="GF62" s="32">
        <f t="shared" si="179"/>
        <v>0</v>
      </c>
      <c r="GG62" s="32">
        <f t="shared" si="179"/>
        <v>0</v>
      </c>
      <c r="GH62" s="32">
        <f t="shared" si="179"/>
        <v>0</v>
      </c>
      <c r="GI62" s="32">
        <f t="shared" si="179"/>
        <v>0</v>
      </c>
      <c r="GJ62" s="32">
        <f t="shared" si="179"/>
        <v>0</v>
      </c>
      <c r="GK62" s="32">
        <f t="shared" si="179"/>
        <v>0</v>
      </c>
      <c r="GL62" s="32">
        <f t="shared" si="179"/>
        <v>0</v>
      </c>
      <c r="GM62" s="32">
        <f t="shared" si="179"/>
        <v>0</v>
      </c>
      <c r="GN62" s="32"/>
      <c r="GO62" s="32"/>
      <c r="GP62" s="32"/>
      <c r="GQ62" s="27"/>
      <c r="GR62" s="27"/>
      <c r="GS62" s="27"/>
      <c r="GT62" s="27"/>
      <c r="GU62" s="27"/>
      <c r="GV62" s="27"/>
      <c r="GW62" s="27"/>
      <c r="GX62" s="27"/>
      <c r="GY62" s="27"/>
      <c r="GZ62" s="27"/>
      <c r="HA62" s="27"/>
      <c r="HB62" s="27"/>
      <c r="HC62" s="27"/>
      <c r="HD62" s="27"/>
      <c r="HE62" s="27"/>
      <c r="HF62" s="27"/>
      <c r="HG62" s="27"/>
      <c r="HH62" s="27"/>
      <c r="HI62" s="27"/>
      <c r="HJ62" s="27"/>
      <c r="HK62" s="27"/>
      <c r="HL62" s="27"/>
      <c r="HM62" s="27"/>
      <c r="HN62" s="27"/>
      <c r="HO62" s="27"/>
      <c r="HP62" s="27"/>
      <c r="HQ62" s="27"/>
      <c r="HR62" s="27"/>
      <c r="HS62" s="27"/>
      <c r="HT62" s="27"/>
      <c r="HU62" s="27"/>
      <c r="HV62" s="27"/>
      <c r="HW62" s="27"/>
      <c r="HX62" s="27"/>
      <c r="HY62" s="27"/>
      <c r="HZ62" s="27"/>
      <c r="IA62" s="27"/>
      <c r="IB62" s="27"/>
      <c r="IC62" s="27"/>
      <c r="ID62" s="27"/>
      <c r="IE62" s="27"/>
      <c r="IF62" s="27"/>
      <c r="IG62" s="27"/>
      <c r="IH62" s="27"/>
      <c r="II62" s="27"/>
      <c r="IJ62" s="27"/>
      <c r="IK62" s="27"/>
      <c r="IL62" s="27"/>
      <c r="IM62" s="27"/>
      <c r="IN62" s="27"/>
      <c r="IO62" s="27"/>
      <c r="IP62" s="27"/>
      <c r="IQ62" s="27"/>
      <c r="IR62" s="27"/>
      <c r="IS62" s="27"/>
      <c r="IT62" s="27"/>
      <c r="IU62" s="27"/>
      <c r="IV62" s="27"/>
      <c r="IW62" s="27"/>
      <c r="IX62" s="27"/>
      <c r="IY62" s="27"/>
      <c r="IZ62" s="27"/>
      <c r="JA62" s="27"/>
      <c r="JB62" s="27"/>
      <c r="JC62" s="27"/>
      <c r="JD62" s="27"/>
      <c r="JE62" s="27"/>
      <c r="JF62" s="27"/>
      <c r="JG62" s="27"/>
      <c r="JH62" s="27"/>
      <c r="JI62" s="27"/>
      <c r="JJ62" s="27"/>
      <c r="JK62" s="27"/>
      <c r="JL62" s="27"/>
      <c r="JM62" s="27"/>
      <c r="JN62" s="27"/>
      <c r="JO62" s="27"/>
      <c r="JP62" s="27"/>
      <c r="JQ62" s="27"/>
      <c r="JR62" s="27"/>
      <c r="JS62" s="27"/>
      <c r="JT62" s="27"/>
      <c r="JU62" s="27"/>
      <c r="JV62" s="27"/>
      <c r="JW62" s="27"/>
      <c r="JX62" s="27"/>
      <c r="JY62" s="27"/>
      <c r="JZ62" s="27"/>
      <c r="KA62" s="27"/>
      <c r="KB62" s="27"/>
      <c r="KC62" s="27"/>
      <c r="KD62" s="27"/>
      <c r="KE62" s="27"/>
      <c r="KF62" s="27"/>
      <c r="KG62" s="27"/>
      <c r="KH62" s="27"/>
      <c r="KI62" s="27"/>
      <c r="KJ62" s="27"/>
      <c r="KK62" s="27"/>
      <c r="KL62" s="27"/>
      <c r="KM62" s="27"/>
      <c r="KN62" s="27"/>
      <c r="KO62" s="27"/>
      <c r="KP62" s="27"/>
      <c r="KQ62" s="27"/>
      <c r="KR62" s="27"/>
      <c r="KS62" s="27"/>
      <c r="KT62" s="27"/>
      <c r="KU62" s="27"/>
      <c r="KV62" s="27"/>
      <c r="KW62" s="27"/>
      <c r="KX62" s="27"/>
      <c r="KY62" s="27"/>
      <c r="KZ62" s="27"/>
      <c r="LA62" s="27"/>
      <c r="LB62" s="27"/>
      <c r="LC62" s="27"/>
      <c r="LD62" s="27"/>
      <c r="LE62" s="27"/>
      <c r="LF62" s="27"/>
      <c r="LG62" s="27"/>
      <c r="LH62" s="27"/>
      <c r="LI62" s="27"/>
      <c r="LJ62" s="27"/>
      <c r="LK62" s="27"/>
      <c r="LL62" s="27"/>
      <c r="LM62" s="27"/>
      <c r="LN62" s="27"/>
      <c r="LO62" s="27"/>
      <c r="LP62" s="27"/>
      <c r="LQ62" s="27"/>
      <c r="LR62" s="27"/>
      <c r="LS62" s="27"/>
      <c r="LT62" s="27"/>
      <c r="LU62" s="27"/>
      <c r="LV62" s="27"/>
      <c r="LW62" s="27"/>
      <c r="LX62" s="27"/>
      <c r="LY62" s="27"/>
      <c r="LZ62" s="27"/>
      <c r="MA62" s="27"/>
      <c r="MB62" s="27"/>
      <c r="MC62" s="27"/>
      <c r="MD62" s="27"/>
      <c r="ME62" s="27"/>
      <c r="MF62" s="27"/>
      <c r="MG62" s="27"/>
      <c r="MH62" s="27"/>
      <c r="MI62" s="27"/>
      <c r="MJ62" s="27"/>
      <c r="MK62" s="27"/>
      <c r="ML62" s="27"/>
      <c r="MM62" s="27"/>
      <c r="MN62" s="27"/>
      <c r="MO62" s="27"/>
      <c r="MP62" s="27"/>
      <c r="MQ62" s="27"/>
      <c r="MR62" s="27"/>
      <c r="MS62" s="27"/>
      <c r="MT62" s="27"/>
      <c r="MU62" s="27"/>
      <c r="MV62" s="27"/>
      <c r="MW62" s="27"/>
      <c r="MX62" s="27"/>
      <c r="MY62" s="27"/>
      <c r="MZ62" s="27"/>
      <c r="NA62" s="27"/>
      <c r="NB62" s="27"/>
    </row>
    <row r="63" spans="2:366" ht="16" customHeight="1" x14ac:dyDescent="0.15">
      <c r="B63" s="71" t="s">
        <v>296</v>
      </c>
      <c r="C63" s="312" t="s">
        <v>150</v>
      </c>
      <c r="D63" s="95"/>
      <c r="E63" s="3"/>
      <c r="F63" s="32">
        <f>F$95</f>
        <v>0</v>
      </c>
      <c r="G63" s="32">
        <f t="shared" ref="G63:BR63" si="180">G$95</f>
        <v>0</v>
      </c>
      <c r="H63" s="32">
        <f t="shared" si="180"/>
        <v>0</v>
      </c>
      <c r="I63" s="32">
        <f t="shared" si="180"/>
        <v>0</v>
      </c>
      <c r="J63" s="32">
        <f t="shared" si="180"/>
        <v>0</v>
      </c>
      <c r="K63" s="32">
        <f t="shared" si="180"/>
        <v>0</v>
      </c>
      <c r="L63" s="32">
        <f t="shared" si="180"/>
        <v>0</v>
      </c>
      <c r="M63" s="32">
        <f t="shared" si="180"/>
        <v>0</v>
      </c>
      <c r="N63" s="32">
        <f t="shared" si="180"/>
        <v>0</v>
      </c>
      <c r="O63" s="32">
        <f t="shared" si="180"/>
        <v>0</v>
      </c>
      <c r="P63" s="32">
        <f t="shared" si="180"/>
        <v>0</v>
      </c>
      <c r="Q63" s="32">
        <f t="shared" si="180"/>
        <v>0</v>
      </c>
      <c r="R63" s="32">
        <f t="shared" si="180"/>
        <v>0</v>
      </c>
      <c r="S63" s="32">
        <f t="shared" si="180"/>
        <v>0</v>
      </c>
      <c r="T63" s="32">
        <f t="shared" si="180"/>
        <v>0</v>
      </c>
      <c r="U63" s="32">
        <f t="shared" si="180"/>
        <v>0</v>
      </c>
      <c r="V63" s="32">
        <f t="shared" si="180"/>
        <v>0</v>
      </c>
      <c r="W63" s="32">
        <f t="shared" si="180"/>
        <v>0</v>
      </c>
      <c r="X63" s="32">
        <f t="shared" si="180"/>
        <v>0</v>
      </c>
      <c r="Y63" s="32">
        <f t="shared" si="180"/>
        <v>0</v>
      </c>
      <c r="Z63" s="32">
        <f t="shared" si="180"/>
        <v>0</v>
      </c>
      <c r="AA63" s="32">
        <f t="shared" si="180"/>
        <v>0</v>
      </c>
      <c r="AB63" s="32">
        <f t="shared" si="180"/>
        <v>0</v>
      </c>
      <c r="AC63" s="32">
        <f t="shared" si="180"/>
        <v>0</v>
      </c>
      <c r="AD63" s="32">
        <f t="shared" si="180"/>
        <v>0</v>
      </c>
      <c r="AE63" s="32">
        <f t="shared" si="180"/>
        <v>0</v>
      </c>
      <c r="AF63" s="32">
        <f t="shared" si="180"/>
        <v>0</v>
      </c>
      <c r="AG63" s="32">
        <f t="shared" si="180"/>
        <v>0</v>
      </c>
      <c r="AH63" s="32">
        <f t="shared" si="180"/>
        <v>0</v>
      </c>
      <c r="AI63" s="32">
        <f t="shared" si="180"/>
        <v>0</v>
      </c>
      <c r="AJ63" s="32">
        <f t="shared" si="180"/>
        <v>0</v>
      </c>
      <c r="AK63" s="32">
        <f t="shared" si="180"/>
        <v>0</v>
      </c>
      <c r="AL63" s="32">
        <f t="shared" si="180"/>
        <v>0</v>
      </c>
      <c r="AM63" s="32">
        <f t="shared" si="180"/>
        <v>0</v>
      </c>
      <c r="AN63" s="32">
        <f t="shared" si="180"/>
        <v>0</v>
      </c>
      <c r="AO63" s="32">
        <f t="shared" si="180"/>
        <v>0</v>
      </c>
      <c r="AP63" s="32">
        <f t="shared" si="180"/>
        <v>0</v>
      </c>
      <c r="AQ63" s="32">
        <f t="shared" si="180"/>
        <v>0</v>
      </c>
      <c r="AR63" s="32">
        <f t="shared" si="180"/>
        <v>0</v>
      </c>
      <c r="AS63" s="32">
        <f t="shared" si="180"/>
        <v>0</v>
      </c>
      <c r="AT63" s="32">
        <f t="shared" si="180"/>
        <v>0</v>
      </c>
      <c r="AU63" s="32">
        <f t="shared" si="180"/>
        <v>0</v>
      </c>
      <c r="AV63" s="32">
        <f t="shared" si="180"/>
        <v>0</v>
      </c>
      <c r="AW63" s="32">
        <f t="shared" si="180"/>
        <v>0</v>
      </c>
      <c r="AX63" s="32">
        <f t="shared" si="180"/>
        <v>0</v>
      </c>
      <c r="AY63" s="32">
        <f t="shared" si="180"/>
        <v>0</v>
      </c>
      <c r="AZ63" s="32">
        <f t="shared" si="180"/>
        <v>0</v>
      </c>
      <c r="BA63" s="32">
        <f t="shared" si="180"/>
        <v>0</v>
      </c>
      <c r="BB63" s="32">
        <f t="shared" si="180"/>
        <v>0</v>
      </c>
      <c r="BC63" s="32">
        <f t="shared" si="180"/>
        <v>0</v>
      </c>
      <c r="BD63" s="32">
        <f t="shared" si="180"/>
        <v>0</v>
      </c>
      <c r="BE63" s="32">
        <f t="shared" si="180"/>
        <v>0</v>
      </c>
      <c r="BF63" s="32">
        <f t="shared" si="180"/>
        <v>0</v>
      </c>
      <c r="BG63" s="32">
        <f t="shared" si="180"/>
        <v>0</v>
      </c>
      <c r="BH63" s="32">
        <f t="shared" si="180"/>
        <v>0</v>
      </c>
      <c r="BI63" s="32">
        <f t="shared" si="180"/>
        <v>0</v>
      </c>
      <c r="BJ63" s="32">
        <f t="shared" si="180"/>
        <v>0</v>
      </c>
      <c r="BK63" s="32">
        <f t="shared" si="180"/>
        <v>0</v>
      </c>
      <c r="BL63" s="32">
        <f t="shared" si="180"/>
        <v>0</v>
      </c>
      <c r="BM63" s="32">
        <f t="shared" si="180"/>
        <v>0</v>
      </c>
      <c r="BN63" s="32">
        <f t="shared" si="180"/>
        <v>0</v>
      </c>
      <c r="BO63" s="32">
        <f t="shared" si="180"/>
        <v>0</v>
      </c>
      <c r="BP63" s="32">
        <f t="shared" si="180"/>
        <v>0</v>
      </c>
      <c r="BQ63" s="32">
        <f t="shared" si="180"/>
        <v>0</v>
      </c>
      <c r="BR63" s="32">
        <f t="shared" si="180"/>
        <v>0</v>
      </c>
      <c r="BS63" s="32">
        <f t="shared" ref="BS63:ED63" si="181">BS$95</f>
        <v>0</v>
      </c>
      <c r="BT63" s="32">
        <f t="shared" si="181"/>
        <v>0</v>
      </c>
      <c r="BU63" s="32">
        <f t="shared" si="181"/>
        <v>0</v>
      </c>
      <c r="BV63" s="32">
        <f t="shared" si="181"/>
        <v>0</v>
      </c>
      <c r="BW63" s="32">
        <f t="shared" si="181"/>
        <v>0</v>
      </c>
      <c r="BX63" s="32">
        <f t="shared" si="181"/>
        <v>0</v>
      </c>
      <c r="BY63" s="32">
        <f t="shared" si="181"/>
        <v>0</v>
      </c>
      <c r="BZ63" s="32">
        <f t="shared" si="181"/>
        <v>0</v>
      </c>
      <c r="CA63" s="32">
        <f t="shared" si="181"/>
        <v>0</v>
      </c>
      <c r="CB63" s="32">
        <f t="shared" si="181"/>
        <v>0</v>
      </c>
      <c r="CC63" s="32">
        <f t="shared" si="181"/>
        <v>0</v>
      </c>
      <c r="CD63" s="32">
        <f t="shared" si="181"/>
        <v>0</v>
      </c>
      <c r="CE63" s="32">
        <f t="shared" si="181"/>
        <v>0</v>
      </c>
      <c r="CF63" s="32">
        <f t="shared" si="181"/>
        <v>0</v>
      </c>
      <c r="CG63" s="32">
        <f t="shared" si="181"/>
        <v>0</v>
      </c>
      <c r="CH63" s="32">
        <f t="shared" si="181"/>
        <v>0</v>
      </c>
      <c r="CI63" s="32">
        <f t="shared" si="181"/>
        <v>0</v>
      </c>
      <c r="CJ63" s="32">
        <f t="shared" si="181"/>
        <v>0</v>
      </c>
      <c r="CK63" s="32">
        <f t="shared" si="181"/>
        <v>0</v>
      </c>
      <c r="CL63" s="32">
        <f t="shared" si="181"/>
        <v>0</v>
      </c>
      <c r="CM63" s="32">
        <f t="shared" si="181"/>
        <v>0</v>
      </c>
      <c r="CN63" s="32">
        <f t="shared" si="181"/>
        <v>0</v>
      </c>
      <c r="CO63" s="32">
        <f t="shared" si="181"/>
        <v>0</v>
      </c>
      <c r="CP63" s="32">
        <f t="shared" si="181"/>
        <v>0</v>
      </c>
      <c r="CQ63" s="32">
        <f t="shared" si="181"/>
        <v>0</v>
      </c>
      <c r="CR63" s="32">
        <f t="shared" si="181"/>
        <v>0</v>
      </c>
      <c r="CS63" s="32">
        <f t="shared" si="181"/>
        <v>0</v>
      </c>
      <c r="CT63" s="32">
        <f t="shared" si="181"/>
        <v>0</v>
      </c>
      <c r="CU63" s="32">
        <f t="shared" si="181"/>
        <v>0</v>
      </c>
      <c r="CV63" s="32">
        <f t="shared" si="181"/>
        <v>0</v>
      </c>
      <c r="CW63" s="32">
        <f t="shared" si="181"/>
        <v>0</v>
      </c>
      <c r="CX63" s="32">
        <f t="shared" si="181"/>
        <v>0</v>
      </c>
      <c r="CY63" s="32">
        <f t="shared" si="181"/>
        <v>0</v>
      </c>
      <c r="CZ63" s="32">
        <f t="shared" si="181"/>
        <v>0</v>
      </c>
      <c r="DA63" s="32">
        <f t="shared" si="181"/>
        <v>0</v>
      </c>
      <c r="DB63" s="32">
        <f t="shared" si="181"/>
        <v>0</v>
      </c>
      <c r="DC63" s="32">
        <f t="shared" si="181"/>
        <v>0</v>
      </c>
      <c r="DD63" s="32">
        <f t="shared" si="181"/>
        <v>0</v>
      </c>
      <c r="DE63" s="32">
        <f t="shared" si="181"/>
        <v>0</v>
      </c>
      <c r="DF63" s="32">
        <f t="shared" si="181"/>
        <v>0</v>
      </c>
      <c r="DG63" s="32">
        <f t="shared" si="181"/>
        <v>0</v>
      </c>
      <c r="DH63" s="32">
        <f t="shared" si="181"/>
        <v>0</v>
      </c>
      <c r="DI63" s="32">
        <f t="shared" si="181"/>
        <v>0</v>
      </c>
      <c r="DJ63" s="32">
        <f t="shared" si="181"/>
        <v>0</v>
      </c>
      <c r="DK63" s="32">
        <f t="shared" si="181"/>
        <v>0</v>
      </c>
      <c r="DL63" s="32">
        <f t="shared" si="181"/>
        <v>0</v>
      </c>
      <c r="DM63" s="32">
        <f t="shared" si="181"/>
        <v>0</v>
      </c>
      <c r="DN63" s="32">
        <f t="shared" si="181"/>
        <v>0</v>
      </c>
      <c r="DO63" s="32">
        <f t="shared" si="181"/>
        <v>0</v>
      </c>
      <c r="DP63" s="32">
        <f t="shared" si="181"/>
        <v>0</v>
      </c>
      <c r="DQ63" s="32">
        <f t="shared" si="181"/>
        <v>0</v>
      </c>
      <c r="DR63" s="32">
        <f t="shared" si="181"/>
        <v>0</v>
      </c>
      <c r="DS63" s="32">
        <f t="shared" si="181"/>
        <v>0</v>
      </c>
      <c r="DT63" s="32">
        <f t="shared" si="181"/>
        <v>0</v>
      </c>
      <c r="DU63" s="32">
        <f t="shared" si="181"/>
        <v>0</v>
      </c>
      <c r="DV63" s="32">
        <f t="shared" si="181"/>
        <v>-3667560.8443730986</v>
      </c>
      <c r="DW63" s="32">
        <f t="shared" si="181"/>
        <v>0</v>
      </c>
      <c r="DX63" s="32">
        <f t="shared" si="181"/>
        <v>0</v>
      </c>
      <c r="DY63" s="32">
        <f t="shared" si="181"/>
        <v>0</v>
      </c>
      <c r="DZ63" s="32">
        <f t="shared" si="181"/>
        <v>0</v>
      </c>
      <c r="EA63" s="32">
        <f t="shared" si="181"/>
        <v>0</v>
      </c>
      <c r="EB63" s="32">
        <f t="shared" si="181"/>
        <v>0</v>
      </c>
      <c r="EC63" s="32">
        <f t="shared" si="181"/>
        <v>0</v>
      </c>
      <c r="ED63" s="32">
        <f t="shared" si="181"/>
        <v>0</v>
      </c>
      <c r="EE63" s="32">
        <f t="shared" ref="EE63:GM63" si="182">EE$95</f>
        <v>0</v>
      </c>
      <c r="EF63" s="32">
        <f t="shared" si="182"/>
        <v>0</v>
      </c>
      <c r="EG63" s="32">
        <f t="shared" si="182"/>
        <v>0</v>
      </c>
      <c r="EH63" s="32">
        <f t="shared" si="182"/>
        <v>0</v>
      </c>
      <c r="EI63" s="32">
        <f t="shared" si="182"/>
        <v>0</v>
      </c>
      <c r="EJ63" s="32">
        <f t="shared" si="182"/>
        <v>0</v>
      </c>
      <c r="EK63" s="32">
        <f t="shared" si="182"/>
        <v>0</v>
      </c>
      <c r="EL63" s="32">
        <f t="shared" si="182"/>
        <v>0</v>
      </c>
      <c r="EM63" s="32">
        <f t="shared" si="182"/>
        <v>0</v>
      </c>
      <c r="EN63" s="32">
        <f t="shared" si="182"/>
        <v>0</v>
      </c>
      <c r="EO63" s="32">
        <f t="shared" si="182"/>
        <v>0</v>
      </c>
      <c r="EP63" s="32">
        <f t="shared" si="182"/>
        <v>0</v>
      </c>
      <c r="EQ63" s="32">
        <f t="shared" si="182"/>
        <v>0</v>
      </c>
      <c r="ER63" s="32">
        <f t="shared" si="182"/>
        <v>0</v>
      </c>
      <c r="ES63" s="32">
        <f t="shared" si="182"/>
        <v>0</v>
      </c>
      <c r="ET63" s="32">
        <f t="shared" si="182"/>
        <v>0</v>
      </c>
      <c r="EU63" s="32">
        <f t="shared" si="182"/>
        <v>0</v>
      </c>
      <c r="EV63" s="32">
        <f t="shared" si="182"/>
        <v>0</v>
      </c>
      <c r="EW63" s="32">
        <f t="shared" si="182"/>
        <v>0</v>
      </c>
      <c r="EX63" s="32">
        <f t="shared" si="182"/>
        <v>0</v>
      </c>
      <c r="EY63" s="32">
        <f t="shared" si="182"/>
        <v>0</v>
      </c>
      <c r="EZ63" s="32">
        <f t="shared" si="182"/>
        <v>0</v>
      </c>
      <c r="FA63" s="32">
        <f t="shared" si="182"/>
        <v>0</v>
      </c>
      <c r="FB63" s="32">
        <f t="shared" si="182"/>
        <v>0</v>
      </c>
      <c r="FC63" s="32">
        <f t="shared" si="182"/>
        <v>0</v>
      </c>
      <c r="FD63" s="32">
        <f t="shared" si="182"/>
        <v>0</v>
      </c>
      <c r="FE63" s="32">
        <f t="shared" si="182"/>
        <v>0</v>
      </c>
      <c r="FF63" s="32">
        <f t="shared" si="182"/>
        <v>0</v>
      </c>
      <c r="FG63" s="32">
        <f t="shared" si="182"/>
        <v>0</v>
      </c>
      <c r="FH63" s="32">
        <f t="shared" si="182"/>
        <v>0</v>
      </c>
      <c r="FI63" s="32">
        <f t="shared" si="182"/>
        <v>0</v>
      </c>
      <c r="FJ63" s="32">
        <f t="shared" si="182"/>
        <v>0</v>
      </c>
      <c r="FK63" s="32">
        <f t="shared" si="182"/>
        <v>0</v>
      </c>
      <c r="FL63" s="32">
        <f t="shared" si="182"/>
        <v>0</v>
      </c>
      <c r="FM63" s="32">
        <f t="shared" si="182"/>
        <v>0</v>
      </c>
      <c r="FN63" s="32">
        <f t="shared" si="182"/>
        <v>0</v>
      </c>
      <c r="FO63" s="32">
        <f t="shared" si="182"/>
        <v>0</v>
      </c>
      <c r="FP63" s="32">
        <f t="shared" si="182"/>
        <v>0</v>
      </c>
      <c r="FQ63" s="32">
        <f t="shared" si="182"/>
        <v>0</v>
      </c>
      <c r="FR63" s="32">
        <f t="shared" si="182"/>
        <v>0</v>
      </c>
      <c r="FS63" s="32">
        <f t="shared" si="182"/>
        <v>0</v>
      </c>
      <c r="FT63" s="32">
        <f t="shared" si="182"/>
        <v>0</v>
      </c>
      <c r="FU63" s="32">
        <f t="shared" si="182"/>
        <v>0</v>
      </c>
      <c r="FV63" s="32">
        <f t="shared" si="182"/>
        <v>0</v>
      </c>
      <c r="FW63" s="32">
        <f t="shared" si="182"/>
        <v>0</v>
      </c>
      <c r="FX63" s="32">
        <f t="shared" si="182"/>
        <v>0</v>
      </c>
      <c r="FY63" s="32">
        <f t="shared" si="182"/>
        <v>0</v>
      </c>
      <c r="FZ63" s="32">
        <f t="shared" si="182"/>
        <v>0</v>
      </c>
      <c r="GA63" s="32">
        <f t="shared" si="182"/>
        <v>0</v>
      </c>
      <c r="GB63" s="32">
        <f t="shared" si="182"/>
        <v>0</v>
      </c>
      <c r="GC63" s="32">
        <f t="shared" si="182"/>
        <v>0</v>
      </c>
      <c r="GD63" s="32">
        <f t="shared" si="182"/>
        <v>0</v>
      </c>
      <c r="GE63" s="32">
        <f t="shared" si="182"/>
        <v>0</v>
      </c>
      <c r="GF63" s="32">
        <f t="shared" si="182"/>
        <v>0</v>
      </c>
      <c r="GG63" s="32">
        <f t="shared" si="182"/>
        <v>0</v>
      </c>
      <c r="GH63" s="32">
        <f t="shared" si="182"/>
        <v>0</v>
      </c>
      <c r="GI63" s="32">
        <f t="shared" si="182"/>
        <v>0</v>
      </c>
      <c r="GJ63" s="32">
        <f t="shared" si="182"/>
        <v>0</v>
      </c>
      <c r="GK63" s="32">
        <f t="shared" si="182"/>
        <v>0</v>
      </c>
      <c r="GL63" s="32">
        <f t="shared" si="182"/>
        <v>0</v>
      </c>
      <c r="GM63" s="32">
        <f t="shared" si="182"/>
        <v>0</v>
      </c>
      <c r="GN63" s="32"/>
      <c r="GO63" s="32"/>
      <c r="GP63" s="32"/>
      <c r="GQ63" s="27"/>
      <c r="GR63" s="27"/>
      <c r="GS63" s="27"/>
      <c r="GT63" s="27"/>
      <c r="GU63" s="27"/>
      <c r="GV63" s="27"/>
      <c r="GW63" s="27"/>
      <c r="GX63" s="27"/>
      <c r="GY63" s="27"/>
      <c r="GZ63" s="27"/>
      <c r="HA63" s="27"/>
      <c r="HB63" s="27"/>
      <c r="HC63" s="27"/>
      <c r="HD63" s="27"/>
      <c r="HE63" s="27"/>
      <c r="HF63" s="27"/>
      <c r="HG63" s="27"/>
      <c r="HH63" s="27"/>
      <c r="HI63" s="27"/>
      <c r="HJ63" s="27"/>
      <c r="HK63" s="27"/>
      <c r="HL63" s="27"/>
      <c r="HM63" s="27"/>
      <c r="HN63" s="27"/>
      <c r="HO63" s="27"/>
      <c r="HP63" s="27"/>
      <c r="HQ63" s="27"/>
      <c r="HR63" s="27"/>
      <c r="HS63" s="27"/>
      <c r="HT63" s="27"/>
      <c r="HU63" s="27"/>
      <c r="HV63" s="27"/>
      <c r="HW63" s="27"/>
      <c r="HX63" s="27"/>
      <c r="HY63" s="27"/>
      <c r="HZ63" s="27"/>
      <c r="IA63" s="27"/>
      <c r="IB63" s="27"/>
      <c r="IC63" s="27"/>
      <c r="ID63" s="27"/>
      <c r="IE63" s="27"/>
      <c r="IF63" s="27"/>
      <c r="IG63" s="27"/>
      <c r="IH63" s="27"/>
      <c r="II63" s="27"/>
      <c r="IJ63" s="27"/>
      <c r="IK63" s="27"/>
      <c r="IL63" s="27"/>
      <c r="IM63" s="27"/>
      <c r="IN63" s="27"/>
      <c r="IO63" s="27"/>
      <c r="IP63" s="27"/>
      <c r="IQ63" s="27"/>
      <c r="IR63" s="27"/>
      <c r="IS63" s="27"/>
      <c r="IT63" s="27"/>
      <c r="IU63" s="27"/>
      <c r="IV63" s="27"/>
      <c r="IW63" s="27"/>
      <c r="IX63" s="27"/>
      <c r="IY63" s="27"/>
      <c r="IZ63" s="27"/>
      <c r="JA63" s="27"/>
      <c r="JB63" s="27"/>
      <c r="JC63" s="27"/>
      <c r="JD63" s="27"/>
      <c r="JE63" s="27"/>
      <c r="JF63" s="27"/>
      <c r="JG63" s="27"/>
      <c r="JH63" s="27"/>
      <c r="JI63" s="27"/>
      <c r="JJ63" s="27"/>
      <c r="JK63" s="27"/>
      <c r="JL63" s="27"/>
      <c r="JM63" s="27"/>
      <c r="JN63" s="27"/>
      <c r="JO63" s="27"/>
      <c r="JP63" s="27"/>
      <c r="JQ63" s="27"/>
      <c r="JR63" s="27"/>
      <c r="JS63" s="27"/>
      <c r="JT63" s="27"/>
      <c r="JU63" s="27"/>
      <c r="JV63" s="27"/>
      <c r="JW63" s="27"/>
      <c r="JX63" s="27"/>
      <c r="JY63" s="27"/>
      <c r="JZ63" s="27"/>
      <c r="KA63" s="27"/>
      <c r="KB63" s="27"/>
      <c r="KC63" s="27"/>
      <c r="KD63" s="27"/>
      <c r="KE63" s="27"/>
      <c r="KF63" s="27"/>
      <c r="KG63" s="27"/>
      <c r="KH63" s="27"/>
      <c r="KI63" s="27"/>
      <c r="KJ63" s="27"/>
      <c r="KK63" s="27"/>
      <c r="KL63" s="27"/>
      <c r="KM63" s="27"/>
      <c r="KN63" s="27"/>
      <c r="KO63" s="27"/>
      <c r="KP63" s="27"/>
      <c r="KQ63" s="27"/>
      <c r="KR63" s="27"/>
      <c r="KS63" s="27"/>
      <c r="KT63" s="27"/>
      <c r="KU63" s="27"/>
      <c r="KV63" s="27"/>
      <c r="KW63" s="27"/>
      <c r="KX63" s="27"/>
      <c r="KY63" s="27"/>
      <c r="KZ63" s="27"/>
      <c r="LA63" s="27"/>
      <c r="LB63" s="27"/>
      <c r="LC63" s="27"/>
      <c r="LD63" s="27"/>
      <c r="LE63" s="27"/>
      <c r="LF63" s="27"/>
      <c r="LG63" s="27"/>
      <c r="LH63" s="27"/>
      <c r="LI63" s="27"/>
      <c r="LJ63" s="27"/>
      <c r="LK63" s="27"/>
      <c r="LL63" s="27"/>
      <c r="LM63" s="27"/>
      <c r="LN63" s="27"/>
      <c r="LO63" s="27"/>
      <c r="LP63" s="27"/>
      <c r="LQ63" s="27"/>
      <c r="LR63" s="27"/>
      <c r="LS63" s="27"/>
      <c r="LT63" s="27"/>
      <c r="LU63" s="27"/>
      <c r="LV63" s="27"/>
      <c r="LW63" s="27"/>
      <c r="LX63" s="27"/>
      <c r="LY63" s="27"/>
      <c r="LZ63" s="27"/>
      <c r="MA63" s="27"/>
      <c r="MB63" s="27"/>
      <c r="MC63" s="27"/>
      <c r="MD63" s="27"/>
      <c r="ME63" s="27"/>
      <c r="MF63" s="27"/>
      <c r="MG63" s="27"/>
      <c r="MH63" s="27"/>
      <c r="MI63" s="27"/>
      <c r="MJ63" s="27"/>
      <c r="MK63" s="27"/>
      <c r="ML63" s="27"/>
      <c r="MM63" s="27"/>
      <c r="MN63" s="27"/>
      <c r="MO63" s="27"/>
      <c r="MP63" s="27"/>
      <c r="MQ63" s="27"/>
      <c r="MR63" s="27"/>
      <c r="MS63" s="27"/>
      <c r="MT63" s="27"/>
      <c r="MU63" s="27"/>
      <c r="MV63" s="27"/>
      <c r="MW63" s="27"/>
      <c r="MX63" s="27"/>
      <c r="MY63" s="27"/>
      <c r="MZ63" s="27"/>
      <c r="NA63" s="27"/>
      <c r="NB63" s="27"/>
    </row>
    <row r="64" spans="2:366" ht="16" customHeight="1" x14ac:dyDescent="0.15">
      <c r="B64" s="71" t="s">
        <v>293</v>
      </c>
      <c r="C64" s="312" t="s">
        <v>150</v>
      </c>
      <c r="D64" s="95"/>
      <c r="E64" s="3"/>
      <c r="F64" s="32">
        <f>-IF(F$7=0,'Assumptions_&amp;_Inputs'!$I$95,0)-IF(F$7='Assumptions_&amp;_Inputs'!$I$80,'Assumptions_&amp;_Inputs'!$I$74*'Assumptions_&amp;_Inputs'!$I$85,0)</f>
        <v>-40143.501006036218</v>
      </c>
      <c r="G64" s="32">
        <f>-IF(G$7=0,'Assumptions_&amp;_Inputs'!$I$95,0)-IF(G$7='Assumptions_&amp;_Inputs'!$I$80,'Assumptions_&amp;_Inputs'!$I$74*'Assumptions_&amp;_Inputs'!$I$85,0)</f>
        <v>0</v>
      </c>
      <c r="H64" s="32">
        <f>-IF(H$7=0,'Assumptions_&amp;_Inputs'!$I$95,0)-IF(H$7='Assumptions_&amp;_Inputs'!$I$80,'Assumptions_&amp;_Inputs'!$I$74*'Assumptions_&amp;_Inputs'!$I$85,0)</f>
        <v>0</v>
      </c>
      <c r="I64" s="32">
        <f>-IF(I$7=0,'Assumptions_&amp;_Inputs'!$I$95,0)-IF(I$7='Assumptions_&amp;_Inputs'!$I$80,'Assumptions_&amp;_Inputs'!$I$74*'Assumptions_&amp;_Inputs'!$I$85,0)</f>
        <v>0</v>
      </c>
      <c r="J64" s="32">
        <f>-IF(J$7=0,'Assumptions_&amp;_Inputs'!$I$95,0)-IF(J$7='Assumptions_&amp;_Inputs'!$I$80,'Assumptions_&amp;_Inputs'!$I$74*'Assumptions_&amp;_Inputs'!$I$85,0)</f>
        <v>0</v>
      </c>
      <c r="K64" s="32">
        <f>-IF(K$7=0,'Assumptions_&amp;_Inputs'!$I$95,0)-IF(K$7='Assumptions_&amp;_Inputs'!$I$80,'Assumptions_&amp;_Inputs'!$I$74*'Assumptions_&amp;_Inputs'!$I$85,0)</f>
        <v>0</v>
      </c>
      <c r="L64" s="32">
        <f>-IF(L$7=0,'Assumptions_&amp;_Inputs'!$I$95,0)-IF(L$7='Assumptions_&amp;_Inputs'!$I$80,'Assumptions_&amp;_Inputs'!$I$74*'Assumptions_&amp;_Inputs'!$I$85,0)</f>
        <v>0</v>
      </c>
      <c r="M64" s="32">
        <f>-IF(M$7=0,'Assumptions_&amp;_Inputs'!$I$95,0)-IF(M$7='Assumptions_&amp;_Inputs'!$I$80,'Assumptions_&amp;_Inputs'!$I$74*'Assumptions_&amp;_Inputs'!$I$85,0)</f>
        <v>0</v>
      </c>
      <c r="N64" s="32">
        <f>-IF(N$7=0,'Assumptions_&amp;_Inputs'!$I$95,0)-IF(N$7='Assumptions_&amp;_Inputs'!$I$80,'Assumptions_&amp;_Inputs'!$I$74*'Assumptions_&amp;_Inputs'!$I$85,0)</f>
        <v>0</v>
      </c>
      <c r="O64" s="32">
        <f>-IF(O$7=0,'Assumptions_&amp;_Inputs'!$I$95,0)-IF(O$7='Assumptions_&amp;_Inputs'!$I$80,'Assumptions_&amp;_Inputs'!$I$74*'Assumptions_&amp;_Inputs'!$I$85,0)</f>
        <v>0</v>
      </c>
      <c r="P64" s="32">
        <f>-IF(P$7=0,'Assumptions_&amp;_Inputs'!$I$95,0)-IF(P$7='Assumptions_&amp;_Inputs'!$I$80,'Assumptions_&amp;_Inputs'!$I$74*'Assumptions_&amp;_Inputs'!$I$85,0)</f>
        <v>0</v>
      </c>
      <c r="Q64" s="32">
        <f>-IF(Q$7=0,'Assumptions_&amp;_Inputs'!$I$95,0)-IF(Q$7='Assumptions_&amp;_Inputs'!$I$80,'Assumptions_&amp;_Inputs'!$I$74*'Assumptions_&amp;_Inputs'!$I$85,0)</f>
        <v>0</v>
      </c>
      <c r="R64" s="32">
        <f>-IF(R$7=0,'Assumptions_&amp;_Inputs'!$I$95,0)-IF(R$7='Assumptions_&amp;_Inputs'!$I$80,'Assumptions_&amp;_Inputs'!$I$74*'Assumptions_&amp;_Inputs'!$I$85,0)</f>
        <v>0</v>
      </c>
      <c r="S64" s="32">
        <f>-IF(S$7=0,'Assumptions_&amp;_Inputs'!$I$95,0)-IF(S$7='Assumptions_&amp;_Inputs'!$I$80,'Assumptions_&amp;_Inputs'!$I$74*'Assumptions_&amp;_Inputs'!$I$85,0)</f>
        <v>0</v>
      </c>
      <c r="T64" s="32">
        <f>-IF(T$7=0,'Assumptions_&amp;_Inputs'!$I$95,0)-IF(T$7='Assumptions_&amp;_Inputs'!$I$80,'Assumptions_&amp;_Inputs'!$I$74*'Assumptions_&amp;_Inputs'!$I$85,0)</f>
        <v>0</v>
      </c>
      <c r="U64" s="32">
        <f>-IF(U$7=0,'Assumptions_&amp;_Inputs'!$I$95,0)-IF(U$7='Assumptions_&amp;_Inputs'!$I$80,'Assumptions_&amp;_Inputs'!$I$74*'Assumptions_&amp;_Inputs'!$I$85,0)</f>
        <v>0</v>
      </c>
      <c r="V64" s="32">
        <f>-IF(V$7=0,'Assumptions_&amp;_Inputs'!$I$95,0)-IF(V$7='Assumptions_&amp;_Inputs'!$I$80,'Assumptions_&amp;_Inputs'!$I$74*'Assumptions_&amp;_Inputs'!$I$85,0)</f>
        <v>0</v>
      </c>
      <c r="W64" s="32">
        <f>-IF(W$7=0,'Assumptions_&amp;_Inputs'!$I$95,0)-IF(W$7='Assumptions_&amp;_Inputs'!$I$80,'Assumptions_&amp;_Inputs'!$I$74*'Assumptions_&amp;_Inputs'!$I$85,0)</f>
        <v>0</v>
      </c>
      <c r="X64" s="32">
        <f>-IF(X$7=0,'Assumptions_&amp;_Inputs'!$I$95,0)-IF(X$7='Assumptions_&amp;_Inputs'!$I$80,'Assumptions_&amp;_Inputs'!$I$74*'Assumptions_&amp;_Inputs'!$I$85,0)</f>
        <v>-41385.443982917343</v>
      </c>
      <c r="Y64" s="32">
        <f>-IF(Y$7=0,'Assumptions_&amp;_Inputs'!$I$95,0)-IF(Y$7='Assumptions_&amp;_Inputs'!$I$80,'Assumptions_&amp;_Inputs'!$I$74*'Assumptions_&amp;_Inputs'!$I$85,0)</f>
        <v>0</v>
      </c>
      <c r="Z64" s="32">
        <f>-IF(Z$7=0,'Assumptions_&amp;_Inputs'!$I$95,0)-IF(Z$7='Assumptions_&amp;_Inputs'!$I$80,'Assumptions_&amp;_Inputs'!$I$74*'Assumptions_&amp;_Inputs'!$I$85,0)</f>
        <v>0</v>
      </c>
      <c r="AA64" s="32">
        <f>-IF(AA$7=0,'Assumptions_&amp;_Inputs'!$I$95,0)-IF(AA$7='Assumptions_&amp;_Inputs'!$I$80,'Assumptions_&amp;_Inputs'!$I$74*'Assumptions_&amp;_Inputs'!$I$85,0)</f>
        <v>0</v>
      </c>
      <c r="AB64" s="32">
        <f>-IF(AB$7=0,'Assumptions_&amp;_Inputs'!$I$95,0)-IF(AB$7='Assumptions_&amp;_Inputs'!$I$80,'Assumptions_&amp;_Inputs'!$I$74*'Assumptions_&amp;_Inputs'!$I$85,0)</f>
        <v>0</v>
      </c>
      <c r="AC64" s="32">
        <f>-IF(AC$7=0,'Assumptions_&amp;_Inputs'!$I$95,0)-IF(AC$7='Assumptions_&amp;_Inputs'!$I$80,'Assumptions_&amp;_Inputs'!$I$74*'Assumptions_&amp;_Inputs'!$I$85,0)</f>
        <v>0</v>
      </c>
      <c r="AD64" s="32">
        <f>-IF(AD$7=0,'Assumptions_&amp;_Inputs'!$I$95,0)-IF(AD$7='Assumptions_&amp;_Inputs'!$I$80,'Assumptions_&amp;_Inputs'!$I$74*'Assumptions_&amp;_Inputs'!$I$85,0)</f>
        <v>0</v>
      </c>
      <c r="AE64" s="32">
        <f>-IF(AE$7=0,'Assumptions_&amp;_Inputs'!$I$95,0)-IF(AE$7='Assumptions_&amp;_Inputs'!$I$80,'Assumptions_&amp;_Inputs'!$I$74*'Assumptions_&amp;_Inputs'!$I$85,0)</f>
        <v>0</v>
      </c>
      <c r="AF64" s="32">
        <f>-IF(AF$7=0,'Assumptions_&amp;_Inputs'!$I$95,0)-IF(AF$7='Assumptions_&amp;_Inputs'!$I$80,'Assumptions_&amp;_Inputs'!$I$74*'Assumptions_&amp;_Inputs'!$I$85,0)</f>
        <v>0</v>
      </c>
      <c r="AG64" s="32">
        <f>-IF(AG$7=0,'Assumptions_&amp;_Inputs'!$I$95,0)-IF(AG$7='Assumptions_&amp;_Inputs'!$I$80,'Assumptions_&amp;_Inputs'!$I$74*'Assumptions_&amp;_Inputs'!$I$85,0)</f>
        <v>0</v>
      </c>
      <c r="AH64" s="32">
        <f>-IF(AH$7=0,'Assumptions_&amp;_Inputs'!$I$95,0)-IF(AH$7='Assumptions_&amp;_Inputs'!$I$80,'Assumptions_&amp;_Inputs'!$I$74*'Assumptions_&amp;_Inputs'!$I$85,0)</f>
        <v>0</v>
      </c>
      <c r="AI64" s="32">
        <f>-IF(AI$7=0,'Assumptions_&amp;_Inputs'!$I$95,0)-IF(AI$7='Assumptions_&amp;_Inputs'!$I$80,'Assumptions_&amp;_Inputs'!$I$74*'Assumptions_&amp;_Inputs'!$I$85,0)</f>
        <v>0</v>
      </c>
      <c r="AJ64" s="32">
        <f>-IF(AJ$7=0,'Assumptions_&amp;_Inputs'!$I$95,0)-IF(AJ$7='Assumptions_&amp;_Inputs'!$I$80,'Assumptions_&amp;_Inputs'!$I$74*'Assumptions_&amp;_Inputs'!$I$85,0)</f>
        <v>0</v>
      </c>
      <c r="AK64" s="32">
        <f>-IF(AK$7=0,'Assumptions_&amp;_Inputs'!$I$95,0)-IF(AK$7='Assumptions_&amp;_Inputs'!$I$80,'Assumptions_&amp;_Inputs'!$I$74*'Assumptions_&amp;_Inputs'!$I$85,0)</f>
        <v>0</v>
      </c>
      <c r="AL64" s="32">
        <f>-IF(AL$7=0,'Assumptions_&amp;_Inputs'!$I$95,0)-IF(AL$7='Assumptions_&amp;_Inputs'!$I$80,'Assumptions_&amp;_Inputs'!$I$74*'Assumptions_&amp;_Inputs'!$I$85,0)</f>
        <v>0</v>
      </c>
      <c r="AM64" s="32">
        <f>-IF(AM$7=0,'Assumptions_&amp;_Inputs'!$I$95,0)-IF(AM$7='Assumptions_&amp;_Inputs'!$I$80,'Assumptions_&amp;_Inputs'!$I$74*'Assumptions_&amp;_Inputs'!$I$85,0)</f>
        <v>0</v>
      </c>
      <c r="AN64" s="32">
        <f>-IF(AN$7=0,'Assumptions_&amp;_Inputs'!$I$95,0)-IF(AN$7='Assumptions_&amp;_Inputs'!$I$80,'Assumptions_&amp;_Inputs'!$I$74*'Assumptions_&amp;_Inputs'!$I$85,0)</f>
        <v>0</v>
      </c>
      <c r="AO64" s="32">
        <f>-IF(AO$7=0,'Assumptions_&amp;_Inputs'!$I$95,0)-IF(AO$7='Assumptions_&amp;_Inputs'!$I$80,'Assumptions_&amp;_Inputs'!$I$74*'Assumptions_&amp;_Inputs'!$I$85,0)</f>
        <v>0</v>
      </c>
      <c r="AP64" s="32">
        <f>-IF(AP$7=0,'Assumptions_&amp;_Inputs'!$I$95,0)-IF(AP$7='Assumptions_&amp;_Inputs'!$I$80,'Assumptions_&amp;_Inputs'!$I$74*'Assumptions_&amp;_Inputs'!$I$85,0)</f>
        <v>0</v>
      </c>
      <c r="AQ64" s="32">
        <f>-IF(AQ$7=0,'Assumptions_&amp;_Inputs'!$I$95,0)-IF(AQ$7='Assumptions_&amp;_Inputs'!$I$80,'Assumptions_&amp;_Inputs'!$I$74*'Assumptions_&amp;_Inputs'!$I$85,0)</f>
        <v>0</v>
      </c>
      <c r="AR64" s="32">
        <f>-IF(AR$7=0,'Assumptions_&amp;_Inputs'!$I$95,0)-IF(AR$7='Assumptions_&amp;_Inputs'!$I$80,'Assumptions_&amp;_Inputs'!$I$74*'Assumptions_&amp;_Inputs'!$I$85,0)</f>
        <v>0</v>
      </c>
      <c r="AS64" s="32">
        <f>-IF(AS$7=0,'Assumptions_&amp;_Inputs'!$I$95,0)-IF(AS$7='Assumptions_&amp;_Inputs'!$I$80,'Assumptions_&amp;_Inputs'!$I$74*'Assumptions_&amp;_Inputs'!$I$85,0)</f>
        <v>0</v>
      </c>
      <c r="AT64" s="32">
        <f>-IF(AT$7=0,'Assumptions_&amp;_Inputs'!$I$95,0)-IF(AT$7='Assumptions_&amp;_Inputs'!$I$80,'Assumptions_&amp;_Inputs'!$I$74*'Assumptions_&amp;_Inputs'!$I$85,0)</f>
        <v>0</v>
      </c>
      <c r="AU64" s="32">
        <f>-IF(AU$7=0,'Assumptions_&amp;_Inputs'!$I$95,0)-IF(AU$7='Assumptions_&amp;_Inputs'!$I$80,'Assumptions_&amp;_Inputs'!$I$74*'Assumptions_&amp;_Inputs'!$I$85,0)</f>
        <v>0</v>
      </c>
      <c r="AV64" s="32">
        <f>-IF(AV$7=0,'Assumptions_&amp;_Inputs'!$I$95,0)-IF(AV$7='Assumptions_&amp;_Inputs'!$I$80,'Assumptions_&amp;_Inputs'!$I$74*'Assumptions_&amp;_Inputs'!$I$85,0)</f>
        <v>0</v>
      </c>
      <c r="AW64" s="32">
        <f>-IF(AW$7=0,'Assumptions_&amp;_Inputs'!$I$95,0)-IF(AW$7='Assumptions_&amp;_Inputs'!$I$80,'Assumptions_&amp;_Inputs'!$I$74*'Assumptions_&amp;_Inputs'!$I$85,0)</f>
        <v>0</v>
      </c>
      <c r="AX64" s="32">
        <f>-IF(AX$7=0,'Assumptions_&amp;_Inputs'!$I$95,0)-IF(AX$7='Assumptions_&amp;_Inputs'!$I$80,'Assumptions_&amp;_Inputs'!$I$74*'Assumptions_&amp;_Inputs'!$I$85,0)</f>
        <v>0</v>
      </c>
      <c r="AY64" s="32">
        <f>-IF(AY$7=0,'Assumptions_&amp;_Inputs'!$I$95,0)-IF(AY$7='Assumptions_&amp;_Inputs'!$I$80,'Assumptions_&amp;_Inputs'!$I$74*'Assumptions_&amp;_Inputs'!$I$85,0)</f>
        <v>0</v>
      </c>
      <c r="AZ64" s="32">
        <f>-IF(AZ$7=0,'Assumptions_&amp;_Inputs'!$I$95,0)-IF(AZ$7='Assumptions_&amp;_Inputs'!$I$80,'Assumptions_&amp;_Inputs'!$I$74*'Assumptions_&amp;_Inputs'!$I$85,0)</f>
        <v>0</v>
      </c>
      <c r="BA64" s="32">
        <f>-IF(BA$7=0,'Assumptions_&amp;_Inputs'!$I$95,0)-IF(BA$7='Assumptions_&amp;_Inputs'!$I$80,'Assumptions_&amp;_Inputs'!$I$74*'Assumptions_&amp;_Inputs'!$I$85,0)</f>
        <v>0</v>
      </c>
      <c r="BB64" s="32">
        <f>-IF(BB$7=0,'Assumptions_&amp;_Inputs'!$I$95,0)-IF(BB$7='Assumptions_&amp;_Inputs'!$I$80,'Assumptions_&amp;_Inputs'!$I$74*'Assumptions_&amp;_Inputs'!$I$85,0)</f>
        <v>0</v>
      </c>
      <c r="BC64" s="32">
        <f>-IF(BC$7=0,'Assumptions_&amp;_Inputs'!$I$95,0)-IF(BC$7='Assumptions_&amp;_Inputs'!$I$80,'Assumptions_&amp;_Inputs'!$I$74*'Assumptions_&amp;_Inputs'!$I$85,0)</f>
        <v>0</v>
      </c>
      <c r="BD64" s="32">
        <f>-IF(BD$7=0,'Assumptions_&amp;_Inputs'!$I$95,0)-IF(BD$7='Assumptions_&amp;_Inputs'!$I$80,'Assumptions_&amp;_Inputs'!$I$74*'Assumptions_&amp;_Inputs'!$I$85,0)</f>
        <v>0</v>
      </c>
      <c r="BE64" s="32">
        <f>-IF(BE$7=0,'Assumptions_&amp;_Inputs'!$I$95,0)-IF(BE$7='Assumptions_&amp;_Inputs'!$I$80,'Assumptions_&amp;_Inputs'!$I$74*'Assumptions_&amp;_Inputs'!$I$85,0)</f>
        <v>0</v>
      </c>
      <c r="BF64" s="32">
        <f>-IF(BF$7=0,'Assumptions_&amp;_Inputs'!$I$95,0)-IF(BF$7='Assumptions_&amp;_Inputs'!$I$80,'Assumptions_&amp;_Inputs'!$I$74*'Assumptions_&amp;_Inputs'!$I$85,0)</f>
        <v>0</v>
      </c>
      <c r="BG64" s="32">
        <f>-IF(BG$7=0,'Assumptions_&amp;_Inputs'!$I$95,0)-IF(BG$7='Assumptions_&amp;_Inputs'!$I$80,'Assumptions_&amp;_Inputs'!$I$74*'Assumptions_&amp;_Inputs'!$I$85,0)</f>
        <v>0</v>
      </c>
      <c r="BH64" s="32">
        <f>-IF(BH$7=0,'Assumptions_&amp;_Inputs'!$I$95,0)-IF(BH$7='Assumptions_&amp;_Inputs'!$I$80,'Assumptions_&amp;_Inputs'!$I$74*'Assumptions_&amp;_Inputs'!$I$85,0)</f>
        <v>0</v>
      </c>
      <c r="BI64" s="32">
        <f>-IF(BI$7=0,'Assumptions_&amp;_Inputs'!$I$95,0)-IF(BI$7='Assumptions_&amp;_Inputs'!$I$80,'Assumptions_&amp;_Inputs'!$I$74*'Assumptions_&amp;_Inputs'!$I$85,0)</f>
        <v>0</v>
      </c>
      <c r="BJ64" s="32">
        <f>-IF(BJ$7=0,'Assumptions_&amp;_Inputs'!$I$95,0)-IF(BJ$7='Assumptions_&amp;_Inputs'!$I$80,'Assumptions_&amp;_Inputs'!$I$74*'Assumptions_&amp;_Inputs'!$I$85,0)</f>
        <v>0</v>
      </c>
      <c r="BK64" s="32">
        <f>-IF(BK$7=0,'Assumptions_&amp;_Inputs'!$I$95,0)-IF(BK$7='Assumptions_&amp;_Inputs'!$I$80,'Assumptions_&amp;_Inputs'!$I$74*'Assumptions_&amp;_Inputs'!$I$85,0)</f>
        <v>0</v>
      </c>
      <c r="BL64" s="32">
        <f>-IF(BL$7=0,'Assumptions_&amp;_Inputs'!$I$95,0)-IF(BL$7='Assumptions_&amp;_Inputs'!$I$80,'Assumptions_&amp;_Inputs'!$I$74*'Assumptions_&amp;_Inputs'!$I$85,0)</f>
        <v>0</v>
      </c>
      <c r="BM64" s="32">
        <f>-IF(BM$7=0,'Assumptions_&amp;_Inputs'!$I$95,0)-IF(BM$7='Assumptions_&amp;_Inputs'!$I$80,'Assumptions_&amp;_Inputs'!$I$74*'Assumptions_&amp;_Inputs'!$I$85,0)</f>
        <v>0</v>
      </c>
      <c r="BN64" s="32">
        <f>-IF(BN$7=0,'Assumptions_&amp;_Inputs'!$I$95,0)-IF(BN$7='Assumptions_&amp;_Inputs'!$I$80,'Assumptions_&amp;_Inputs'!$I$74*'Assumptions_&amp;_Inputs'!$I$85,0)</f>
        <v>0</v>
      </c>
      <c r="BO64" s="32">
        <f>-IF(BO$7=0,'Assumptions_&amp;_Inputs'!$I$95,0)-IF(BO$7='Assumptions_&amp;_Inputs'!$I$80,'Assumptions_&amp;_Inputs'!$I$74*'Assumptions_&amp;_Inputs'!$I$85,0)</f>
        <v>0</v>
      </c>
      <c r="BP64" s="32">
        <f>-IF(BP$7=0,'Assumptions_&amp;_Inputs'!$I$95,0)-IF(BP$7='Assumptions_&amp;_Inputs'!$I$80,'Assumptions_&amp;_Inputs'!$I$74*'Assumptions_&amp;_Inputs'!$I$85,0)</f>
        <v>0</v>
      </c>
      <c r="BQ64" s="32">
        <f>-IF(BQ$7=0,'Assumptions_&amp;_Inputs'!$I$95,0)-IF(BQ$7='Assumptions_&amp;_Inputs'!$I$80,'Assumptions_&amp;_Inputs'!$I$74*'Assumptions_&amp;_Inputs'!$I$85,0)</f>
        <v>0</v>
      </c>
      <c r="BR64" s="32">
        <f>-IF(BR$7=0,'Assumptions_&amp;_Inputs'!$I$95,0)-IF(BR$7='Assumptions_&amp;_Inputs'!$I$80,'Assumptions_&amp;_Inputs'!$I$74*'Assumptions_&amp;_Inputs'!$I$85,0)</f>
        <v>0</v>
      </c>
      <c r="BS64" s="32">
        <f>-IF(BS$7=0,'Assumptions_&amp;_Inputs'!$I$95,0)-IF(BS$7='Assumptions_&amp;_Inputs'!$I$80,'Assumptions_&amp;_Inputs'!$I$74*'Assumptions_&amp;_Inputs'!$I$85,0)</f>
        <v>0</v>
      </c>
      <c r="BT64" s="32">
        <f>-IF(BT$7=0,'Assumptions_&amp;_Inputs'!$I$95,0)-IF(BT$7='Assumptions_&amp;_Inputs'!$I$80,'Assumptions_&amp;_Inputs'!$I$74*'Assumptions_&amp;_Inputs'!$I$85,0)</f>
        <v>0</v>
      </c>
      <c r="BU64" s="32">
        <f>-IF(BU$7=0,'Assumptions_&amp;_Inputs'!$I$95,0)-IF(BU$7='Assumptions_&amp;_Inputs'!$I$80,'Assumptions_&amp;_Inputs'!$I$74*'Assumptions_&amp;_Inputs'!$I$85,0)</f>
        <v>0</v>
      </c>
      <c r="BV64" s="32">
        <f>-IF(BV$7=0,'Assumptions_&amp;_Inputs'!$I$95,0)-IF(BV$7='Assumptions_&amp;_Inputs'!$I$80,'Assumptions_&amp;_Inputs'!$I$74*'Assumptions_&amp;_Inputs'!$I$85,0)</f>
        <v>0</v>
      </c>
      <c r="BW64" s="32">
        <f>-IF(BW$7=0,'Assumptions_&amp;_Inputs'!$I$95,0)-IF(BW$7='Assumptions_&amp;_Inputs'!$I$80,'Assumptions_&amp;_Inputs'!$I$74*'Assumptions_&amp;_Inputs'!$I$85,0)</f>
        <v>0</v>
      </c>
      <c r="BX64" s="32">
        <f>-IF(BX$7=0,'Assumptions_&amp;_Inputs'!$I$95,0)-IF(BX$7='Assumptions_&amp;_Inputs'!$I$80,'Assumptions_&amp;_Inputs'!$I$74*'Assumptions_&amp;_Inputs'!$I$85,0)</f>
        <v>0</v>
      </c>
      <c r="BY64" s="32">
        <f>-IF(BY$7=0,'Assumptions_&amp;_Inputs'!$I$95,0)-IF(BY$7='Assumptions_&amp;_Inputs'!$I$80,'Assumptions_&amp;_Inputs'!$I$74*'Assumptions_&amp;_Inputs'!$I$85,0)</f>
        <v>0</v>
      </c>
      <c r="BZ64" s="32">
        <f>-IF(BZ$7=0,'Assumptions_&amp;_Inputs'!$I$95,0)-IF(BZ$7='Assumptions_&amp;_Inputs'!$I$80,'Assumptions_&amp;_Inputs'!$I$74*'Assumptions_&amp;_Inputs'!$I$85,0)</f>
        <v>0</v>
      </c>
      <c r="CA64" s="32">
        <f>-IF(CA$7=0,'Assumptions_&amp;_Inputs'!$I$95,0)-IF(CA$7='Assumptions_&amp;_Inputs'!$I$80,'Assumptions_&amp;_Inputs'!$I$74*'Assumptions_&amp;_Inputs'!$I$85,0)</f>
        <v>0</v>
      </c>
      <c r="CB64" s="32">
        <f>-IF(CB$7=0,'Assumptions_&amp;_Inputs'!$I$95,0)-IF(CB$7='Assumptions_&amp;_Inputs'!$I$80,'Assumptions_&amp;_Inputs'!$I$74*'Assumptions_&amp;_Inputs'!$I$85,0)</f>
        <v>0</v>
      </c>
      <c r="CC64" s="32">
        <f>-IF(CC$7=0,'Assumptions_&amp;_Inputs'!$I$95,0)-IF(CC$7='Assumptions_&amp;_Inputs'!$I$80,'Assumptions_&amp;_Inputs'!$I$74*'Assumptions_&amp;_Inputs'!$I$85,0)</f>
        <v>0</v>
      </c>
      <c r="CD64" s="32">
        <f>-IF(CD$7=0,'Assumptions_&amp;_Inputs'!$I$95,0)-IF(CD$7='Assumptions_&amp;_Inputs'!$I$80,'Assumptions_&amp;_Inputs'!$I$74*'Assumptions_&amp;_Inputs'!$I$85,0)</f>
        <v>0</v>
      </c>
      <c r="CE64" s="32">
        <f>-IF(CE$7=0,'Assumptions_&amp;_Inputs'!$I$95,0)-IF(CE$7='Assumptions_&amp;_Inputs'!$I$80,'Assumptions_&amp;_Inputs'!$I$74*'Assumptions_&amp;_Inputs'!$I$85,0)</f>
        <v>0</v>
      </c>
      <c r="CF64" s="32">
        <f>-IF(CF$7=0,'Assumptions_&amp;_Inputs'!$I$95,0)-IF(CF$7='Assumptions_&amp;_Inputs'!$I$80,'Assumptions_&amp;_Inputs'!$I$74*'Assumptions_&amp;_Inputs'!$I$85,0)</f>
        <v>0</v>
      </c>
      <c r="CG64" s="32">
        <f>-IF(CG$7=0,'Assumptions_&amp;_Inputs'!$I$95,0)-IF(CG$7='Assumptions_&amp;_Inputs'!$I$80,'Assumptions_&amp;_Inputs'!$I$74*'Assumptions_&amp;_Inputs'!$I$85,0)</f>
        <v>0</v>
      </c>
      <c r="CH64" s="32">
        <f>-IF(CH$7=0,'Assumptions_&amp;_Inputs'!$I$95,0)-IF(CH$7='Assumptions_&amp;_Inputs'!$I$80,'Assumptions_&amp;_Inputs'!$I$74*'Assumptions_&amp;_Inputs'!$I$85,0)</f>
        <v>0</v>
      </c>
      <c r="CI64" s="32">
        <f>-IF(CI$7=0,'Assumptions_&amp;_Inputs'!$I$95,0)-IF(CI$7='Assumptions_&amp;_Inputs'!$I$80,'Assumptions_&amp;_Inputs'!$I$74*'Assumptions_&amp;_Inputs'!$I$85,0)</f>
        <v>0</v>
      </c>
      <c r="CJ64" s="32">
        <f>-IF(CJ$7=0,'Assumptions_&amp;_Inputs'!$I$95,0)-IF(CJ$7='Assumptions_&amp;_Inputs'!$I$80,'Assumptions_&amp;_Inputs'!$I$74*'Assumptions_&amp;_Inputs'!$I$85,0)</f>
        <v>0</v>
      </c>
      <c r="CK64" s="32">
        <f>-IF(CK$7=0,'Assumptions_&amp;_Inputs'!$I$95,0)-IF(CK$7='Assumptions_&amp;_Inputs'!$I$80,'Assumptions_&amp;_Inputs'!$I$74*'Assumptions_&amp;_Inputs'!$I$85,0)</f>
        <v>0</v>
      </c>
      <c r="CL64" s="32">
        <f>-IF(CL$7=0,'Assumptions_&amp;_Inputs'!$I$95,0)-IF(CL$7='Assumptions_&amp;_Inputs'!$I$80,'Assumptions_&amp;_Inputs'!$I$74*'Assumptions_&amp;_Inputs'!$I$85,0)</f>
        <v>0</v>
      </c>
      <c r="CM64" s="32">
        <f>-IF(CM$7=0,'Assumptions_&amp;_Inputs'!$I$95,0)-IF(CM$7='Assumptions_&amp;_Inputs'!$I$80,'Assumptions_&amp;_Inputs'!$I$74*'Assumptions_&amp;_Inputs'!$I$85,0)</f>
        <v>0</v>
      </c>
      <c r="CN64" s="32">
        <f>-IF(CN$7=0,'Assumptions_&amp;_Inputs'!$I$95,0)-IF(CN$7='Assumptions_&amp;_Inputs'!$I$80,'Assumptions_&amp;_Inputs'!$I$74*'Assumptions_&amp;_Inputs'!$I$85,0)</f>
        <v>0</v>
      </c>
      <c r="CO64" s="32">
        <f>-IF(CO$7=0,'Assumptions_&amp;_Inputs'!$I$95,0)-IF(CO$7='Assumptions_&amp;_Inputs'!$I$80,'Assumptions_&amp;_Inputs'!$I$74*'Assumptions_&amp;_Inputs'!$I$85,0)</f>
        <v>0</v>
      </c>
      <c r="CP64" s="32">
        <f>-IF(CP$7=0,'Assumptions_&amp;_Inputs'!$I$95,0)-IF(CP$7='Assumptions_&amp;_Inputs'!$I$80,'Assumptions_&amp;_Inputs'!$I$74*'Assumptions_&amp;_Inputs'!$I$85,0)</f>
        <v>0</v>
      </c>
      <c r="CQ64" s="32">
        <f>-IF(CQ$7=0,'Assumptions_&amp;_Inputs'!$I$95,0)-IF(CQ$7='Assumptions_&amp;_Inputs'!$I$80,'Assumptions_&amp;_Inputs'!$I$74*'Assumptions_&amp;_Inputs'!$I$85,0)</f>
        <v>0</v>
      </c>
      <c r="CR64" s="32">
        <f>-IF(CR$7=0,'Assumptions_&amp;_Inputs'!$I$95,0)-IF(CR$7='Assumptions_&amp;_Inputs'!$I$80,'Assumptions_&amp;_Inputs'!$I$74*'Assumptions_&amp;_Inputs'!$I$85,0)</f>
        <v>0</v>
      </c>
      <c r="CS64" s="32">
        <f>-IF(CS$7=0,'Assumptions_&amp;_Inputs'!$I$95,0)-IF(CS$7='Assumptions_&amp;_Inputs'!$I$80,'Assumptions_&amp;_Inputs'!$I$74*'Assumptions_&amp;_Inputs'!$I$85,0)</f>
        <v>0</v>
      </c>
      <c r="CT64" s="32">
        <f>-IF(CT$7=0,'Assumptions_&amp;_Inputs'!$I$95,0)-IF(CT$7='Assumptions_&amp;_Inputs'!$I$80,'Assumptions_&amp;_Inputs'!$I$74*'Assumptions_&amp;_Inputs'!$I$85,0)</f>
        <v>0</v>
      </c>
      <c r="CU64" s="32">
        <f>-IF(CU$7=0,'Assumptions_&amp;_Inputs'!$I$95,0)-IF(CU$7='Assumptions_&amp;_Inputs'!$I$80,'Assumptions_&amp;_Inputs'!$I$74*'Assumptions_&amp;_Inputs'!$I$85,0)</f>
        <v>0</v>
      </c>
      <c r="CV64" s="32">
        <f>-IF(CV$7=0,'Assumptions_&amp;_Inputs'!$I$95,0)-IF(CV$7='Assumptions_&amp;_Inputs'!$I$80,'Assumptions_&amp;_Inputs'!$I$74*'Assumptions_&amp;_Inputs'!$I$85,0)</f>
        <v>0</v>
      </c>
      <c r="CW64" s="32">
        <f>-IF(CW$7=0,'Assumptions_&amp;_Inputs'!$I$95,0)-IF(CW$7='Assumptions_&amp;_Inputs'!$I$80,'Assumptions_&amp;_Inputs'!$I$74*'Assumptions_&amp;_Inputs'!$I$85,0)</f>
        <v>0</v>
      </c>
      <c r="CX64" s="32">
        <f>-IF(CX$7=0,'Assumptions_&amp;_Inputs'!$I$95,0)-IF(CX$7='Assumptions_&amp;_Inputs'!$I$80,'Assumptions_&amp;_Inputs'!$I$74*'Assumptions_&amp;_Inputs'!$I$85,0)</f>
        <v>0</v>
      </c>
      <c r="CY64" s="32">
        <f>-IF(CY$7=0,'Assumptions_&amp;_Inputs'!$I$95,0)-IF(CY$7='Assumptions_&amp;_Inputs'!$I$80,'Assumptions_&amp;_Inputs'!$I$74*'Assumptions_&amp;_Inputs'!$I$85,0)</f>
        <v>0</v>
      </c>
      <c r="CZ64" s="32">
        <f>-IF(CZ$7=0,'Assumptions_&amp;_Inputs'!$I$95,0)-IF(CZ$7='Assumptions_&amp;_Inputs'!$I$80,'Assumptions_&amp;_Inputs'!$I$74*'Assumptions_&amp;_Inputs'!$I$85,0)</f>
        <v>0</v>
      </c>
      <c r="DA64" s="32">
        <f>-IF(DA$7=0,'Assumptions_&amp;_Inputs'!$I$95,0)-IF(DA$7='Assumptions_&amp;_Inputs'!$I$80,'Assumptions_&amp;_Inputs'!$I$74*'Assumptions_&amp;_Inputs'!$I$85,0)</f>
        <v>0</v>
      </c>
      <c r="DB64" s="32">
        <f>-IF(DB$7=0,'Assumptions_&amp;_Inputs'!$I$95,0)-IF(DB$7='Assumptions_&amp;_Inputs'!$I$80,'Assumptions_&amp;_Inputs'!$I$74*'Assumptions_&amp;_Inputs'!$I$85,0)</f>
        <v>0</v>
      </c>
      <c r="DC64" s="32">
        <f>-IF(DC$7=0,'Assumptions_&amp;_Inputs'!$I$95,0)-IF(DC$7='Assumptions_&amp;_Inputs'!$I$80,'Assumptions_&amp;_Inputs'!$I$74*'Assumptions_&amp;_Inputs'!$I$85,0)</f>
        <v>0</v>
      </c>
      <c r="DD64" s="32">
        <f>-IF(DD$7=0,'Assumptions_&amp;_Inputs'!$I$95,0)-IF(DD$7='Assumptions_&amp;_Inputs'!$I$80,'Assumptions_&amp;_Inputs'!$I$74*'Assumptions_&amp;_Inputs'!$I$85,0)</f>
        <v>0</v>
      </c>
      <c r="DE64" s="32">
        <f>-IF(DE$7=0,'Assumptions_&amp;_Inputs'!$I$95,0)-IF(DE$7='Assumptions_&amp;_Inputs'!$I$80,'Assumptions_&amp;_Inputs'!$I$74*'Assumptions_&amp;_Inputs'!$I$85,0)</f>
        <v>0</v>
      </c>
      <c r="DF64" s="32">
        <f>-IF(DF$7=0,'Assumptions_&amp;_Inputs'!$I$95,0)-IF(DF$7='Assumptions_&amp;_Inputs'!$I$80,'Assumptions_&amp;_Inputs'!$I$74*'Assumptions_&amp;_Inputs'!$I$85,0)</f>
        <v>0</v>
      </c>
      <c r="DG64" s="32">
        <f>-IF(DG$7=0,'Assumptions_&amp;_Inputs'!$I$95,0)-IF(DG$7='Assumptions_&amp;_Inputs'!$I$80,'Assumptions_&amp;_Inputs'!$I$74*'Assumptions_&amp;_Inputs'!$I$85,0)</f>
        <v>0</v>
      </c>
      <c r="DH64" s="32">
        <f>-IF(DH$7=0,'Assumptions_&amp;_Inputs'!$I$95,0)-IF(DH$7='Assumptions_&amp;_Inputs'!$I$80,'Assumptions_&amp;_Inputs'!$I$74*'Assumptions_&amp;_Inputs'!$I$85,0)</f>
        <v>0</v>
      </c>
      <c r="DI64" s="32">
        <f>-IF(DI$7=0,'Assumptions_&amp;_Inputs'!$I$95,0)-IF(DI$7='Assumptions_&amp;_Inputs'!$I$80,'Assumptions_&amp;_Inputs'!$I$74*'Assumptions_&amp;_Inputs'!$I$85,0)</f>
        <v>0</v>
      </c>
      <c r="DJ64" s="32">
        <f>-IF(DJ$7=0,'Assumptions_&amp;_Inputs'!$I$95,0)-IF(DJ$7='Assumptions_&amp;_Inputs'!$I$80,'Assumptions_&amp;_Inputs'!$I$74*'Assumptions_&amp;_Inputs'!$I$85,0)</f>
        <v>0</v>
      </c>
      <c r="DK64" s="32">
        <f>-IF(DK$7=0,'Assumptions_&amp;_Inputs'!$I$95,0)-IF(DK$7='Assumptions_&amp;_Inputs'!$I$80,'Assumptions_&amp;_Inputs'!$I$74*'Assumptions_&amp;_Inputs'!$I$85,0)</f>
        <v>0</v>
      </c>
      <c r="DL64" s="32">
        <f>-IF(DL$7=0,'Assumptions_&amp;_Inputs'!$I$95,0)-IF(DL$7='Assumptions_&amp;_Inputs'!$I$80,'Assumptions_&amp;_Inputs'!$I$74*'Assumptions_&amp;_Inputs'!$I$85,0)</f>
        <v>0</v>
      </c>
      <c r="DM64" s="32">
        <f>-IF(DM$7=0,'Assumptions_&amp;_Inputs'!$I$95,0)-IF(DM$7='Assumptions_&amp;_Inputs'!$I$80,'Assumptions_&amp;_Inputs'!$I$74*'Assumptions_&amp;_Inputs'!$I$85,0)</f>
        <v>0</v>
      </c>
      <c r="DN64" s="32">
        <f>-IF(DN$7=0,'Assumptions_&amp;_Inputs'!$I$95,0)-IF(DN$7='Assumptions_&amp;_Inputs'!$I$80,'Assumptions_&amp;_Inputs'!$I$74*'Assumptions_&amp;_Inputs'!$I$85,0)</f>
        <v>0</v>
      </c>
      <c r="DO64" s="32">
        <f>-IF(DO$7=0,'Assumptions_&amp;_Inputs'!$I$95,0)-IF(DO$7='Assumptions_&amp;_Inputs'!$I$80,'Assumptions_&amp;_Inputs'!$I$74*'Assumptions_&amp;_Inputs'!$I$85,0)</f>
        <v>0</v>
      </c>
      <c r="DP64" s="32">
        <f>-IF(DP$7=0,'Assumptions_&amp;_Inputs'!$I$95,0)-IF(DP$7='Assumptions_&amp;_Inputs'!$I$80,'Assumptions_&amp;_Inputs'!$I$74*'Assumptions_&amp;_Inputs'!$I$85,0)</f>
        <v>0</v>
      </c>
      <c r="DQ64" s="32">
        <f>-IF(DQ$7=0,'Assumptions_&amp;_Inputs'!$I$95,0)-IF(DQ$7='Assumptions_&amp;_Inputs'!$I$80,'Assumptions_&amp;_Inputs'!$I$74*'Assumptions_&amp;_Inputs'!$I$85,0)</f>
        <v>0</v>
      </c>
      <c r="DR64" s="32">
        <f>-IF(DR$7=0,'Assumptions_&amp;_Inputs'!$I$95,0)-IF(DR$7='Assumptions_&amp;_Inputs'!$I$80,'Assumptions_&amp;_Inputs'!$I$74*'Assumptions_&amp;_Inputs'!$I$85,0)</f>
        <v>0</v>
      </c>
      <c r="DS64" s="32">
        <f>-IF(DS$7=0,'Assumptions_&amp;_Inputs'!$I$95,0)-IF(DS$7='Assumptions_&amp;_Inputs'!$I$80,'Assumptions_&amp;_Inputs'!$I$74*'Assumptions_&amp;_Inputs'!$I$85,0)</f>
        <v>0</v>
      </c>
      <c r="DT64" s="32">
        <f>-IF(DT$7=0,'Assumptions_&amp;_Inputs'!$I$95,0)-IF(DT$7='Assumptions_&amp;_Inputs'!$I$80,'Assumptions_&amp;_Inputs'!$I$74*'Assumptions_&amp;_Inputs'!$I$85,0)</f>
        <v>0</v>
      </c>
      <c r="DU64" s="32">
        <f>-IF(DU$7=0,'Assumptions_&amp;_Inputs'!$I$95,0)-IF(DU$7='Assumptions_&amp;_Inputs'!$I$80,'Assumptions_&amp;_Inputs'!$I$74*'Assumptions_&amp;_Inputs'!$I$85,0)</f>
        <v>0</v>
      </c>
      <c r="DV64" s="32">
        <f>-IF(DV$7=0,'Assumptions_&amp;_Inputs'!$I$95,0)-IF(DV$7='Assumptions_&amp;_Inputs'!$I$80,'Assumptions_&amp;_Inputs'!$I$74*'Assumptions_&amp;_Inputs'!$I$85,0)</f>
        <v>0</v>
      </c>
      <c r="DW64" s="32">
        <f>-IF(DW$7=0,'Assumptions_&amp;_Inputs'!$I$95,0)-IF(DW$7='Assumptions_&amp;_Inputs'!$I$80,'Assumptions_&amp;_Inputs'!$I$74*'Assumptions_&amp;_Inputs'!$I$85,0)</f>
        <v>0</v>
      </c>
      <c r="DX64" s="32">
        <f>-IF(DX$7=0,'Assumptions_&amp;_Inputs'!$I$95,0)-IF(DX$7='Assumptions_&amp;_Inputs'!$I$80,'Assumptions_&amp;_Inputs'!$I$74*'Assumptions_&amp;_Inputs'!$I$85,0)</f>
        <v>0</v>
      </c>
      <c r="DY64" s="32">
        <f>-IF(DY$7=0,'Assumptions_&amp;_Inputs'!$I$95,0)-IF(DY$7='Assumptions_&amp;_Inputs'!$I$80,'Assumptions_&amp;_Inputs'!$I$74*'Assumptions_&amp;_Inputs'!$I$85,0)</f>
        <v>0</v>
      </c>
      <c r="DZ64" s="32">
        <f>-IF(DZ$7=0,'Assumptions_&amp;_Inputs'!$I$95,0)-IF(DZ$7='Assumptions_&amp;_Inputs'!$I$80,'Assumptions_&amp;_Inputs'!$I$74*'Assumptions_&amp;_Inputs'!$I$85,0)</f>
        <v>0</v>
      </c>
      <c r="EA64" s="32">
        <f>-IF(EA$7=0,'Assumptions_&amp;_Inputs'!$I$95,0)-IF(EA$7='Assumptions_&amp;_Inputs'!$I$80,'Assumptions_&amp;_Inputs'!$I$74*'Assumptions_&amp;_Inputs'!$I$85,0)</f>
        <v>0</v>
      </c>
      <c r="EB64" s="32">
        <f>-IF(EB$7=0,'Assumptions_&amp;_Inputs'!$I$95,0)-IF(EB$7='Assumptions_&amp;_Inputs'!$I$80,'Assumptions_&amp;_Inputs'!$I$74*'Assumptions_&amp;_Inputs'!$I$85,0)</f>
        <v>0</v>
      </c>
      <c r="EC64" s="32">
        <f>-IF(EC$7=0,'Assumptions_&amp;_Inputs'!$I$95,0)-IF(EC$7='Assumptions_&amp;_Inputs'!$I$80,'Assumptions_&amp;_Inputs'!$I$74*'Assumptions_&amp;_Inputs'!$I$85,0)</f>
        <v>0</v>
      </c>
      <c r="ED64" s="32">
        <f>-IF(ED$7=0,'Assumptions_&amp;_Inputs'!$I$95,0)-IF(ED$7='Assumptions_&amp;_Inputs'!$I$80,'Assumptions_&amp;_Inputs'!$I$74*'Assumptions_&amp;_Inputs'!$I$85,0)</f>
        <v>0</v>
      </c>
      <c r="EE64" s="32">
        <f>-IF(EE$7=0,'Assumptions_&amp;_Inputs'!$I$95,0)-IF(EE$7='Assumptions_&amp;_Inputs'!$I$80,'Assumptions_&amp;_Inputs'!$I$74*'Assumptions_&amp;_Inputs'!$I$85,0)</f>
        <v>0</v>
      </c>
      <c r="EF64" s="32">
        <f>-IF(EF$7=0,'Assumptions_&amp;_Inputs'!$I$95,0)-IF(EF$7='Assumptions_&amp;_Inputs'!$I$80,'Assumptions_&amp;_Inputs'!$I$74*'Assumptions_&amp;_Inputs'!$I$85,0)</f>
        <v>0</v>
      </c>
      <c r="EG64" s="32">
        <f>-IF(EG$7=0,'Assumptions_&amp;_Inputs'!$I$95,0)-IF(EG$7='Assumptions_&amp;_Inputs'!$I$80,'Assumptions_&amp;_Inputs'!$I$74*'Assumptions_&amp;_Inputs'!$I$85,0)</f>
        <v>0</v>
      </c>
      <c r="EH64" s="32">
        <f>-IF(EH$7=0,'Assumptions_&amp;_Inputs'!$I$95,0)-IF(EH$7='Assumptions_&amp;_Inputs'!$I$80,'Assumptions_&amp;_Inputs'!$I$74*'Assumptions_&amp;_Inputs'!$I$85,0)</f>
        <v>0</v>
      </c>
      <c r="EI64" s="32">
        <f>-IF(EI$7=0,'Assumptions_&amp;_Inputs'!$I$95,0)-IF(EI$7='Assumptions_&amp;_Inputs'!$I$80,'Assumptions_&amp;_Inputs'!$I$74*'Assumptions_&amp;_Inputs'!$I$85,0)</f>
        <v>0</v>
      </c>
      <c r="EJ64" s="32">
        <f>-IF(EJ$7=0,'Assumptions_&amp;_Inputs'!$I$95,0)-IF(EJ$7='Assumptions_&amp;_Inputs'!$I$80,'Assumptions_&amp;_Inputs'!$I$74*'Assumptions_&amp;_Inputs'!$I$85,0)</f>
        <v>0</v>
      </c>
      <c r="EK64" s="32">
        <f>-IF(EK$7=0,'Assumptions_&amp;_Inputs'!$I$95,0)-IF(EK$7='Assumptions_&amp;_Inputs'!$I$80,'Assumptions_&amp;_Inputs'!$I$74*'Assumptions_&amp;_Inputs'!$I$85,0)</f>
        <v>0</v>
      </c>
      <c r="EL64" s="32">
        <f>-IF(EL$7=0,'Assumptions_&amp;_Inputs'!$I$95,0)-IF(EL$7='Assumptions_&amp;_Inputs'!$I$80,'Assumptions_&amp;_Inputs'!$I$74*'Assumptions_&amp;_Inputs'!$I$85,0)</f>
        <v>0</v>
      </c>
      <c r="EM64" s="32">
        <f>-IF(EM$7=0,'Assumptions_&amp;_Inputs'!$I$95,0)-IF(EM$7='Assumptions_&amp;_Inputs'!$I$80,'Assumptions_&amp;_Inputs'!$I$74*'Assumptions_&amp;_Inputs'!$I$85,0)</f>
        <v>0</v>
      </c>
      <c r="EN64" s="32">
        <f>-IF(EN$7=0,'Assumptions_&amp;_Inputs'!$I$95,0)-IF(EN$7='Assumptions_&amp;_Inputs'!$I$80,'Assumptions_&amp;_Inputs'!$I$74*'Assumptions_&amp;_Inputs'!$I$85,0)</f>
        <v>0</v>
      </c>
      <c r="EO64" s="32">
        <f>-IF(EO$7=0,'Assumptions_&amp;_Inputs'!$I$95,0)-IF(EO$7='Assumptions_&amp;_Inputs'!$I$80,'Assumptions_&amp;_Inputs'!$I$74*'Assumptions_&amp;_Inputs'!$I$85,0)</f>
        <v>0</v>
      </c>
      <c r="EP64" s="32">
        <f>-IF(EP$7=0,'Assumptions_&amp;_Inputs'!$I$95,0)-IF(EP$7='Assumptions_&amp;_Inputs'!$I$80,'Assumptions_&amp;_Inputs'!$I$74*'Assumptions_&amp;_Inputs'!$I$85,0)</f>
        <v>0</v>
      </c>
      <c r="EQ64" s="32">
        <f>-IF(EQ$7=0,'Assumptions_&amp;_Inputs'!$I$95,0)-IF(EQ$7='Assumptions_&amp;_Inputs'!$I$80,'Assumptions_&amp;_Inputs'!$I$74*'Assumptions_&amp;_Inputs'!$I$85,0)</f>
        <v>0</v>
      </c>
      <c r="ER64" s="32">
        <f>-IF(ER$7=0,'Assumptions_&amp;_Inputs'!$I$95,0)-IF(ER$7='Assumptions_&amp;_Inputs'!$I$80,'Assumptions_&amp;_Inputs'!$I$74*'Assumptions_&amp;_Inputs'!$I$85,0)</f>
        <v>0</v>
      </c>
      <c r="ES64" s="32">
        <f>-IF(ES$7=0,'Assumptions_&amp;_Inputs'!$I$95,0)-IF(ES$7='Assumptions_&amp;_Inputs'!$I$80,'Assumptions_&amp;_Inputs'!$I$74*'Assumptions_&amp;_Inputs'!$I$85,0)</f>
        <v>0</v>
      </c>
      <c r="ET64" s="32">
        <f>-IF(ET$7=0,'Assumptions_&amp;_Inputs'!$I$95,0)-IF(ET$7='Assumptions_&amp;_Inputs'!$I$80,'Assumptions_&amp;_Inputs'!$I$74*'Assumptions_&amp;_Inputs'!$I$85,0)</f>
        <v>0</v>
      </c>
      <c r="EU64" s="32">
        <f>-IF(EU$7=0,'Assumptions_&amp;_Inputs'!$I$95,0)-IF(EU$7='Assumptions_&amp;_Inputs'!$I$80,'Assumptions_&amp;_Inputs'!$I$74*'Assumptions_&amp;_Inputs'!$I$85,0)</f>
        <v>0</v>
      </c>
      <c r="EV64" s="32">
        <f>-IF(EV$7=0,'Assumptions_&amp;_Inputs'!$I$95,0)-IF(EV$7='Assumptions_&amp;_Inputs'!$I$80,'Assumptions_&amp;_Inputs'!$I$74*'Assumptions_&amp;_Inputs'!$I$85,0)</f>
        <v>0</v>
      </c>
      <c r="EW64" s="32">
        <f>-IF(EW$7=0,'Assumptions_&amp;_Inputs'!$I$95,0)-IF(EW$7='Assumptions_&amp;_Inputs'!$I$80,'Assumptions_&amp;_Inputs'!$I$74*'Assumptions_&amp;_Inputs'!$I$85,0)</f>
        <v>0</v>
      </c>
      <c r="EX64" s="32">
        <f>-IF(EX$7=0,'Assumptions_&amp;_Inputs'!$I$95,0)-IF(EX$7='Assumptions_&amp;_Inputs'!$I$80,'Assumptions_&amp;_Inputs'!$I$74*'Assumptions_&amp;_Inputs'!$I$85,0)</f>
        <v>0</v>
      </c>
      <c r="EY64" s="32">
        <f>-IF(EY$7=0,'Assumptions_&amp;_Inputs'!$I$95,0)-IF(EY$7='Assumptions_&amp;_Inputs'!$I$80,'Assumptions_&amp;_Inputs'!$I$74*'Assumptions_&amp;_Inputs'!$I$85,0)</f>
        <v>0</v>
      </c>
      <c r="EZ64" s="32">
        <f>-IF(EZ$7=0,'Assumptions_&amp;_Inputs'!$I$95,0)-IF(EZ$7='Assumptions_&amp;_Inputs'!$I$80,'Assumptions_&amp;_Inputs'!$I$74*'Assumptions_&amp;_Inputs'!$I$85,0)</f>
        <v>0</v>
      </c>
      <c r="FA64" s="32">
        <f>-IF(FA$7=0,'Assumptions_&amp;_Inputs'!$I$95,0)-IF(FA$7='Assumptions_&amp;_Inputs'!$I$80,'Assumptions_&amp;_Inputs'!$I$74*'Assumptions_&amp;_Inputs'!$I$85,0)</f>
        <v>0</v>
      </c>
      <c r="FB64" s="32">
        <f>-IF(FB$7=0,'Assumptions_&amp;_Inputs'!$I$95,0)-IF(FB$7='Assumptions_&amp;_Inputs'!$I$80,'Assumptions_&amp;_Inputs'!$I$74*'Assumptions_&amp;_Inputs'!$I$85,0)</f>
        <v>0</v>
      </c>
      <c r="FC64" s="32">
        <f>-IF(FC$7=0,'Assumptions_&amp;_Inputs'!$I$95,0)-IF(FC$7='Assumptions_&amp;_Inputs'!$I$80,'Assumptions_&amp;_Inputs'!$I$74*'Assumptions_&amp;_Inputs'!$I$85,0)</f>
        <v>0</v>
      </c>
      <c r="FD64" s="32">
        <f>-IF(FD$7=0,'Assumptions_&amp;_Inputs'!$I$95,0)-IF(FD$7='Assumptions_&amp;_Inputs'!$I$80,'Assumptions_&amp;_Inputs'!$I$74*'Assumptions_&amp;_Inputs'!$I$85,0)</f>
        <v>0</v>
      </c>
      <c r="FE64" s="32">
        <f>-IF(FE$7=0,'Assumptions_&amp;_Inputs'!$I$95,0)-IF(FE$7='Assumptions_&amp;_Inputs'!$I$80,'Assumptions_&amp;_Inputs'!$I$74*'Assumptions_&amp;_Inputs'!$I$85,0)</f>
        <v>0</v>
      </c>
      <c r="FF64" s="32">
        <f>-IF(FF$7=0,'Assumptions_&amp;_Inputs'!$I$95,0)-IF(FF$7='Assumptions_&amp;_Inputs'!$I$80,'Assumptions_&amp;_Inputs'!$I$74*'Assumptions_&amp;_Inputs'!$I$85,0)</f>
        <v>0</v>
      </c>
      <c r="FG64" s="32">
        <f>-IF(FG$7=0,'Assumptions_&amp;_Inputs'!$I$95,0)-IF(FG$7='Assumptions_&amp;_Inputs'!$I$80,'Assumptions_&amp;_Inputs'!$I$74*'Assumptions_&amp;_Inputs'!$I$85,0)</f>
        <v>0</v>
      </c>
      <c r="FH64" s="32">
        <f>-IF(FH$7=0,'Assumptions_&amp;_Inputs'!$I$95,0)-IF(FH$7='Assumptions_&amp;_Inputs'!$I$80,'Assumptions_&amp;_Inputs'!$I$74*'Assumptions_&amp;_Inputs'!$I$85,0)</f>
        <v>0</v>
      </c>
      <c r="FI64" s="32">
        <f>-IF(FI$7=0,'Assumptions_&amp;_Inputs'!$I$95,0)-IF(FI$7='Assumptions_&amp;_Inputs'!$I$80,'Assumptions_&amp;_Inputs'!$I$74*'Assumptions_&amp;_Inputs'!$I$85,0)</f>
        <v>0</v>
      </c>
      <c r="FJ64" s="32">
        <f>-IF(FJ$7=0,'Assumptions_&amp;_Inputs'!$I$95,0)-IF(FJ$7='Assumptions_&amp;_Inputs'!$I$80,'Assumptions_&amp;_Inputs'!$I$74*'Assumptions_&amp;_Inputs'!$I$85,0)</f>
        <v>0</v>
      </c>
      <c r="FK64" s="32">
        <f>-IF(FK$7=0,'Assumptions_&amp;_Inputs'!$I$95,0)-IF(FK$7='Assumptions_&amp;_Inputs'!$I$80,'Assumptions_&amp;_Inputs'!$I$74*'Assumptions_&amp;_Inputs'!$I$85,0)</f>
        <v>0</v>
      </c>
      <c r="FL64" s="32">
        <f>-IF(FL$7=0,'Assumptions_&amp;_Inputs'!$I$95,0)-IF(FL$7='Assumptions_&amp;_Inputs'!$I$80,'Assumptions_&amp;_Inputs'!$I$74*'Assumptions_&amp;_Inputs'!$I$85,0)</f>
        <v>0</v>
      </c>
      <c r="FM64" s="32">
        <f>-IF(FM$7=0,'Assumptions_&amp;_Inputs'!$I$95,0)-IF(FM$7='Assumptions_&amp;_Inputs'!$I$80,'Assumptions_&amp;_Inputs'!$I$74*'Assumptions_&amp;_Inputs'!$I$85,0)</f>
        <v>0</v>
      </c>
      <c r="FN64" s="32">
        <f>-IF(FN$7=0,'Assumptions_&amp;_Inputs'!$I$95,0)-IF(FN$7='Assumptions_&amp;_Inputs'!$I$80,'Assumptions_&amp;_Inputs'!$I$74*'Assumptions_&amp;_Inputs'!$I$85,0)</f>
        <v>0</v>
      </c>
      <c r="FO64" s="32">
        <f>-IF(FO$7=0,'Assumptions_&amp;_Inputs'!$I$95,0)-IF(FO$7='Assumptions_&amp;_Inputs'!$I$80,'Assumptions_&amp;_Inputs'!$I$74*'Assumptions_&amp;_Inputs'!$I$85,0)</f>
        <v>0</v>
      </c>
      <c r="FP64" s="32">
        <f>-IF(FP$7=0,'Assumptions_&amp;_Inputs'!$I$95,0)-IF(FP$7='Assumptions_&amp;_Inputs'!$I$80,'Assumptions_&amp;_Inputs'!$I$74*'Assumptions_&amp;_Inputs'!$I$85,0)</f>
        <v>0</v>
      </c>
      <c r="FQ64" s="32">
        <f>-IF(FQ$7=0,'Assumptions_&amp;_Inputs'!$I$95,0)-IF(FQ$7='Assumptions_&amp;_Inputs'!$I$80,'Assumptions_&amp;_Inputs'!$I$74*'Assumptions_&amp;_Inputs'!$I$85,0)</f>
        <v>0</v>
      </c>
      <c r="FR64" s="32">
        <f>-IF(FR$7=0,'Assumptions_&amp;_Inputs'!$I$95,0)-IF(FR$7='Assumptions_&amp;_Inputs'!$I$80,'Assumptions_&amp;_Inputs'!$I$74*'Assumptions_&amp;_Inputs'!$I$85,0)</f>
        <v>0</v>
      </c>
      <c r="FS64" s="32">
        <f>-IF(FS$7=0,'Assumptions_&amp;_Inputs'!$I$95,0)-IF(FS$7='Assumptions_&amp;_Inputs'!$I$80,'Assumptions_&amp;_Inputs'!$I$74*'Assumptions_&amp;_Inputs'!$I$85,0)</f>
        <v>0</v>
      </c>
      <c r="FT64" s="32">
        <f>-IF(FT$7=0,'Assumptions_&amp;_Inputs'!$I$95,0)-IF(FT$7='Assumptions_&amp;_Inputs'!$I$80,'Assumptions_&amp;_Inputs'!$I$74*'Assumptions_&amp;_Inputs'!$I$85,0)</f>
        <v>0</v>
      </c>
      <c r="FU64" s="32">
        <f>-IF(FU$7=0,'Assumptions_&amp;_Inputs'!$I$95,0)-IF(FU$7='Assumptions_&amp;_Inputs'!$I$80,'Assumptions_&amp;_Inputs'!$I$74*'Assumptions_&amp;_Inputs'!$I$85,0)</f>
        <v>0</v>
      </c>
      <c r="FV64" s="32">
        <f>-IF(FV$7=0,'Assumptions_&amp;_Inputs'!$I$95,0)-IF(FV$7='Assumptions_&amp;_Inputs'!$I$80,'Assumptions_&amp;_Inputs'!$I$74*'Assumptions_&amp;_Inputs'!$I$85,0)</f>
        <v>0</v>
      </c>
      <c r="FW64" s="32">
        <f>-IF(FW$7=0,'Assumptions_&amp;_Inputs'!$I$95,0)-IF(FW$7='Assumptions_&amp;_Inputs'!$I$80,'Assumptions_&amp;_Inputs'!$I$74*'Assumptions_&amp;_Inputs'!$I$85,0)</f>
        <v>0</v>
      </c>
      <c r="FX64" s="32">
        <f>-IF(FX$7=0,'Assumptions_&amp;_Inputs'!$I$95,0)-IF(FX$7='Assumptions_&amp;_Inputs'!$I$80,'Assumptions_&amp;_Inputs'!$I$74*'Assumptions_&amp;_Inputs'!$I$85,0)</f>
        <v>0</v>
      </c>
      <c r="FY64" s="32">
        <f>-IF(FY$7=0,'Assumptions_&amp;_Inputs'!$I$95,0)-IF(FY$7='Assumptions_&amp;_Inputs'!$I$80,'Assumptions_&amp;_Inputs'!$I$74*'Assumptions_&amp;_Inputs'!$I$85,0)</f>
        <v>0</v>
      </c>
      <c r="FZ64" s="32">
        <f>-IF(FZ$7=0,'Assumptions_&amp;_Inputs'!$I$95,0)-IF(FZ$7='Assumptions_&amp;_Inputs'!$I$80,'Assumptions_&amp;_Inputs'!$I$74*'Assumptions_&amp;_Inputs'!$I$85,0)</f>
        <v>0</v>
      </c>
      <c r="GA64" s="32">
        <f>-IF(GA$7=0,'Assumptions_&amp;_Inputs'!$I$95,0)-IF(GA$7='Assumptions_&amp;_Inputs'!$I$80,'Assumptions_&amp;_Inputs'!$I$74*'Assumptions_&amp;_Inputs'!$I$85,0)</f>
        <v>0</v>
      </c>
      <c r="GB64" s="32">
        <f>-IF(GB$7=0,'Assumptions_&amp;_Inputs'!$I$95,0)-IF(GB$7='Assumptions_&amp;_Inputs'!$I$80,'Assumptions_&amp;_Inputs'!$I$74*'Assumptions_&amp;_Inputs'!$I$85,0)</f>
        <v>0</v>
      </c>
      <c r="GC64" s="32">
        <f>-IF(GC$7=0,'Assumptions_&amp;_Inputs'!$I$95,0)-IF(GC$7='Assumptions_&amp;_Inputs'!$I$80,'Assumptions_&amp;_Inputs'!$I$74*'Assumptions_&amp;_Inputs'!$I$85,0)</f>
        <v>0</v>
      </c>
      <c r="GD64" s="32">
        <f>-IF(GD$7=0,'Assumptions_&amp;_Inputs'!$I$95,0)-IF(GD$7='Assumptions_&amp;_Inputs'!$I$80,'Assumptions_&amp;_Inputs'!$I$74*'Assumptions_&amp;_Inputs'!$I$85,0)</f>
        <v>0</v>
      </c>
      <c r="GE64" s="32">
        <f>-IF(GE$7=0,'Assumptions_&amp;_Inputs'!$I$95,0)-IF(GE$7='Assumptions_&amp;_Inputs'!$I$80,'Assumptions_&amp;_Inputs'!$I$74*'Assumptions_&amp;_Inputs'!$I$85,0)</f>
        <v>0</v>
      </c>
      <c r="GF64" s="32">
        <f>-IF(GF$7=0,'Assumptions_&amp;_Inputs'!$I$95,0)-IF(GF$7='Assumptions_&amp;_Inputs'!$I$80,'Assumptions_&amp;_Inputs'!$I$74*'Assumptions_&amp;_Inputs'!$I$85,0)</f>
        <v>0</v>
      </c>
      <c r="GG64" s="32">
        <f>-IF(GG$7=0,'Assumptions_&amp;_Inputs'!$I$95,0)-IF(GG$7='Assumptions_&amp;_Inputs'!$I$80,'Assumptions_&amp;_Inputs'!$I$74*'Assumptions_&amp;_Inputs'!$I$85,0)</f>
        <v>0</v>
      </c>
      <c r="GH64" s="32">
        <f>-IF(GH$7=0,'Assumptions_&amp;_Inputs'!$I$95,0)-IF(GH$7='Assumptions_&amp;_Inputs'!$I$80,'Assumptions_&amp;_Inputs'!$I$74*'Assumptions_&amp;_Inputs'!$I$85,0)</f>
        <v>0</v>
      </c>
      <c r="GI64" s="32">
        <f>-IF(GI$7=0,'Assumptions_&amp;_Inputs'!$I$95,0)-IF(GI$7='Assumptions_&amp;_Inputs'!$I$80,'Assumptions_&amp;_Inputs'!$I$74*'Assumptions_&amp;_Inputs'!$I$85,0)</f>
        <v>0</v>
      </c>
      <c r="GJ64" s="32">
        <f>-IF(GJ$7=0,'Assumptions_&amp;_Inputs'!$I$95,0)-IF(GJ$7='Assumptions_&amp;_Inputs'!$I$80,'Assumptions_&amp;_Inputs'!$I$74*'Assumptions_&amp;_Inputs'!$I$85,0)</f>
        <v>0</v>
      </c>
      <c r="GK64" s="32">
        <f>-IF(GK$7=0,'Assumptions_&amp;_Inputs'!$I$95,0)-IF(GK$7='Assumptions_&amp;_Inputs'!$I$80,'Assumptions_&amp;_Inputs'!$I$74*'Assumptions_&amp;_Inputs'!$I$85,0)</f>
        <v>0</v>
      </c>
      <c r="GL64" s="32">
        <f>-IF(GL$7=0,'Assumptions_&amp;_Inputs'!$I$95,0)-IF(GL$7='Assumptions_&amp;_Inputs'!$I$80,'Assumptions_&amp;_Inputs'!$I$74*'Assumptions_&amp;_Inputs'!$I$85,0)</f>
        <v>0</v>
      </c>
      <c r="GM64" s="32">
        <f>-IF(GM$7=0,'Assumptions_&amp;_Inputs'!$I$95,0)-IF(GM$7='Assumptions_&amp;_Inputs'!$I$80,'Assumptions_&amp;_Inputs'!$I$74*'Assumptions_&amp;_Inputs'!$I$85,0)</f>
        <v>0</v>
      </c>
      <c r="GN64" s="32"/>
      <c r="GO64" s="32"/>
      <c r="GP64" s="32"/>
      <c r="GQ64" s="27"/>
      <c r="GR64" s="27"/>
      <c r="GS64" s="27"/>
      <c r="GT64" s="27"/>
      <c r="GU64" s="27"/>
      <c r="GV64" s="27"/>
      <c r="GW64" s="27"/>
      <c r="GX64" s="27"/>
      <c r="GY64" s="27"/>
      <c r="GZ64" s="27"/>
      <c r="HA64" s="27"/>
      <c r="HB64" s="27"/>
      <c r="HC64" s="27"/>
      <c r="HD64" s="27"/>
      <c r="HE64" s="27"/>
      <c r="HF64" s="27"/>
      <c r="HG64" s="27"/>
      <c r="HH64" s="27"/>
      <c r="HI64" s="27"/>
      <c r="HJ64" s="27"/>
      <c r="HK64" s="27"/>
      <c r="HL64" s="27"/>
      <c r="HM64" s="27"/>
      <c r="HN64" s="27"/>
      <c r="HO64" s="27"/>
      <c r="HP64" s="27"/>
      <c r="HQ64" s="27"/>
      <c r="HR64" s="27"/>
      <c r="HS64" s="27"/>
      <c r="HT64" s="27"/>
      <c r="HU64" s="27"/>
      <c r="HV64" s="27"/>
      <c r="HW64" s="27"/>
      <c r="HX64" s="27"/>
      <c r="HY64" s="27"/>
      <c r="HZ64" s="27"/>
      <c r="IA64" s="27"/>
      <c r="IB64" s="27"/>
      <c r="IC64" s="27"/>
      <c r="ID64" s="27"/>
      <c r="IE64" s="27"/>
      <c r="IF64" s="27"/>
      <c r="IG64" s="27"/>
      <c r="IH64" s="27"/>
      <c r="II64" s="27"/>
      <c r="IJ64" s="27"/>
      <c r="IK64" s="27"/>
      <c r="IL64" s="27"/>
      <c r="IM64" s="27"/>
      <c r="IN64" s="27"/>
      <c r="IO64" s="27"/>
      <c r="IP64" s="27"/>
      <c r="IQ64" s="27"/>
      <c r="IR64" s="27"/>
      <c r="IS64" s="27"/>
      <c r="IT64" s="27"/>
      <c r="IU64" s="27"/>
      <c r="IV64" s="27"/>
      <c r="IW64" s="27"/>
      <c r="IX64" s="27"/>
      <c r="IY64" s="27"/>
      <c r="IZ64" s="27"/>
      <c r="JA64" s="27"/>
      <c r="JB64" s="27"/>
      <c r="JC64" s="27"/>
      <c r="JD64" s="27"/>
      <c r="JE64" s="27"/>
      <c r="JF64" s="27"/>
      <c r="JG64" s="27"/>
      <c r="JH64" s="27"/>
      <c r="JI64" s="27"/>
      <c r="JJ64" s="27"/>
      <c r="JK64" s="27"/>
      <c r="JL64" s="27"/>
      <c r="JM64" s="27"/>
      <c r="JN64" s="27"/>
      <c r="JO64" s="27"/>
      <c r="JP64" s="27"/>
      <c r="JQ64" s="27"/>
      <c r="JR64" s="27"/>
      <c r="JS64" s="27"/>
      <c r="JT64" s="27"/>
      <c r="JU64" s="27"/>
      <c r="JV64" s="27"/>
      <c r="JW64" s="27"/>
      <c r="JX64" s="27"/>
      <c r="JY64" s="27"/>
      <c r="JZ64" s="27"/>
      <c r="KA64" s="27"/>
      <c r="KB64" s="27"/>
      <c r="KC64" s="27"/>
      <c r="KD64" s="27"/>
      <c r="KE64" s="27"/>
      <c r="KF64" s="27"/>
      <c r="KG64" s="27"/>
      <c r="KH64" s="27"/>
      <c r="KI64" s="27"/>
      <c r="KJ64" s="27"/>
      <c r="KK64" s="27"/>
      <c r="KL64" s="27"/>
      <c r="KM64" s="27"/>
      <c r="KN64" s="27"/>
      <c r="KO64" s="27"/>
      <c r="KP64" s="27"/>
      <c r="KQ64" s="27"/>
      <c r="KR64" s="27"/>
      <c r="KS64" s="27"/>
      <c r="KT64" s="27"/>
      <c r="KU64" s="27"/>
      <c r="KV64" s="27"/>
      <c r="KW64" s="27"/>
      <c r="KX64" s="27"/>
      <c r="KY64" s="27"/>
      <c r="KZ64" s="27"/>
      <c r="LA64" s="27"/>
      <c r="LB64" s="27"/>
      <c r="LC64" s="27"/>
      <c r="LD64" s="27"/>
      <c r="LE64" s="27"/>
      <c r="LF64" s="27"/>
      <c r="LG64" s="27"/>
      <c r="LH64" s="27"/>
      <c r="LI64" s="27"/>
      <c r="LJ64" s="27"/>
      <c r="LK64" s="27"/>
      <c r="LL64" s="27"/>
      <c r="LM64" s="27"/>
      <c r="LN64" s="27"/>
      <c r="LO64" s="27"/>
      <c r="LP64" s="27"/>
      <c r="LQ64" s="27"/>
      <c r="LR64" s="27"/>
      <c r="LS64" s="27"/>
      <c r="LT64" s="27"/>
      <c r="LU64" s="27"/>
      <c r="LV64" s="27"/>
      <c r="LW64" s="27"/>
      <c r="LX64" s="27"/>
      <c r="LY64" s="27"/>
      <c r="LZ64" s="27"/>
      <c r="MA64" s="27"/>
      <c r="MB64" s="27"/>
      <c r="MC64" s="27"/>
      <c r="MD64" s="27"/>
      <c r="ME64" s="27"/>
      <c r="MF64" s="27"/>
      <c r="MG64" s="27"/>
      <c r="MH64" s="27"/>
      <c r="MI64" s="27"/>
      <c r="MJ64" s="27"/>
      <c r="MK64" s="27"/>
      <c r="ML64" s="27"/>
      <c r="MM64" s="27"/>
      <c r="MN64" s="27"/>
      <c r="MO64" s="27"/>
      <c r="MP64" s="27"/>
      <c r="MQ64" s="27"/>
      <c r="MR64" s="27"/>
      <c r="MS64" s="27"/>
      <c r="MT64" s="27"/>
      <c r="MU64" s="27"/>
      <c r="MV64" s="27"/>
      <c r="MW64" s="27"/>
      <c r="MX64" s="27"/>
      <c r="MY64" s="27"/>
      <c r="MZ64" s="27"/>
      <c r="NA64" s="27"/>
      <c r="NB64" s="27"/>
    </row>
    <row r="65" spans="1:366" ht="16" customHeight="1" x14ac:dyDescent="0.15">
      <c r="B65" s="379" t="s">
        <v>297</v>
      </c>
      <c r="C65" s="86" t="s">
        <v>150</v>
      </c>
      <c r="D65" s="380"/>
      <c r="E65" s="381"/>
      <c r="F65" s="382">
        <f>F$54+F$59+SUM(F$61:F$64)</f>
        <v>-6264543.5010060361</v>
      </c>
      <c r="G65" s="383">
        <f t="shared" ref="G65:BR65" si="183">G$54+G$59+SUM(G$61:G$64)</f>
        <v>-49178.706393152665</v>
      </c>
      <c r="H65" s="383">
        <f t="shared" si="183"/>
        <v>-49418.086233259499</v>
      </c>
      <c r="I65" s="383">
        <f t="shared" si="183"/>
        <v>-49658.631266842371</v>
      </c>
      <c r="J65" s="383">
        <f t="shared" si="183"/>
        <v>-49900.347165539453</v>
      </c>
      <c r="K65" s="383">
        <f t="shared" si="183"/>
        <v>-50143.239628595882</v>
      </c>
      <c r="L65" s="383">
        <f t="shared" si="183"/>
        <v>-50387.314382998185</v>
      </c>
      <c r="M65" s="383">
        <f t="shared" si="183"/>
        <v>-50632.577183609275</v>
      </c>
      <c r="N65" s="383">
        <f t="shared" si="183"/>
        <v>-50879.033813304122</v>
      </c>
      <c r="O65" s="383">
        <f t="shared" si="183"/>
        <v>9036.5163503938275</v>
      </c>
      <c r="P65" s="383">
        <f t="shared" si="183"/>
        <v>9036.5163503938275</v>
      </c>
      <c r="Q65" s="383">
        <f t="shared" si="183"/>
        <v>9036.5163503938275</v>
      </c>
      <c r="R65" s="383">
        <f t="shared" si="183"/>
        <v>9036.5163503938275</v>
      </c>
      <c r="S65" s="383">
        <f t="shared" si="183"/>
        <v>9770.4166541229934</v>
      </c>
      <c r="T65" s="383">
        <f t="shared" si="183"/>
        <v>9770.4166541229934</v>
      </c>
      <c r="U65" s="383">
        <f t="shared" si="183"/>
        <v>9770.4166541229934</v>
      </c>
      <c r="V65" s="383">
        <f t="shared" si="183"/>
        <v>9770.4166541229934</v>
      </c>
      <c r="W65" s="383">
        <f t="shared" si="183"/>
        <v>9770.4166541229934</v>
      </c>
      <c r="X65" s="383">
        <f t="shared" si="183"/>
        <v>118421.33429201599</v>
      </c>
      <c r="Y65" s="383">
        <f t="shared" si="183"/>
        <v>8590.1507348824016</v>
      </c>
      <c r="Z65" s="383">
        <f t="shared" si="183"/>
        <v>8590.1507348824016</v>
      </c>
      <c r="AA65" s="383">
        <f t="shared" si="183"/>
        <v>8590.1507348824016</v>
      </c>
      <c r="AB65" s="383">
        <f t="shared" si="183"/>
        <v>8590.1507348824016</v>
      </c>
      <c r="AC65" s="383">
        <f t="shared" si="183"/>
        <v>8590.1507348824016</v>
      </c>
      <c r="AD65" s="383">
        <f t="shared" si="183"/>
        <v>8590.1507348824052</v>
      </c>
      <c r="AE65" s="383">
        <f t="shared" si="183"/>
        <v>9342.8511618297925</v>
      </c>
      <c r="AF65" s="383">
        <f t="shared" si="183"/>
        <v>9342.8511618297889</v>
      </c>
      <c r="AG65" s="383">
        <f t="shared" si="183"/>
        <v>9342.8511618297889</v>
      </c>
      <c r="AH65" s="383">
        <f t="shared" si="183"/>
        <v>9342.8511618297925</v>
      </c>
      <c r="AI65" s="383">
        <f t="shared" si="183"/>
        <v>9342.8511618297889</v>
      </c>
      <c r="AJ65" s="383">
        <f t="shared" si="183"/>
        <v>9342.8511618297925</v>
      </c>
      <c r="AK65" s="383">
        <f t="shared" si="183"/>
        <v>9342.8511618297889</v>
      </c>
      <c r="AL65" s="383">
        <f t="shared" si="183"/>
        <v>9342.8511618297889</v>
      </c>
      <c r="AM65" s="383">
        <f t="shared" si="183"/>
        <v>9342.8511618297925</v>
      </c>
      <c r="AN65" s="383">
        <f t="shared" si="183"/>
        <v>9342.8511618297925</v>
      </c>
      <c r="AO65" s="383">
        <f t="shared" si="183"/>
        <v>9342.8511618297889</v>
      </c>
      <c r="AP65" s="383">
        <f t="shared" si="183"/>
        <v>9342.8511618297889</v>
      </c>
      <c r="AQ65" s="383">
        <f t="shared" si="183"/>
        <v>10114.830767388361</v>
      </c>
      <c r="AR65" s="383">
        <f t="shared" si="183"/>
        <v>10114.830767388361</v>
      </c>
      <c r="AS65" s="383">
        <f t="shared" si="183"/>
        <v>10114.830767388361</v>
      </c>
      <c r="AT65" s="383">
        <f t="shared" si="183"/>
        <v>10114.830767388365</v>
      </c>
      <c r="AU65" s="383">
        <f t="shared" si="183"/>
        <v>10114.830767388361</v>
      </c>
      <c r="AV65" s="383">
        <f t="shared" si="183"/>
        <v>10114.830767388361</v>
      </c>
      <c r="AW65" s="383">
        <f t="shared" si="183"/>
        <v>10114.830767388365</v>
      </c>
      <c r="AX65" s="383">
        <f t="shared" si="183"/>
        <v>10114.830767388361</v>
      </c>
      <c r="AY65" s="383">
        <f t="shared" si="183"/>
        <v>10114.830767388365</v>
      </c>
      <c r="AZ65" s="383">
        <f t="shared" si="183"/>
        <v>10114.830767388365</v>
      </c>
      <c r="BA65" s="383">
        <f t="shared" si="183"/>
        <v>10114.830767388365</v>
      </c>
      <c r="BB65" s="383">
        <f t="shared" si="183"/>
        <v>10114.830767388365</v>
      </c>
      <c r="BC65" s="383">
        <f t="shared" si="183"/>
        <v>10906.580764382164</v>
      </c>
      <c r="BD65" s="383">
        <f t="shared" si="183"/>
        <v>10906.580764382164</v>
      </c>
      <c r="BE65" s="383">
        <f t="shared" si="183"/>
        <v>10906.580764382161</v>
      </c>
      <c r="BF65" s="383">
        <f t="shared" si="183"/>
        <v>10906.580764382161</v>
      </c>
      <c r="BG65" s="383">
        <f t="shared" si="183"/>
        <v>10906.580764382161</v>
      </c>
      <c r="BH65" s="383">
        <f t="shared" si="183"/>
        <v>10906.580764382161</v>
      </c>
      <c r="BI65" s="383">
        <f t="shared" si="183"/>
        <v>10906.580764382161</v>
      </c>
      <c r="BJ65" s="383">
        <f t="shared" si="183"/>
        <v>10906.580764382161</v>
      </c>
      <c r="BK65" s="383">
        <f t="shared" si="183"/>
        <v>10906.580764382161</v>
      </c>
      <c r="BL65" s="383">
        <f t="shared" si="183"/>
        <v>10906.580764382161</v>
      </c>
      <c r="BM65" s="383">
        <f t="shared" si="183"/>
        <v>10906.580764382161</v>
      </c>
      <c r="BN65" s="383">
        <f t="shared" si="183"/>
        <v>10906.580764382164</v>
      </c>
      <c r="BO65" s="383">
        <f t="shared" si="183"/>
        <v>11718.604830622968</v>
      </c>
      <c r="BP65" s="383">
        <f t="shared" si="183"/>
        <v>11718.604830622971</v>
      </c>
      <c r="BQ65" s="383">
        <f t="shared" si="183"/>
        <v>11718.604830622971</v>
      </c>
      <c r="BR65" s="383">
        <f t="shared" si="183"/>
        <v>11718.604830622975</v>
      </c>
      <c r="BS65" s="383">
        <f t="shared" ref="BS65:ED65" si="184">BS$54+BS$59+SUM(BS$61:BS$64)</f>
        <v>11718.604830622971</v>
      </c>
      <c r="BT65" s="383">
        <f t="shared" si="184"/>
        <v>11718.604830622971</v>
      </c>
      <c r="BU65" s="383">
        <f t="shared" si="184"/>
        <v>11718.604830622968</v>
      </c>
      <c r="BV65" s="383">
        <f t="shared" si="184"/>
        <v>11718.604830622971</v>
      </c>
      <c r="BW65" s="383">
        <f t="shared" si="184"/>
        <v>11718.604830622971</v>
      </c>
      <c r="BX65" s="383">
        <f t="shared" si="184"/>
        <v>11718.604830622971</v>
      </c>
      <c r="BY65" s="383">
        <f t="shared" si="184"/>
        <v>11718.604830622971</v>
      </c>
      <c r="BZ65" s="383">
        <f t="shared" si="184"/>
        <v>11718.604830622971</v>
      </c>
      <c r="CA65" s="383">
        <f t="shared" si="184"/>
        <v>12551.419424228414</v>
      </c>
      <c r="CB65" s="383">
        <f t="shared" si="184"/>
        <v>12551.419424228421</v>
      </c>
      <c r="CC65" s="383">
        <f t="shared" si="184"/>
        <v>12551.419424228417</v>
      </c>
      <c r="CD65" s="383">
        <f t="shared" si="184"/>
        <v>12551.419424228421</v>
      </c>
      <c r="CE65" s="383">
        <f t="shared" si="184"/>
        <v>12551.419424228417</v>
      </c>
      <c r="CF65" s="383">
        <f t="shared" si="184"/>
        <v>12551.419424228417</v>
      </c>
      <c r="CG65" s="383">
        <f t="shared" si="184"/>
        <v>12551.419424228421</v>
      </c>
      <c r="CH65" s="383">
        <f t="shared" si="184"/>
        <v>12551.419424228417</v>
      </c>
      <c r="CI65" s="383">
        <f t="shared" si="184"/>
        <v>12551.419424228421</v>
      </c>
      <c r="CJ65" s="383">
        <f t="shared" si="184"/>
        <v>12551.419424228417</v>
      </c>
      <c r="CK65" s="383">
        <f t="shared" si="184"/>
        <v>12551.419424228417</v>
      </c>
      <c r="CL65" s="383">
        <f t="shared" si="184"/>
        <v>12551.419424228421</v>
      </c>
      <c r="CM65" s="383">
        <f t="shared" si="184"/>
        <v>13405.55410689679</v>
      </c>
      <c r="CN65" s="383">
        <f t="shared" si="184"/>
        <v>13405.554106896794</v>
      </c>
      <c r="CO65" s="383">
        <f t="shared" si="184"/>
        <v>13405.55410689679</v>
      </c>
      <c r="CP65" s="383">
        <f t="shared" si="184"/>
        <v>13405.55410689679</v>
      </c>
      <c r="CQ65" s="383">
        <f t="shared" si="184"/>
        <v>13405.55410689679</v>
      </c>
      <c r="CR65" s="383">
        <f t="shared" si="184"/>
        <v>13405.55410689679</v>
      </c>
      <c r="CS65" s="383">
        <f t="shared" si="184"/>
        <v>13405.55410689679</v>
      </c>
      <c r="CT65" s="383">
        <f t="shared" si="184"/>
        <v>13405.55410689679</v>
      </c>
      <c r="CU65" s="383">
        <f t="shared" si="184"/>
        <v>13405.554106896794</v>
      </c>
      <c r="CV65" s="383">
        <f t="shared" si="184"/>
        <v>13405.55410689679</v>
      </c>
      <c r="CW65" s="383">
        <f t="shared" si="184"/>
        <v>13405.55410689679</v>
      </c>
      <c r="CX65" s="383">
        <f t="shared" si="184"/>
        <v>13405.554106896794</v>
      </c>
      <c r="CY65" s="383">
        <f t="shared" si="184"/>
        <v>14281.551875339126</v>
      </c>
      <c r="CZ65" s="383">
        <f t="shared" si="184"/>
        <v>14281.551875339126</v>
      </c>
      <c r="DA65" s="383">
        <f t="shared" si="184"/>
        <v>14281.55187533913</v>
      </c>
      <c r="DB65" s="383">
        <f t="shared" si="184"/>
        <v>14281.551875339126</v>
      </c>
      <c r="DC65" s="383">
        <f t="shared" si="184"/>
        <v>14281.551875339126</v>
      </c>
      <c r="DD65" s="383">
        <f t="shared" si="184"/>
        <v>14281.551875339126</v>
      </c>
      <c r="DE65" s="383">
        <f t="shared" si="184"/>
        <v>14281.55187533913</v>
      </c>
      <c r="DF65" s="383">
        <f t="shared" si="184"/>
        <v>14281.551875339126</v>
      </c>
      <c r="DG65" s="383">
        <f t="shared" si="184"/>
        <v>14281.551875339126</v>
      </c>
      <c r="DH65" s="383">
        <f t="shared" si="184"/>
        <v>14281.551875339126</v>
      </c>
      <c r="DI65" s="383">
        <f t="shared" si="184"/>
        <v>14281.551875339126</v>
      </c>
      <c r="DJ65" s="383">
        <f t="shared" si="184"/>
        <v>14281.551875339126</v>
      </c>
      <c r="DK65" s="383">
        <f t="shared" si="184"/>
        <v>15179.969501073909</v>
      </c>
      <c r="DL65" s="383">
        <f t="shared" si="184"/>
        <v>15179.969501073909</v>
      </c>
      <c r="DM65" s="383">
        <f t="shared" si="184"/>
        <v>15179.969501073909</v>
      </c>
      <c r="DN65" s="383">
        <f t="shared" si="184"/>
        <v>15179.969501073909</v>
      </c>
      <c r="DO65" s="383">
        <f t="shared" si="184"/>
        <v>15179.969501073909</v>
      </c>
      <c r="DP65" s="383">
        <f t="shared" si="184"/>
        <v>15179.969501073909</v>
      </c>
      <c r="DQ65" s="383">
        <f t="shared" si="184"/>
        <v>15179.969501073905</v>
      </c>
      <c r="DR65" s="383">
        <f t="shared" si="184"/>
        <v>15179.969501073901</v>
      </c>
      <c r="DS65" s="383">
        <f t="shared" si="184"/>
        <v>15179.969501073905</v>
      </c>
      <c r="DT65" s="383">
        <f t="shared" si="184"/>
        <v>15179.969501073905</v>
      </c>
      <c r="DU65" s="383">
        <f t="shared" si="184"/>
        <v>15179.969501073909</v>
      </c>
      <c r="DV65" s="383">
        <f t="shared" si="184"/>
        <v>4033743.9279504158</v>
      </c>
      <c r="DW65" s="383">
        <f t="shared" si="184"/>
        <v>0</v>
      </c>
      <c r="DX65" s="383">
        <f t="shared" si="184"/>
        <v>0</v>
      </c>
      <c r="DY65" s="383">
        <f t="shared" si="184"/>
        <v>0</v>
      </c>
      <c r="DZ65" s="383">
        <f t="shared" si="184"/>
        <v>0</v>
      </c>
      <c r="EA65" s="383">
        <f t="shared" si="184"/>
        <v>0</v>
      </c>
      <c r="EB65" s="383">
        <f t="shared" si="184"/>
        <v>0</v>
      </c>
      <c r="EC65" s="383">
        <f t="shared" si="184"/>
        <v>0</v>
      </c>
      <c r="ED65" s="383">
        <f t="shared" si="184"/>
        <v>0</v>
      </c>
      <c r="EE65" s="383">
        <f t="shared" ref="EE65:GM65" si="185">EE$54+EE$59+SUM(EE$61:EE$64)</f>
        <v>0</v>
      </c>
      <c r="EF65" s="383">
        <f t="shared" si="185"/>
        <v>0</v>
      </c>
      <c r="EG65" s="383">
        <f t="shared" si="185"/>
        <v>0</v>
      </c>
      <c r="EH65" s="383">
        <f t="shared" si="185"/>
        <v>0</v>
      </c>
      <c r="EI65" s="383">
        <f t="shared" si="185"/>
        <v>0</v>
      </c>
      <c r="EJ65" s="383">
        <f t="shared" si="185"/>
        <v>0</v>
      </c>
      <c r="EK65" s="383">
        <f t="shared" si="185"/>
        <v>0</v>
      </c>
      <c r="EL65" s="383">
        <f t="shared" si="185"/>
        <v>0</v>
      </c>
      <c r="EM65" s="383">
        <f t="shared" si="185"/>
        <v>0</v>
      </c>
      <c r="EN65" s="383">
        <f t="shared" si="185"/>
        <v>0</v>
      </c>
      <c r="EO65" s="383">
        <f t="shared" si="185"/>
        <v>0</v>
      </c>
      <c r="EP65" s="383">
        <f t="shared" si="185"/>
        <v>0</v>
      </c>
      <c r="EQ65" s="383">
        <f t="shared" si="185"/>
        <v>0</v>
      </c>
      <c r="ER65" s="383">
        <f t="shared" si="185"/>
        <v>0</v>
      </c>
      <c r="ES65" s="383">
        <f t="shared" si="185"/>
        <v>0</v>
      </c>
      <c r="ET65" s="383">
        <f t="shared" si="185"/>
        <v>0</v>
      </c>
      <c r="EU65" s="383">
        <f t="shared" si="185"/>
        <v>0</v>
      </c>
      <c r="EV65" s="383">
        <f t="shared" si="185"/>
        <v>0</v>
      </c>
      <c r="EW65" s="383">
        <f t="shared" si="185"/>
        <v>0</v>
      </c>
      <c r="EX65" s="383">
        <f t="shared" si="185"/>
        <v>0</v>
      </c>
      <c r="EY65" s="383">
        <f t="shared" si="185"/>
        <v>0</v>
      </c>
      <c r="EZ65" s="383">
        <f t="shared" si="185"/>
        <v>0</v>
      </c>
      <c r="FA65" s="383">
        <f t="shared" si="185"/>
        <v>0</v>
      </c>
      <c r="FB65" s="383">
        <f t="shared" si="185"/>
        <v>0</v>
      </c>
      <c r="FC65" s="383">
        <f t="shared" si="185"/>
        <v>0</v>
      </c>
      <c r="FD65" s="383">
        <f t="shared" si="185"/>
        <v>0</v>
      </c>
      <c r="FE65" s="383">
        <f t="shared" si="185"/>
        <v>0</v>
      </c>
      <c r="FF65" s="383">
        <f t="shared" si="185"/>
        <v>0</v>
      </c>
      <c r="FG65" s="383">
        <f t="shared" si="185"/>
        <v>0</v>
      </c>
      <c r="FH65" s="383">
        <f t="shared" si="185"/>
        <v>0</v>
      </c>
      <c r="FI65" s="383">
        <f t="shared" si="185"/>
        <v>0</v>
      </c>
      <c r="FJ65" s="383">
        <f t="shared" si="185"/>
        <v>0</v>
      </c>
      <c r="FK65" s="383">
        <f t="shared" si="185"/>
        <v>0</v>
      </c>
      <c r="FL65" s="383">
        <f t="shared" si="185"/>
        <v>0</v>
      </c>
      <c r="FM65" s="383">
        <f t="shared" si="185"/>
        <v>0</v>
      </c>
      <c r="FN65" s="383">
        <f t="shared" si="185"/>
        <v>0</v>
      </c>
      <c r="FO65" s="383">
        <f t="shared" si="185"/>
        <v>0</v>
      </c>
      <c r="FP65" s="383">
        <f t="shared" si="185"/>
        <v>0</v>
      </c>
      <c r="FQ65" s="383">
        <f t="shared" si="185"/>
        <v>0</v>
      </c>
      <c r="FR65" s="383">
        <f t="shared" si="185"/>
        <v>0</v>
      </c>
      <c r="FS65" s="383">
        <f t="shared" si="185"/>
        <v>0</v>
      </c>
      <c r="FT65" s="383">
        <f t="shared" si="185"/>
        <v>0</v>
      </c>
      <c r="FU65" s="383">
        <f t="shared" si="185"/>
        <v>0</v>
      </c>
      <c r="FV65" s="383">
        <f t="shared" si="185"/>
        <v>0</v>
      </c>
      <c r="FW65" s="383">
        <f t="shared" si="185"/>
        <v>0</v>
      </c>
      <c r="FX65" s="383">
        <f t="shared" si="185"/>
        <v>0</v>
      </c>
      <c r="FY65" s="383">
        <f t="shared" si="185"/>
        <v>0</v>
      </c>
      <c r="FZ65" s="383">
        <f t="shared" si="185"/>
        <v>0</v>
      </c>
      <c r="GA65" s="383">
        <f t="shared" si="185"/>
        <v>0</v>
      </c>
      <c r="GB65" s="383">
        <f t="shared" si="185"/>
        <v>0</v>
      </c>
      <c r="GC65" s="383">
        <f t="shared" si="185"/>
        <v>0</v>
      </c>
      <c r="GD65" s="383">
        <f t="shared" si="185"/>
        <v>0</v>
      </c>
      <c r="GE65" s="383">
        <f t="shared" si="185"/>
        <v>0</v>
      </c>
      <c r="GF65" s="383">
        <f t="shared" si="185"/>
        <v>0</v>
      </c>
      <c r="GG65" s="383">
        <f t="shared" si="185"/>
        <v>0</v>
      </c>
      <c r="GH65" s="383">
        <f t="shared" si="185"/>
        <v>0</v>
      </c>
      <c r="GI65" s="383">
        <f t="shared" si="185"/>
        <v>0</v>
      </c>
      <c r="GJ65" s="383">
        <f t="shared" si="185"/>
        <v>0</v>
      </c>
      <c r="GK65" s="383">
        <f t="shared" si="185"/>
        <v>0</v>
      </c>
      <c r="GL65" s="383">
        <f t="shared" si="185"/>
        <v>0</v>
      </c>
      <c r="GM65" s="383">
        <f t="shared" si="185"/>
        <v>0</v>
      </c>
      <c r="GN65" s="383"/>
      <c r="GO65" s="383"/>
      <c r="GP65" s="383"/>
    </row>
    <row r="66" spans="1:366" ht="16" customHeight="1" x14ac:dyDescent="0.15">
      <c r="B66" s="71" t="s">
        <v>298</v>
      </c>
      <c r="C66" s="312" t="s">
        <v>150</v>
      </c>
      <c r="D66" s="95"/>
      <c r="E66" s="3"/>
      <c r="F66" s="32">
        <f>F$75</f>
        <v>3588310.1006036219</v>
      </c>
      <c r="G66" s="32">
        <f t="shared" ref="G66:BR66" si="186">G$75</f>
        <v>49178.706393152665</v>
      </c>
      <c r="H66" s="32">
        <f t="shared" si="186"/>
        <v>49418.086233259499</v>
      </c>
      <c r="I66" s="32">
        <f t="shared" si="186"/>
        <v>49658.631266842371</v>
      </c>
      <c r="J66" s="32">
        <f t="shared" si="186"/>
        <v>49900.347165539453</v>
      </c>
      <c r="K66" s="32">
        <f t="shared" si="186"/>
        <v>50143.239628595882</v>
      </c>
      <c r="L66" s="32">
        <f t="shared" si="186"/>
        <v>50387.314382998185</v>
      </c>
      <c r="M66" s="32">
        <f t="shared" si="186"/>
        <v>50632.577183609275</v>
      </c>
      <c r="N66" s="32">
        <f t="shared" si="186"/>
        <v>50879.033813304122</v>
      </c>
      <c r="O66" s="32">
        <f t="shared" si="186"/>
        <v>0</v>
      </c>
      <c r="P66" s="32">
        <f t="shared" si="186"/>
        <v>0</v>
      </c>
      <c r="Q66" s="32">
        <f t="shared" si="186"/>
        <v>0</v>
      </c>
      <c r="R66" s="32">
        <f t="shared" si="186"/>
        <v>0</v>
      </c>
      <c r="S66" s="32">
        <f t="shared" si="186"/>
        <v>0</v>
      </c>
      <c r="T66" s="32">
        <f t="shared" si="186"/>
        <v>0</v>
      </c>
      <c r="U66" s="32">
        <f t="shared" si="186"/>
        <v>0</v>
      </c>
      <c r="V66" s="32">
        <f t="shared" si="186"/>
        <v>0</v>
      </c>
      <c r="W66" s="32">
        <f t="shared" si="186"/>
        <v>0</v>
      </c>
      <c r="X66" s="32">
        <f t="shared" si="186"/>
        <v>0</v>
      </c>
      <c r="Y66" s="32">
        <f t="shared" si="186"/>
        <v>0</v>
      </c>
      <c r="Z66" s="32">
        <f t="shared" si="186"/>
        <v>0</v>
      </c>
      <c r="AA66" s="32">
        <f t="shared" si="186"/>
        <v>0</v>
      </c>
      <c r="AB66" s="32">
        <f t="shared" si="186"/>
        <v>0</v>
      </c>
      <c r="AC66" s="32">
        <f t="shared" si="186"/>
        <v>0</v>
      </c>
      <c r="AD66" s="32">
        <f t="shared" si="186"/>
        <v>0</v>
      </c>
      <c r="AE66" s="32">
        <f t="shared" si="186"/>
        <v>0</v>
      </c>
      <c r="AF66" s="32">
        <f t="shared" si="186"/>
        <v>0</v>
      </c>
      <c r="AG66" s="32">
        <f t="shared" si="186"/>
        <v>0</v>
      </c>
      <c r="AH66" s="32">
        <f t="shared" si="186"/>
        <v>0</v>
      </c>
      <c r="AI66" s="32">
        <f t="shared" si="186"/>
        <v>0</v>
      </c>
      <c r="AJ66" s="32">
        <f t="shared" si="186"/>
        <v>0</v>
      </c>
      <c r="AK66" s="32">
        <f t="shared" si="186"/>
        <v>0</v>
      </c>
      <c r="AL66" s="32">
        <f t="shared" si="186"/>
        <v>0</v>
      </c>
      <c r="AM66" s="32">
        <f t="shared" si="186"/>
        <v>0</v>
      </c>
      <c r="AN66" s="32">
        <f t="shared" si="186"/>
        <v>0</v>
      </c>
      <c r="AO66" s="32">
        <f t="shared" si="186"/>
        <v>0</v>
      </c>
      <c r="AP66" s="32">
        <f t="shared" si="186"/>
        <v>0</v>
      </c>
      <c r="AQ66" s="32">
        <f t="shared" si="186"/>
        <v>0</v>
      </c>
      <c r="AR66" s="32">
        <f t="shared" si="186"/>
        <v>0</v>
      </c>
      <c r="AS66" s="32">
        <f t="shared" si="186"/>
        <v>0</v>
      </c>
      <c r="AT66" s="32">
        <f t="shared" si="186"/>
        <v>0</v>
      </c>
      <c r="AU66" s="32">
        <f t="shared" si="186"/>
        <v>0</v>
      </c>
      <c r="AV66" s="32">
        <f t="shared" si="186"/>
        <v>0</v>
      </c>
      <c r="AW66" s="32">
        <f t="shared" si="186"/>
        <v>0</v>
      </c>
      <c r="AX66" s="32">
        <f t="shared" si="186"/>
        <v>0</v>
      </c>
      <c r="AY66" s="32">
        <f t="shared" si="186"/>
        <v>0</v>
      </c>
      <c r="AZ66" s="32">
        <f t="shared" si="186"/>
        <v>0</v>
      </c>
      <c r="BA66" s="32">
        <f t="shared" si="186"/>
        <v>0</v>
      </c>
      <c r="BB66" s="32">
        <f t="shared" si="186"/>
        <v>0</v>
      </c>
      <c r="BC66" s="32">
        <f t="shared" si="186"/>
        <v>0</v>
      </c>
      <c r="BD66" s="32">
        <f t="shared" si="186"/>
        <v>0</v>
      </c>
      <c r="BE66" s="32">
        <f t="shared" si="186"/>
        <v>0</v>
      </c>
      <c r="BF66" s="32">
        <f t="shared" si="186"/>
        <v>0</v>
      </c>
      <c r="BG66" s="32">
        <f t="shared" si="186"/>
        <v>0</v>
      </c>
      <c r="BH66" s="32">
        <f t="shared" si="186"/>
        <v>0</v>
      </c>
      <c r="BI66" s="32">
        <f t="shared" si="186"/>
        <v>0</v>
      </c>
      <c r="BJ66" s="32">
        <f t="shared" si="186"/>
        <v>0</v>
      </c>
      <c r="BK66" s="32">
        <f t="shared" si="186"/>
        <v>0</v>
      </c>
      <c r="BL66" s="32">
        <f t="shared" si="186"/>
        <v>0</v>
      </c>
      <c r="BM66" s="32">
        <f t="shared" si="186"/>
        <v>0</v>
      </c>
      <c r="BN66" s="32">
        <f t="shared" si="186"/>
        <v>0</v>
      </c>
      <c r="BO66" s="32">
        <f t="shared" si="186"/>
        <v>0</v>
      </c>
      <c r="BP66" s="32">
        <f t="shared" si="186"/>
        <v>0</v>
      </c>
      <c r="BQ66" s="32">
        <f t="shared" si="186"/>
        <v>0</v>
      </c>
      <c r="BR66" s="32">
        <f t="shared" si="186"/>
        <v>0</v>
      </c>
      <c r="BS66" s="32">
        <f t="shared" ref="BS66:ED66" si="187">BS$75</f>
        <v>0</v>
      </c>
      <c r="BT66" s="32">
        <f t="shared" si="187"/>
        <v>0</v>
      </c>
      <c r="BU66" s="32">
        <f t="shared" si="187"/>
        <v>0</v>
      </c>
      <c r="BV66" s="32">
        <f t="shared" si="187"/>
        <v>0</v>
      </c>
      <c r="BW66" s="32">
        <f t="shared" si="187"/>
        <v>0</v>
      </c>
      <c r="BX66" s="32">
        <f t="shared" si="187"/>
        <v>0</v>
      </c>
      <c r="BY66" s="32">
        <f t="shared" si="187"/>
        <v>0</v>
      </c>
      <c r="BZ66" s="32">
        <f t="shared" si="187"/>
        <v>0</v>
      </c>
      <c r="CA66" s="32">
        <f t="shared" si="187"/>
        <v>0</v>
      </c>
      <c r="CB66" s="32">
        <f t="shared" si="187"/>
        <v>0</v>
      </c>
      <c r="CC66" s="32">
        <f t="shared" si="187"/>
        <v>0</v>
      </c>
      <c r="CD66" s="32">
        <f t="shared" si="187"/>
        <v>0</v>
      </c>
      <c r="CE66" s="32">
        <f t="shared" si="187"/>
        <v>0</v>
      </c>
      <c r="CF66" s="32">
        <f t="shared" si="187"/>
        <v>0</v>
      </c>
      <c r="CG66" s="32">
        <f t="shared" si="187"/>
        <v>0</v>
      </c>
      <c r="CH66" s="32">
        <f t="shared" si="187"/>
        <v>0</v>
      </c>
      <c r="CI66" s="32">
        <f t="shared" si="187"/>
        <v>0</v>
      </c>
      <c r="CJ66" s="32">
        <f t="shared" si="187"/>
        <v>0</v>
      </c>
      <c r="CK66" s="32">
        <f t="shared" si="187"/>
        <v>0</v>
      </c>
      <c r="CL66" s="32">
        <f t="shared" si="187"/>
        <v>0</v>
      </c>
      <c r="CM66" s="32">
        <f t="shared" si="187"/>
        <v>0</v>
      </c>
      <c r="CN66" s="32">
        <f t="shared" si="187"/>
        <v>0</v>
      </c>
      <c r="CO66" s="32">
        <f t="shared" si="187"/>
        <v>0</v>
      </c>
      <c r="CP66" s="32">
        <f t="shared" si="187"/>
        <v>0</v>
      </c>
      <c r="CQ66" s="32">
        <f t="shared" si="187"/>
        <v>0</v>
      </c>
      <c r="CR66" s="32">
        <f t="shared" si="187"/>
        <v>0</v>
      </c>
      <c r="CS66" s="32">
        <f t="shared" si="187"/>
        <v>0</v>
      </c>
      <c r="CT66" s="32">
        <f t="shared" si="187"/>
        <v>0</v>
      </c>
      <c r="CU66" s="32">
        <f t="shared" si="187"/>
        <v>0</v>
      </c>
      <c r="CV66" s="32">
        <f t="shared" si="187"/>
        <v>0</v>
      </c>
      <c r="CW66" s="32">
        <f t="shared" si="187"/>
        <v>0</v>
      </c>
      <c r="CX66" s="32">
        <f t="shared" si="187"/>
        <v>0</v>
      </c>
      <c r="CY66" s="32">
        <f t="shared" si="187"/>
        <v>0</v>
      </c>
      <c r="CZ66" s="32">
        <f t="shared" si="187"/>
        <v>0</v>
      </c>
      <c r="DA66" s="32">
        <f t="shared" si="187"/>
        <v>0</v>
      </c>
      <c r="DB66" s="32">
        <f t="shared" si="187"/>
        <v>0</v>
      </c>
      <c r="DC66" s="32">
        <f t="shared" si="187"/>
        <v>0</v>
      </c>
      <c r="DD66" s="32">
        <f t="shared" si="187"/>
        <v>0</v>
      </c>
      <c r="DE66" s="32">
        <f t="shared" si="187"/>
        <v>0</v>
      </c>
      <c r="DF66" s="32">
        <f t="shared" si="187"/>
        <v>0</v>
      </c>
      <c r="DG66" s="32">
        <f t="shared" si="187"/>
        <v>0</v>
      </c>
      <c r="DH66" s="32">
        <f t="shared" si="187"/>
        <v>0</v>
      </c>
      <c r="DI66" s="32">
        <f t="shared" si="187"/>
        <v>0</v>
      </c>
      <c r="DJ66" s="32">
        <f t="shared" si="187"/>
        <v>0</v>
      </c>
      <c r="DK66" s="32">
        <f t="shared" si="187"/>
        <v>0</v>
      </c>
      <c r="DL66" s="32">
        <f t="shared" si="187"/>
        <v>0</v>
      </c>
      <c r="DM66" s="32">
        <f t="shared" si="187"/>
        <v>0</v>
      </c>
      <c r="DN66" s="32">
        <f t="shared" si="187"/>
        <v>0</v>
      </c>
      <c r="DO66" s="32">
        <f t="shared" si="187"/>
        <v>0</v>
      </c>
      <c r="DP66" s="32">
        <f t="shared" si="187"/>
        <v>0</v>
      </c>
      <c r="DQ66" s="32">
        <f t="shared" si="187"/>
        <v>0</v>
      </c>
      <c r="DR66" s="32">
        <f t="shared" si="187"/>
        <v>0</v>
      </c>
      <c r="DS66" s="32">
        <f t="shared" si="187"/>
        <v>0</v>
      </c>
      <c r="DT66" s="32">
        <f t="shared" si="187"/>
        <v>0</v>
      </c>
      <c r="DU66" s="32">
        <f t="shared" si="187"/>
        <v>0</v>
      </c>
      <c r="DV66" s="32">
        <f t="shared" si="187"/>
        <v>0</v>
      </c>
      <c r="DW66" s="32">
        <f t="shared" si="187"/>
        <v>0</v>
      </c>
      <c r="DX66" s="32">
        <f t="shared" si="187"/>
        <v>0</v>
      </c>
      <c r="DY66" s="32">
        <f t="shared" si="187"/>
        <v>0</v>
      </c>
      <c r="DZ66" s="32">
        <f t="shared" si="187"/>
        <v>0</v>
      </c>
      <c r="EA66" s="32">
        <f t="shared" si="187"/>
        <v>0</v>
      </c>
      <c r="EB66" s="32">
        <f t="shared" si="187"/>
        <v>0</v>
      </c>
      <c r="EC66" s="32">
        <f t="shared" si="187"/>
        <v>0</v>
      </c>
      <c r="ED66" s="32">
        <f t="shared" si="187"/>
        <v>0</v>
      </c>
      <c r="EE66" s="32">
        <f t="shared" ref="EE66:GM66" si="188">EE$75</f>
        <v>0</v>
      </c>
      <c r="EF66" s="32">
        <f t="shared" si="188"/>
        <v>0</v>
      </c>
      <c r="EG66" s="32">
        <f t="shared" si="188"/>
        <v>0</v>
      </c>
      <c r="EH66" s="32">
        <f t="shared" si="188"/>
        <v>0</v>
      </c>
      <c r="EI66" s="32">
        <f t="shared" si="188"/>
        <v>0</v>
      </c>
      <c r="EJ66" s="32">
        <f t="shared" si="188"/>
        <v>0</v>
      </c>
      <c r="EK66" s="32">
        <f t="shared" si="188"/>
        <v>0</v>
      </c>
      <c r="EL66" s="32">
        <f t="shared" si="188"/>
        <v>0</v>
      </c>
      <c r="EM66" s="32">
        <f t="shared" si="188"/>
        <v>0</v>
      </c>
      <c r="EN66" s="32">
        <f t="shared" si="188"/>
        <v>0</v>
      </c>
      <c r="EO66" s="32">
        <f t="shared" si="188"/>
        <v>0</v>
      </c>
      <c r="EP66" s="32">
        <f t="shared" si="188"/>
        <v>0</v>
      </c>
      <c r="EQ66" s="32">
        <f t="shared" si="188"/>
        <v>0</v>
      </c>
      <c r="ER66" s="32">
        <f t="shared" si="188"/>
        <v>0</v>
      </c>
      <c r="ES66" s="32">
        <f t="shared" si="188"/>
        <v>0</v>
      </c>
      <c r="ET66" s="32">
        <f t="shared" si="188"/>
        <v>0</v>
      </c>
      <c r="EU66" s="32">
        <f t="shared" si="188"/>
        <v>0</v>
      </c>
      <c r="EV66" s="32">
        <f t="shared" si="188"/>
        <v>0</v>
      </c>
      <c r="EW66" s="32">
        <f t="shared" si="188"/>
        <v>0</v>
      </c>
      <c r="EX66" s="32">
        <f t="shared" si="188"/>
        <v>0</v>
      </c>
      <c r="EY66" s="32">
        <f t="shared" si="188"/>
        <v>0</v>
      </c>
      <c r="EZ66" s="32">
        <f t="shared" si="188"/>
        <v>0</v>
      </c>
      <c r="FA66" s="32">
        <f t="shared" si="188"/>
        <v>0</v>
      </c>
      <c r="FB66" s="32">
        <f t="shared" si="188"/>
        <v>0</v>
      </c>
      <c r="FC66" s="32">
        <f t="shared" si="188"/>
        <v>0</v>
      </c>
      <c r="FD66" s="32">
        <f t="shared" si="188"/>
        <v>0</v>
      </c>
      <c r="FE66" s="32">
        <f t="shared" si="188"/>
        <v>0</v>
      </c>
      <c r="FF66" s="32">
        <f t="shared" si="188"/>
        <v>0</v>
      </c>
      <c r="FG66" s="32">
        <f t="shared" si="188"/>
        <v>0</v>
      </c>
      <c r="FH66" s="32">
        <f t="shared" si="188"/>
        <v>0</v>
      </c>
      <c r="FI66" s="32">
        <f t="shared" si="188"/>
        <v>0</v>
      </c>
      <c r="FJ66" s="32">
        <f t="shared" si="188"/>
        <v>0</v>
      </c>
      <c r="FK66" s="32">
        <f t="shared" si="188"/>
        <v>0</v>
      </c>
      <c r="FL66" s="32">
        <f t="shared" si="188"/>
        <v>0</v>
      </c>
      <c r="FM66" s="32">
        <f t="shared" si="188"/>
        <v>0</v>
      </c>
      <c r="FN66" s="32">
        <f t="shared" si="188"/>
        <v>0</v>
      </c>
      <c r="FO66" s="32">
        <f t="shared" si="188"/>
        <v>0</v>
      </c>
      <c r="FP66" s="32">
        <f t="shared" si="188"/>
        <v>0</v>
      </c>
      <c r="FQ66" s="32">
        <f t="shared" si="188"/>
        <v>0</v>
      </c>
      <c r="FR66" s="32">
        <f t="shared" si="188"/>
        <v>0</v>
      </c>
      <c r="FS66" s="32">
        <f t="shared" si="188"/>
        <v>0</v>
      </c>
      <c r="FT66" s="32">
        <f t="shared" si="188"/>
        <v>0</v>
      </c>
      <c r="FU66" s="32">
        <f t="shared" si="188"/>
        <v>0</v>
      </c>
      <c r="FV66" s="32">
        <f t="shared" si="188"/>
        <v>0</v>
      </c>
      <c r="FW66" s="32">
        <f t="shared" si="188"/>
        <v>0</v>
      </c>
      <c r="FX66" s="32">
        <f t="shared" si="188"/>
        <v>0</v>
      </c>
      <c r="FY66" s="32">
        <f t="shared" si="188"/>
        <v>0</v>
      </c>
      <c r="FZ66" s="32">
        <f t="shared" si="188"/>
        <v>0</v>
      </c>
      <c r="GA66" s="32">
        <f t="shared" si="188"/>
        <v>0</v>
      </c>
      <c r="GB66" s="32">
        <f t="shared" si="188"/>
        <v>0</v>
      </c>
      <c r="GC66" s="32">
        <f t="shared" si="188"/>
        <v>0</v>
      </c>
      <c r="GD66" s="32">
        <f t="shared" si="188"/>
        <v>0</v>
      </c>
      <c r="GE66" s="32">
        <f t="shared" si="188"/>
        <v>0</v>
      </c>
      <c r="GF66" s="32">
        <f t="shared" si="188"/>
        <v>0</v>
      </c>
      <c r="GG66" s="32">
        <f t="shared" si="188"/>
        <v>0</v>
      </c>
      <c r="GH66" s="32">
        <f t="shared" si="188"/>
        <v>0</v>
      </c>
      <c r="GI66" s="32">
        <f t="shared" si="188"/>
        <v>0</v>
      </c>
      <c r="GJ66" s="32">
        <f t="shared" si="188"/>
        <v>0</v>
      </c>
      <c r="GK66" s="32">
        <f t="shared" si="188"/>
        <v>0</v>
      </c>
      <c r="GL66" s="32">
        <f t="shared" si="188"/>
        <v>0</v>
      </c>
      <c r="GM66" s="32">
        <f t="shared" si="188"/>
        <v>0</v>
      </c>
      <c r="GN66" s="32"/>
      <c r="GO66" s="32"/>
      <c r="GP66" s="32"/>
      <c r="GQ66" s="27"/>
      <c r="GR66" s="27"/>
      <c r="GS66" s="27"/>
      <c r="GT66" s="27"/>
      <c r="GU66" s="27"/>
      <c r="GV66" s="27"/>
      <c r="GW66" s="27"/>
      <c r="GX66" s="27"/>
      <c r="GY66" s="27"/>
      <c r="GZ66" s="27"/>
      <c r="HA66" s="27"/>
      <c r="HB66" s="27"/>
      <c r="HC66" s="27"/>
      <c r="HD66" s="27"/>
      <c r="HE66" s="27"/>
      <c r="HF66" s="27"/>
      <c r="HG66" s="27"/>
      <c r="HH66" s="27"/>
      <c r="HI66" s="27"/>
      <c r="HJ66" s="27"/>
      <c r="HK66" s="27"/>
      <c r="HL66" s="27"/>
      <c r="HM66" s="27"/>
      <c r="HN66" s="27"/>
      <c r="HO66" s="27"/>
      <c r="HP66" s="27"/>
      <c r="HQ66" s="27"/>
      <c r="HR66" s="27"/>
      <c r="HS66" s="27"/>
      <c r="HT66" s="27"/>
      <c r="HU66" s="27"/>
      <c r="HV66" s="27"/>
      <c r="HW66" s="27"/>
      <c r="HX66" s="27"/>
      <c r="HY66" s="27"/>
      <c r="HZ66" s="27"/>
      <c r="IA66" s="27"/>
      <c r="IB66" s="27"/>
      <c r="IC66" s="27"/>
      <c r="ID66" s="27"/>
      <c r="IE66" s="27"/>
      <c r="IF66" s="27"/>
      <c r="IG66" s="27"/>
      <c r="IH66" s="27"/>
      <c r="II66" s="27"/>
      <c r="IJ66" s="27"/>
      <c r="IK66" s="27"/>
      <c r="IL66" s="27"/>
      <c r="IM66" s="27"/>
      <c r="IN66" s="27"/>
      <c r="IO66" s="27"/>
      <c r="IP66" s="27"/>
      <c r="IQ66" s="27"/>
      <c r="IR66" s="27"/>
      <c r="IS66" s="27"/>
      <c r="IT66" s="27"/>
      <c r="IU66" s="27"/>
      <c r="IV66" s="27"/>
      <c r="IW66" s="27"/>
      <c r="IX66" s="27"/>
      <c r="IY66" s="27"/>
      <c r="IZ66" s="27"/>
      <c r="JA66" s="27"/>
      <c r="JB66" s="27"/>
      <c r="JC66" s="27"/>
      <c r="JD66" s="27"/>
      <c r="JE66" s="27"/>
      <c r="JF66" s="27"/>
      <c r="JG66" s="27"/>
      <c r="JH66" s="27"/>
      <c r="JI66" s="27"/>
      <c r="JJ66" s="27"/>
      <c r="JK66" s="27"/>
      <c r="JL66" s="27"/>
      <c r="JM66" s="27"/>
      <c r="JN66" s="27"/>
      <c r="JO66" s="27"/>
      <c r="JP66" s="27"/>
      <c r="JQ66" s="27"/>
      <c r="JR66" s="27"/>
      <c r="JS66" s="27"/>
      <c r="JT66" s="27"/>
      <c r="JU66" s="27"/>
      <c r="JV66" s="27"/>
      <c r="JW66" s="27"/>
      <c r="JX66" s="27"/>
      <c r="JY66" s="27"/>
      <c r="JZ66" s="27"/>
      <c r="KA66" s="27"/>
      <c r="KB66" s="27"/>
      <c r="KC66" s="27"/>
      <c r="KD66" s="27"/>
      <c r="KE66" s="27"/>
      <c r="KF66" s="27"/>
      <c r="KG66" s="27"/>
      <c r="KH66" s="27"/>
      <c r="KI66" s="27"/>
      <c r="KJ66" s="27"/>
      <c r="KK66" s="27"/>
      <c r="KL66" s="27"/>
      <c r="KM66" s="27"/>
      <c r="KN66" s="27"/>
      <c r="KO66" s="27"/>
      <c r="KP66" s="27"/>
      <c r="KQ66" s="27"/>
      <c r="KR66" s="27"/>
      <c r="KS66" s="27"/>
      <c r="KT66" s="27"/>
      <c r="KU66" s="27"/>
      <c r="KV66" s="27"/>
      <c r="KW66" s="27"/>
      <c r="KX66" s="27"/>
      <c r="KY66" s="27"/>
      <c r="KZ66" s="27"/>
      <c r="LA66" s="27"/>
      <c r="LB66" s="27"/>
      <c r="LC66" s="27"/>
      <c r="LD66" s="27"/>
      <c r="LE66" s="27"/>
      <c r="LF66" s="27"/>
      <c r="LG66" s="27"/>
      <c r="LH66" s="27"/>
      <c r="LI66" s="27"/>
      <c r="LJ66" s="27"/>
      <c r="LK66" s="27"/>
      <c r="LL66" s="27"/>
      <c r="LM66" s="27"/>
      <c r="LN66" s="27"/>
      <c r="LO66" s="27"/>
      <c r="LP66" s="27"/>
      <c r="LQ66" s="27"/>
      <c r="LR66" s="27"/>
      <c r="LS66" s="27"/>
      <c r="LT66" s="27"/>
      <c r="LU66" s="27"/>
      <c r="LV66" s="27"/>
      <c r="LW66" s="27"/>
      <c r="LX66" s="27"/>
      <c r="LY66" s="27"/>
      <c r="LZ66" s="27"/>
      <c r="MA66" s="27"/>
      <c r="MB66" s="27"/>
      <c r="MC66" s="27"/>
      <c r="MD66" s="27"/>
      <c r="ME66" s="27"/>
      <c r="MF66" s="27"/>
      <c r="MG66" s="27"/>
      <c r="MH66" s="27"/>
      <c r="MI66" s="27"/>
      <c r="MJ66" s="27"/>
      <c r="MK66" s="27"/>
      <c r="ML66" s="27"/>
      <c r="MM66" s="27"/>
      <c r="MN66" s="27"/>
      <c r="MO66" s="27"/>
      <c r="MP66" s="27"/>
      <c r="MQ66" s="27"/>
      <c r="MR66" s="27"/>
      <c r="MS66" s="27"/>
      <c r="MT66" s="27"/>
      <c r="MU66" s="27"/>
      <c r="MV66" s="27"/>
      <c r="MW66" s="27"/>
      <c r="MX66" s="27"/>
      <c r="MY66" s="27"/>
      <c r="MZ66" s="27"/>
      <c r="NA66" s="27"/>
      <c r="NB66" s="27"/>
    </row>
    <row r="67" spans="1:366" ht="16" customHeight="1" x14ac:dyDescent="0.15">
      <c r="B67" s="71"/>
      <c r="C67" s="312"/>
      <c r="D67" s="95"/>
      <c r="E67" s="3"/>
      <c r="F67" s="32"/>
      <c r="G67" s="32"/>
      <c r="H67" s="32"/>
      <c r="I67" s="32"/>
      <c r="J67" s="32"/>
      <c r="K67" s="32"/>
      <c r="L67" s="32"/>
      <c r="M67" s="32"/>
      <c r="N67" s="32"/>
      <c r="O67" s="32"/>
      <c r="P67" s="32"/>
      <c r="Q67" s="32"/>
      <c r="R67" s="32"/>
      <c r="S67" s="32"/>
      <c r="T67" s="32"/>
      <c r="U67" s="32"/>
      <c r="V67" s="32"/>
      <c r="W67" s="32"/>
      <c r="X67" s="32"/>
      <c r="Y67" s="32"/>
      <c r="Z67" s="32"/>
      <c r="AA67" s="32"/>
      <c r="AB67" s="32"/>
      <c r="AC67" s="32"/>
      <c r="AD67" s="32"/>
      <c r="AE67" s="32"/>
      <c r="AF67" s="32"/>
      <c r="AG67" s="32"/>
      <c r="AH67" s="32"/>
      <c r="AI67" s="32"/>
      <c r="AJ67" s="32"/>
      <c r="AK67" s="32"/>
      <c r="AL67" s="32"/>
      <c r="AM67" s="32"/>
      <c r="AN67" s="32"/>
      <c r="AO67" s="32"/>
      <c r="AP67" s="32"/>
      <c r="AQ67" s="32"/>
      <c r="AR67" s="32"/>
      <c r="AS67" s="32"/>
      <c r="AT67" s="32"/>
      <c r="AU67" s="32"/>
      <c r="AV67" s="32"/>
      <c r="AW67" s="32"/>
      <c r="AX67" s="32"/>
      <c r="AY67" s="32"/>
      <c r="AZ67" s="32"/>
      <c r="BA67" s="32"/>
      <c r="BB67" s="32"/>
      <c r="BC67" s="32"/>
      <c r="BD67" s="32"/>
      <c r="BE67" s="32"/>
      <c r="BF67" s="32"/>
      <c r="BG67" s="32"/>
      <c r="BH67" s="32"/>
      <c r="BI67" s="32"/>
      <c r="BJ67" s="32"/>
      <c r="BK67" s="32"/>
      <c r="BL67" s="32"/>
      <c r="BM67" s="32"/>
      <c r="BN67" s="32"/>
      <c r="BO67" s="32"/>
      <c r="BP67" s="32"/>
      <c r="BQ67" s="32"/>
      <c r="BR67" s="32"/>
      <c r="BS67" s="32"/>
      <c r="BT67" s="32"/>
      <c r="BU67" s="32"/>
      <c r="BV67" s="32"/>
      <c r="BW67" s="32"/>
      <c r="BX67" s="32"/>
      <c r="BY67" s="32"/>
      <c r="BZ67" s="32"/>
      <c r="CA67" s="32"/>
      <c r="CB67" s="32"/>
      <c r="CC67" s="32"/>
      <c r="CD67" s="32"/>
      <c r="CE67" s="32"/>
      <c r="CF67" s="32"/>
      <c r="CG67" s="32"/>
      <c r="CH67" s="32"/>
      <c r="CI67" s="32"/>
      <c r="CJ67" s="32"/>
      <c r="CK67" s="32"/>
      <c r="CL67" s="32"/>
      <c r="CM67" s="32"/>
      <c r="CN67" s="32"/>
      <c r="CO67" s="32"/>
      <c r="CP67" s="32"/>
      <c r="CQ67" s="32"/>
      <c r="CR67" s="32"/>
      <c r="CS67" s="32"/>
      <c r="CT67" s="32"/>
      <c r="CU67" s="32"/>
      <c r="CV67" s="32"/>
      <c r="CW67" s="32"/>
      <c r="CX67" s="32"/>
      <c r="CY67" s="32"/>
      <c r="CZ67" s="32"/>
      <c r="DA67" s="32"/>
      <c r="DB67" s="32"/>
      <c r="DC67" s="32"/>
      <c r="DD67" s="32"/>
      <c r="DE67" s="32"/>
      <c r="DF67" s="32"/>
      <c r="DG67" s="32"/>
      <c r="DH67" s="32"/>
      <c r="DI67" s="32"/>
      <c r="DJ67" s="32"/>
      <c r="DK67" s="32"/>
      <c r="DL67" s="32"/>
      <c r="DM67" s="32"/>
      <c r="DN67" s="32"/>
      <c r="DO67" s="32"/>
      <c r="DP67" s="32"/>
      <c r="DQ67" s="32"/>
      <c r="DR67" s="32"/>
      <c r="DS67" s="32"/>
      <c r="DT67" s="32"/>
      <c r="DU67" s="32"/>
      <c r="DV67" s="32"/>
      <c r="DW67" s="32"/>
      <c r="DX67" s="32"/>
      <c r="DY67" s="32"/>
      <c r="DZ67" s="32"/>
      <c r="EA67" s="32"/>
      <c r="EB67" s="32"/>
      <c r="EC67" s="32"/>
      <c r="ED67" s="32"/>
      <c r="EE67" s="32"/>
      <c r="EF67" s="32"/>
      <c r="EG67" s="32"/>
      <c r="EH67" s="32"/>
      <c r="EI67" s="32"/>
      <c r="EJ67" s="32"/>
      <c r="EK67" s="32"/>
      <c r="EL67" s="32"/>
      <c r="EM67" s="32"/>
      <c r="EN67" s="32"/>
      <c r="EO67" s="32"/>
      <c r="EP67" s="32"/>
      <c r="EQ67" s="32"/>
      <c r="ER67" s="32"/>
      <c r="ES67" s="32"/>
      <c r="ET67" s="32"/>
      <c r="EU67" s="32"/>
      <c r="EV67" s="32"/>
      <c r="EW67" s="32"/>
      <c r="EX67" s="32"/>
      <c r="EY67" s="32"/>
      <c r="EZ67" s="32"/>
      <c r="FA67" s="32"/>
      <c r="FB67" s="32"/>
      <c r="FC67" s="32"/>
      <c r="FD67" s="32"/>
      <c r="FE67" s="32"/>
      <c r="FF67" s="32"/>
      <c r="FG67" s="32"/>
      <c r="FH67" s="32"/>
      <c r="FI67" s="32"/>
      <c r="FJ67" s="32"/>
      <c r="FK67" s="32"/>
      <c r="FL67" s="32"/>
      <c r="FM67" s="32"/>
      <c r="FN67" s="32"/>
      <c r="FO67" s="32"/>
      <c r="FP67" s="32"/>
      <c r="FQ67" s="32"/>
      <c r="FR67" s="32"/>
      <c r="FS67" s="32"/>
      <c r="FT67" s="32"/>
      <c r="FU67" s="32"/>
      <c r="FV67" s="32"/>
      <c r="FW67" s="32"/>
      <c r="FX67" s="32"/>
      <c r="FY67" s="32"/>
      <c r="FZ67" s="32"/>
      <c r="GA67" s="32"/>
      <c r="GB67" s="32"/>
      <c r="GC67" s="32"/>
      <c r="GD67" s="32"/>
      <c r="GE67" s="32"/>
      <c r="GF67" s="32"/>
      <c r="GG67" s="32"/>
      <c r="GH67" s="32"/>
      <c r="GI67" s="32"/>
      <c r="GJ67" s="32"/>
      <c r="GK67" s="32"/>
      <c r="GL67" s="32"/>
      <c r="GM67" s="32"/>
      <c r="GN67" s="32"/>
      <c r="GO67" s="32"/>
      <c r="GP67" s="32"/>
      <c r="GQ67" s="27"/>
      <c r="GR67" s="27"/>
      <c r="GS67" s="27"/>
      <c r="GT67" s="27"/>
      <c r="GU67" s="27"/>
      <c r="GV67" s="27"/>
      <c r="GW67" s="27"/>
      <c r="GX67" s="27"/>
      <c r="GY67" s="27"/>
      <c r="GZ67" s="27"/>
      <c r="HA67" s="27"/>
      <c r="HB67" s="27"/>
      <c r="HC67" s="27"/>
      <c r="HD67" s="27"/>
      <c r="HE67" s="27"/>
      <c r="HF67" s="27"/>
      <c r="HG67" s="27"/>
      <c r="HH67" s="27"/>
      <c r="HI67" s="27"/>
      <c r="HJ67" s="27"/>
      <c r="HK67" s="27"/>
      <c r="HL67" s="27"/>
      <c r="HM67" s="27"/>
      <c r="HN67" s="27"/>
      <c r="HO67" s="27"/>
      <c r="HP67" s="27"/>
      <c r="HQ67" s="27"/>
      <c r="HR67" s="27"/>
      <c r="HS67" s="27"/>
      <c r="HT67" s="27"/>
      <c r="HU67" s="27"/>
      <c r="HV67" s="27"/>
      <c r="HW67" s="27"/>
      <c r="HX67" s="27"/>
      <c r="HY67" s="27"/>
      <c r="HZ67" s="27"/>
      <c r="IA67" s="27"/>
      <c r="IB67" s="27"/>
      <c r="IC67" s="27"/>
      <c r="ID67" s="27"/>
      <c r="IE67" s="27"/>
      <c r="IF67" s="27"/>
      <c r="IG67" s="27"/>
      <c r="IH67" s="27"/>
      <c r="II67" s="27"/>
      <c r="IJ67" s="27"/>
      <c r="IK67" s="27"/>
      <c r="IL67" s="27"/>
      <c r="IM67" s="27"/>
      <c r="IN67" s="27"/>
      <c r="IO67" s="27"/>
      <c r="IP67" s="27"/>
      <c r="IQ67" s="27"/>
      <c r="IR67" s="27"/>
      <c r="IS67" s="27"/>
      <c r="IT67" s="27"/>
      <c r="IU67" s="27"/>
      <c r="IV67" s="27"/>
      <c r="IW67" s="27"/>
      <c r="IX67" s="27"/>
      <c r="IY67" s="27"/>
      <c r="IZ67" s="27"/>
      <c r="JA67" s="27"/>
      <c r="JB67" s="27"/>
      <c r="JC67" s="27"/>
      <c r="JD67" s="27"/>
      <c r="JE67" s="27"/>
      <c r="JF67" s="27"/>
      <c r="JG67" s="27"/>
      <c r="JH67" s="27"/>
      <c r="JI67" s="27"/>
      <c r="JJ67" s="27"/>
      <c r="JK67" s="27"/>
      <c r="JL67" s="27"/>
      <c r="JM67" s="27"/>
      <c r="JN67" s="27"/>
      <c r="JO67" s="27"/>
      <c r="JP67" s="27"/>
      <c r="JQ67" s="27"/>
      <c r="JR67" s="27"/>
      <c r="JS67" s="27"/>
      <c r="JT67" s="27"/>
      <c r="JU67" s="27"/>
      <c r="JV67" s="27"/>
      <c r="JW67" s="27"/>
      <c r="JX67" s="27"/>
      <c r="JY67" s="27"/>
      <c r="JZ67" s="27"/>
      <c r="KA67" s="27"/>
      <c r="KB67" s="27"/>
      <c r="KC67" s="27"/>
      <c r="KD67" s="27"/>
      <c r="KE67" s="27"/>
      <c r="KF67" s="27"/>
      <c r="KG67" s="27"/>
      <c r="KH67" s="27"/>
      <c r="KI67" s="27"/>
      <c r="KJ67" s="27"/>
      <c r="KK67" s="27"/>
      <c r="KL67" s="27"/>
      <c r="KM67" s="27"/>
      <c r="KN67" s="27"/>
      <c r="KO67" s="27"/>
      <c r="KP67" s="27"/>
      <c r="KQ67" s="27"/>
      <c r="KR67" s="27"/>
      <c r="KS67" s="27"/>
      <c r="KT67" s="27"/>
      <c r="KU67" s="27"/>
      <c r="KV67" s="27"/>
      <c r="KW67" s="27"/>
      <c r="KX67" s="27"/>
      <c r="KY67" s="27"/>
      <c r="KZ67" s="27"/>
      <c r="LA67" s="27"/>
      <c r="LB67" s="27"/>
      <c r="LC67" s="27"/>
      <c r="LD67" s="27"/>
      <c r="LE67" s="27"/>
      <c r="LF67" s="27"/>
      <c r="LG67" s="27"/>
      <c r="LH67" s="27"/>
      <c r="LI67" s="27"/>
      <c r="LJ67" s="27"/>
      <c r="LK67" s="27"/>
      <c r="LL67" s="27"/>
      <c r="LM67" s="27"/>
      <c r="LN67" s="27"/>
      <c r="LO67" s="27"/>
      <c r="LP67" s="27"/>
      <c r="LQ67" s="27"/>
      <c r="LR67" s="27"/>
      <c r="LS67" s="27"/>
      <c r="LT67" s="27"/>
      <c r="LU67" s="27"/>
      <c r="LV67" s="27"/>
      <c r="LW67" s="27"/>
      <c r="LX67" s="27"/>
      <c r="LY67" s="27"/>
      <c r="LZ67" s="27"/>
      <c r="MA67" s="27"/>
      <c r="MB67" s="27"/>
      <c r="MC67" s="27"/>
      <c r="MD67" s="27"/>
      <c r="ME67" s="27"/>
      <c r="MF67" s="27"/>
      <c r="MG67" s="27"/>
      <c r="MH67" s="27"/>
      <c r="MI67" s="27"/>
      <c r="MJ67" s="27"/>
      <c r="MK67" s="27"/>
      <c r="ML67" s="27"/>
      <c r="MM67" s="27"/>
      <c r="MN67" s="27"/>
      <c r="MO67" s="27"/>
      <c r="MP67" s="27"/>
      <c r="MQ67" s="27"/>
      <c r="MR67" s="27"/>
      <c r="MS67" s="27"/>
      <c r="MT67" s="27"/>
      <c r="MU67" s="27"/>
      <c r="MV67" s="27"/>
      <c r="MW67" s="27"/>
      <c r="MX67" s="27"/>
      <c r="MY67" s="27"/>
      <c r="MZ67" s="27"/>
      <c r="NA67" s="27"/>
      <c r="NB67" s="27"/>
    </row>
    <row r="68" spans="1:366" ht="16" customHeight="1" x14ac:dyDescent="0.15">
      <c r="B68" s="374"/>
      <c r="C68" s="314" t="s">
        <v>150</v>
      </c>
      <c r="D68" s="317"/>
      <c r="E68" s="320"/>
      <c r="F68" s="356"/>
      <c r="G68" s="356"/>
      <c r="H68" s="356"/>
      <c r="I68" s="356"/>
      <c r="J68" s="356"/>
      <c r="K68" s="356"/>
      <c r="L68" s="356"/>
      <c r="M68" s="356"/>
      <c r="N68" s="356"/>
      <c r="O68" s="356"/>
      <c r="P68" s="356"/>
      <c r="Q68" s="356"/>
      <c r="R68" s="356"/>
      <c r="S68" s="356"/>
      <c r="T68" s="356"/>
      <c r="U68" s="356"/>
      <c r="V68" s="356"/>
      <c r="W68" s="356"/>
      <c r="X68" s="356"/>
      <c r="Y68" s="356"/>
      <c r="Z68" s="356"/>
      <c r="AA68" s="356"/>
      <c r="AB68" s="356"/>
      <c r="AC68" s="356"/>
      <c r="AD68" s="356"/>
      <c r="AE68" s="356"/>
      <c r="AF68" s="356"/>
      <c r="AG68" s="356"/>
      <c r="AH68" s="356"/>
      <c r="AI68" s="356"/>
      <c r="AJ68" s="356"/>
      <c r="AK68" s="356"/>
      <c r="AL68" s="356"/>
      <c r="AM68" s="356"/>
      <c r="AN68" s="356"/>
      <c r="AO68" s="356"/>
      <c r="AP68" s="356"/>
      <c r="AQ68" s="356"/>
      <c r="AR68" s="356"/>
      <c r="AS68" s="356"/>
      <c r="AT68" s="356"/>
      <c r="AU68" s="356"/>
      <c r="AV68" s="356"/>
      <c r="AW68" s="356"/>
      <c r="AX68" s="356"/>
      <c r="AY68" s="356"/>
      <c r="AZ68" s="356"/>
      <c r="BA68" s="356"/>
      <c r="BB68" s="356"/>
      <c r="BC68" s="356"/>
      <c r="BD68" s="356"/>
      <c r="BE68" s="356"/>
      <c r="BF68" s="356"/>
      <c r="BG68" s="356"/>
      <c r="BH68" s="356"/>
      <c r="BI68" s="356"/>
      <c r="BJ68" s="356"/>
      <c r="BK68" s="356"/>
      <c r="BL68" s="356"/>
      <c r="BM68" s="356"/>
      <c r="BN68" s="356"/>
      <c r="BO68" s="356"/>
      <c r="BP68" s="356"/>
      <c r="BQ68" s="356"/>
      <c r="BR68" s="356"/>
      <c r="BS68" s="356"/>
      <c r="BT68" s="356"/>
      <c r="BU68" s="356"/>
      <c r="BV68" s="356"/>
      <c r="BW68" s="356"/>
      <c r="BX68" s="356"/>
      <c r="BY68" s="356"/>
      <c r="BZ68" s="356"/>
      <c r="CA68" s="356"/>
      <c r="CB68" s="356"/>
      <c r="CC68" s="356"/>
      <c r="CD68" s="356"/>
      <c r="CE68" s="356"/>
      <c r="CF68" s="356"/>
      <c r="CG68" s="356"/>
      <c r="CH68" s="356"/>
      <c r="CI68" s="356"/>
      <c r="CJ68" s="356"/>
      <c r="CK68" s="356"/>
      <c r="CL68" s="356"/>
      <c r="CM68" s="356"/>
      <c r="CN68" s="356"/>
      <c r="CO68" s="356"/>
      <c r="CP68" s="356"/>
      <c r="CQ68" s="356"/>
      <c r="CR68" s="356"/>
      <c r="CS68" s="356"/>
      <c r="CT68" s="356"/>
      <c r="CU68" s="356"/>
      <c r="CV68" s="356"/>
      <c r="CW68" s="356"/>
      <c r="CX68" s="356"/>
      <c r="CY68" s="356"/>
      <c r="CZ68" s="356"/>
      <c r="DA68" s="356"/>
      <c r="DB68" s="356"/>
      <c r="DC68" s="356"/>
      <c r="DD68" s="356"/>
      <c r="DE68" s="356"/>
      <c r="DF68" s="356"/>
      <c r="DG68" s="356"/>
      <c r="DH68" s="356"/>
      <c r="DI68" s="356"/>
      <c r="DJ68" s="356"/>
      <c r="DK68" s="356"/>
      <c r="DL68" s="356"/>
      <c r="DM68" s="356"/>
      <c r="DN68" s="356"/>
      <c r="DO68" s="356"/>
      <c r="DP68" s="356"/>
      <c r="DQ68" s="356"/>
      <c r="DR68" s="356"/>
      <c r="DS68" s="356"/>
      <c r="DT68" s="356"/>
      <c r="DU68" s="356"/>
      <c r="DV68" s="356"/>
      <c r="DW68" s="356"/>
      <c r="DX68" s="356"/>
      <c r="DY68" s="356"/>
      <c r="DZ68" s="356"/>
      <c r="EA68" s="356"/>
      <c r="EB68" s="356"/>
      <c r="EC68" s="356"/>
      <c r="ED68" s="356"/>
      <c r="EE68" s="356"/>
      <c r="EF68" s="356"/>
      <c r="EG68" s="356"/>
      <c r="EH68" s="356"/>
      <c r="EI68" s="356"/>
      <c r="EJ68" s="356"/>
      <c r="EK68" s="356"/>
      <c r="EL68" s="356"/>
      <c r="EM68" s="356"/>
      <c r="EN68" s="356"/>
      <c r="EO68" s="356"/>
      <c r="EP68" s="356"/>
      <c r="EQ68" s="356"/>
      <c r="ER68" s="356"/>
      <c r="ES68" s="356"/>
      <c r="ET68" s="356"/>
      <c r="EU68" s="356"/>
      <c r="EV68" s="356"/>
      <c r="EW68" s="356"/>
      <c r="EX68" s="356"/>
      <c r="EY68" s="356"/>
      <c r="EZ68" s="356"/>
      <c r="FA68" s="356"/>
      <c r="FB68" s="356"/>
      <c r="FC68" s="356"/>
      <c r="FD68" s="356"/>
      <c r="FE68" s="356"/>
      <c r="FF68" s="356"/>
      <c r="FG68" s="356"/>
      <c r="FH68" s="356"/>
      <c r="FI68" s="356"/>
      <c r="FJ68" s="356"/>
      <c r="FK68" s="356"/>
      <c r="FL68" s="356"/>
      <c r="FM68" s="356"/>
      <c r="FN68" s="356"/>
      <c r="FO68" s="356"/>
      <c r="FP68" s="356"/>
      <c r="FQ68" s="356"/>
      <c r="FR68" s="356"/>
      <c r="FS68" s="356"/>
      <c r="FT68" s="356"/>
      <c r="FU68" s="356"/>
      <c r="FV68" s="356"/>
      <c r="FW68" s="356"/>
      <c r="FX68" s="356"/>
      <c r="FY68" s="356"/>
      <c r="FZ68" s="356"/>
      <c r="GA68" s="356"/>
      <c r="GB68" s="356"/>
      <c r="GC68" s="356"/>
      <c r="GD68" s="356"/>
      <c r="GE68" s="356"/>
      <c r="GF68" s="356"/>
      <c r="GG68" s="356"/>
      <c r="GH68" s="356"/>
      <c r="GI68" s="356"/>
      <c r="GJ68" s="356"/>
      <c r="GK68" s="356"/>
      <c r="GL68" s="356"/>
      <c r="GM68" s="356"/>
      <c r="GN68" s="356"/>
      <c r="GO68" s="356"/>
      <c r="GP68" s="356"/>
      <c r="GQ68" s="27"/>
      <c r="GR68" s="27"/>
      <c r="GS68" s="27"/>
      <c r="GT68" s="27"/>
      <c r="GU68" s="27"/>
      <c r="GV68" s="27"/>
      <c r="GW68" s="27"/>
      <c r="GX68" s="27"/>
      <c r="GY68" s="27"/>
      <c r="GZ68" s="27"/>
      <c r="HA68" s="27"/>
      <c r="HB68" s="27"/>
      <c r="HC68" s="27"/>
      <c r="HD68" s="27"/>
      <c r="HE68" s="27"/>
      <c r="HF68" s="27"/>
      <c r="HG68" s="27"/>
      <c r="HH68" s="27"/>
      <c r="HI68" s="27"/>
      <c r="HJ68" s="27"/>
      <c r="HK68" s="27"/>
      <c r="HL68" s="27"/>
      <c r="HM68" s="27"/>
      <c r="HN68" s="27"/>
      <c r="HO68" s="27"/>
      <c r="HP68" s="27"/>
      <c r="HQ68" s="27"/>
      <c r="HR68" s="27"/>
      <c r="HS68" s="27"/>
      <c r="HT68" s="27"/>
      <c r="HU68" s="27"/>
      <c r="HV68" s="27"/>
      <c r="HW68" s="27"/>
      <c r="HX68" s="27"/>
      <c r="HY68" s="27"/>
      <c r="HZ68" s="27"/>
      <c r="IA68" s="27"/>
      <c r="IB68" s="27"/>
      <c r="IC68" s="27"/>
      <c r="ID68" s="27"/>
      <c r="IE68" s="27"/>
      <c r="IF68" s="27"/>
      <c r="IG68" s="27"/>
      <c r="IH68" s="27"/>
      <c r="II68" s="27"/>
      <c r="IJ68" s="27"/>
      <c r="IK68" s="27"/>
      <c r="IL68" s="27"/>
      <c r="IM68" s="27"/>
      <c r="IN68" s="27"/>
      <c r="IO68" s="27"/>
      <c r="IP68" s="27"/>
      <c r="IQ68" s="27"/>
      <c r="IR68" s="27"/>
      <c r="IS68" s="27"/>
      <c r="IT68" s="27"/>
      <c r="IU68" s="27"/>
      <c r="IV68" s="27"/>
      <c r="IW68" s="27"/>
      <c r="IX68" s="27"/>
      <c r="IY68" s="27"/>
      <c r="IZ68" s="27"/>
      <c r="JA68" s="27"/>
      <c r="JB68" s="27"/>
      <c r="JC68" s="27"/>
      <c r="JD68" s="27"/>
      <c r="JE68" s="27"/>
      <c r="JF68" s="27"/>
      <c r="JG68" s="27"/>
      <c r="JH68" s="27"/>
      <c r="JI68" s="27"/>
      <c r="JJ68" s="27"/>
      <c r="JK68" s="27"/>
      <c r="JL68" s="27"/>
      <c r="JM68" s="27"/>
      <c r="JN68" s="27"/>
      <c r="JO68" s="27"/>
      <c r="JP68" s="27"/>
      <c r="JQ68" s="27"/>
      <c r="JR68" s="27"/>
      <c r="JS68" s="27"/>
      <c r="JT68" s="27"/>
      <c r="JU68" s="27"/>
      <c r="JV68" s="27"/>
      <c r="JW68" s="27"/>
      <c r="JX68" s="27"/>
      <c r="JY68" s="27"/>
      <c r="JZ68" s="27"/>
      <c r="KA68" s="27"/>
      <c r="KB68" s="27"/>
      <c r="KC68" s="27"/>
      <c r="KD68" s="27"/>
      <c r="KE68" s="27"/>
      <c r="KF68" s="27"/>
      <c r="KG68" s="27"/>
      <c r="KH68" s="27"/>
      <c r="KI68" s="27"/>
      <c r="KJ68" s="27"/>
      <c r="KK68" s="27"/>
      <c r="KL68" s="27"/>
      <c r="KM68" s="27"/>
      <c r="KN68" s="27"/>
      <c r="KO68" s="27"/>
      <c r="KP68" s="27"/>
      <c r="KQ68" s="27"/>
      <c r="KR68" s="27"/>
      <c r="KS68" s="27"/>
      <c r="KT68" s="27"/>
      <c r="KU68" s="27"/>
      <c r="KV68" s="27"/>
      <c r="KW68" s="27"/>
      <c r="KX68" s="27"/>
      <c r="KY68" s="27"/>
      <c r="KZ68" s="27"/>
      <c r="LA68" s="27"/>
      <c r="LB68" s="27"/>
      <c r="LC68" s="27"/>
      <c r="LD68" s="27"/>
      <c r="LE68" s="27"/>
      <c r="LF68" s="27"/>
      <c r="LG68" s="27"/>
      <c r="LH68" s="27"/>
      <c r="LI68" s="27"/>
      <c r="LJ68" s="27"/>
      <c r="LK68" s="27"/>
      <c r="LL68" s="27"/>
      <c r="LM68" s="27"/>
      <c r="LN68" s="27"/>
      <c r="LO68" s="27"/>
      <c r="LP68" s="27"/>
      <c r="LQ68" s="27"/>
      <c r="LR68" s="27"/>
      <c r="LS68" s="27"/>
      <c r="LT68" s="27"/>
      <c r="LU68" s="27"/>
      <c r="LV68" s="27"/>
      <c r="LW68" s="27"/>
      <c r="LX68" s="27"/>
      <c r="LY68" s="27"/>
      <c r="LZ68" s="27"/>
      <c r="MA68" s="27"/>
      <c r="MB68" s="27"/>
      <c r="MC68" s="27"/>
      <c r="MD68" s="27"/>
      <c r="ME68" s="27"/>
      <c r="MF68" s="27"/>
      <c r="MG68" s="27"/>
      <c r="MH68" s="27"/>
      <c r="MI68" s="27"/>
      <c r="MJ68" s="27"/>
      <c r="MK68" s="27"/>
      <c r="ML68" s="27"/>
      <c r="MM68" s="27"/>
      <c r="MN68" s="27"/>
      <c r="MO68" s="27"/>
      <c r="MP68" s="27"/>
      <c r="MQ68" s="27"/>
      <c r="MR68" s="27"/>
      <c r="MS68" s="27"/>
      <c r="MT68" s="27"/>
      <c r="MU68" s="27"/>
      <c r="MV68" s="27"/>
      <c r="MW68" s="27"/>
      <c r="MX68" s="27"/>
      <c r="MY68" s="27"/>
      <c r="MZ68" s="27"/>
      <c r="NA68" s="27"/>
      <c r="NB68" s="27"/>
    </row>
    <row r="69" spans="1:366" ht="16" customHeight="1" x14ac:dyDescent="0.15">
      <c r="B69" s="3" t="s">
        <v>58</v>
      </c>
      <c r="C69" s="312" t="s">
        <v>150</v>
      </c>
      <c r="D69" s="37"/>
      <c r="E69" s="134"/>
      <c r="F69" s="27">
        <f t="shared" ref="F69:AK69" si="189">F$65+F$66</f>
        <v>-2676233.4004024141</v>
      </c>
      <c r="G69" s="27">
        <f t="shared" si="189"/>
        <v>0</v>
      </c>
      <c r="H69" s="27">
        <f t="shared" si="189"/>
        <v>0</v>
      </c>
      <c r="I69" s="27">
        <f t="shared" si="189"/>
        <v>0</v>
      </c>
      <c r="J69" s="27">
        <f t="shared" si="189"/>
        <v>0</v>
      </c>
      <c r="K69" s="27">
        <f t="shared" si="189"/>
        <v>0</v>
      </c>
      <c r="L69" s="27">
        <f t="shared" si="189"/>
        <v>0</v>
      </c>
      <c r="M69" s="27">
        <f t="shared" si="189"/>
        <v>0</v>
      </c>
      <c r="N69" s="27">
        <f t="shared" si="189"/>
        <v>0</v>
      </c>
      <c r="O69" s="27">
        <f t="shared" si="189"/>
        <v>9036.5163503938275</v>
      </c>
      <c r="P69" s="27">
        <f t="shared" si="189"/>
        <v>9036.5163503938275</v>
      </c>
      <c r="Q69" s="27">
        <f t="shared" si="189"/>
        <v>9036.5163503938275</v>
      </c>
      <c r="R69" s="27">
        <f t="shared" si="189"/>
        <v>9036.5163503938275</v>
      </c>
      <c r="S69" s="27">
        <f t="shared" si="189"/>
        <v>9770.4166541229934</v>
      </c>
      <c r="T69" s="27">
        <f t="shared" si="189"/>
        <v>9770.4166541229934</v>
      </c>
      <c r="U69" s="27">
        <f t="shared" si="189"/>
        <v>9770.4166541229934</v>
      </c>
      <c r="V69" s="27">
        <f t="shared" si="189"/>
        <v>9770.4166541229934</v>
      </c>
      <c r="W69" s="27">
        <f t="shared" si="189"/>
        <v>9770.4166541229934</v>
      </c>
      <c r="X69" s="27">
        <f t="shared" si="189"/>
        <v>118421.33429201599</v>
      </c>
      <c r="Y69" s="27">
        <f t="shared" si="189"/>
        <v>8590.1507348824016</v>
      </c>
      <c r="Z69" s="27">
        <f t="shared" si="189"/>
        <v>8590.1507348824016</v>
      </c>
      <c r="AA69" s="27">
        <f t="shared" si="189"/>
        <v>8590.1507348824016</v>
      </c>
      <c r="AB69" s="27">
        <f t="shared" si="189"/>
        <v>8590.1507348824016</v>
      </c>
      <c r="AC69" s="27">
        <f t="shared" si="189"/>
        <v>8590.1507348824016</v>
      </c>
      <c r="AD69" s="27">
        <f t="shared" si="189"/>
        <v>8590.1507348824052</v>
      </c>
      <c r="AE69" s="27">
        <f t="shared" si="189"/>
        <v>9342.8511618297925</v>
      </c>
      <c r="AF69" s="27">
        <f t="shared" si="189"/>
        <v>9342.8511618297889</v>
      </c>
      <c r="AG69" s="27">
        <f t="shared" si="189"/>
        <v>9342.8511618297889</v>
      </c>
      <c r="AH69" s="27">
        <f t="shared" si="189"/>
        <v>9342.8511618297925</v>
      </c>
      <c r="AI69" s="27">
        <f t="shared" si="189"/>
        <v>9342.8511618297889</v>
      </c>
      <c r="AJ69" s="27">
        <f t="shared" si="189"/>
        <v>9342.8511618297925</v>
      </c>
      <c r="AK69" s="27">
        <f t="shared" si="189"/>
        <v>9342.8511618297889</v>
      </c>
      <c r="AL69" s="27">
        <f t="shared" ref="AL69:BR69" si="190">AL$65+AL$66</f>
        <v>9342.8511618297889</v>
      </c>
      <c r="AM69" s="27">
        <f t="shared" si="190"/>
        <v>9342.8511618297925</v>
      </c>
      <c r="AN69" s="27">
        <f t="shared" si="190"/>
        <v>9342.8511618297925</v>
      </c>
      <c r="AO69" s="27">
        <f t="shared" si="190"/>
        <v>9342.8511618297889</v>
      </c>
      <c r="AP69" s="27">
        <f t="shared" si="190"/>
        <v>9342.8511618297889</v>
      </c>
      <c r="AQ69" s="27">
        <f t="shared" si="190"/>
        <v>10114.830767388361</v>
      </c>
      <c r="AR69" s="27">
        <f t="shared" si="190"/>
        <v>10114.830767388361</v>
      </c>
      <c r="AS69" s="27">
        <f t="shared" si="190"/>
        <v>10114.830767388361</v>
      </c>
      <c r="AT69" s="27">
        <f t="shared" si="190"/>
        <v>10114.830767388365</v>
      </c>
      <c r="AU69" s="27">
        <f t="shared" si="190"/>
        <v>10114.830767388361</v>
      </c>
      <c r="AV69" s="27">
        <f t="shared" si="190"/>
        <v>10114.830767388361</v>
      </c>
      <c r="AW69" s="27">
        <f t="shared" si="190"/>
        <v>10114.830767388365</v>
      </c>
      <c r="AX69" s="27">
        <f t="shared" si="190"/>
        <v>10114.830767388361</v>
      </c>
      <c r="AY69" s="27">
        <f t="shared" si="190"/>
        <v>10114.830767388365</v>
      </c>
      <c r="AZ69" s="27">
        <f t="shared" si="190"/>
        <v>10114.830767388365</v>
      </c>
      <c r="BA69" s="27">
        <f t="shared" si="190"/>
        <v>10114.830767388365</v>
      </c>
      <c r="BB69" s="27">
        <f t="shared" si="190"/>
        <v>10114.830767388365</v>
      </c>
      <c r="BC69" s="27">
        <f t="shared" si="190"/>
        <v>10906.580764382164</v>
      </c>
      <c r="BD69" s="27">
        <f t="shared" si="190"/>
        <v>10906.580764382164</v>
      </c>
      <c r="BE69" s="27">
        <f t="shared" si="190"/>
        <v>10906.580764382161</v>
      </c>
      <c r="BF69" s="27">
        <f t="shared" si="190"/>
        <v>10906.580764382161</v>
      </c>
      <c r="BG69" s="27">
        <f t="shared" si="190"/>
        <v>10906.580764382161</v>
      </c>
      <c r="BH69" s="27">
        <f t="shared" si="190"/>
        <v>10906.580764382161</v>
      </c>
      <c r="BI69" s="27">
        <f t="shared" si="190"/>
        <v>10906.580764382161</v>
      </c>
      <c r="BJ69" s="27">
        <f t="shared" si="190"/>
        <v>10906.580764382161</v>
      </c>
      <c r="BK69" s="27">
        <f t="shared" si="190"/>
        <v>10906.580764382161</v>
      </c>
      <c r="BL69" s="27">
        <f t="shared" si="190"/>
        <v>10906.580764382161</v>
      </c>
      <c r="BM69" s="27">
        <f t="shared" si="190"/>
        <v>10906.580764382161</v>
      </c>
      <c r="BN69" s="27">
        <f t="shared" si="190"/>
        <v>10906.580764382164</v>
      </c>
      <c r="BO69" s="27">
        <f t="shared" si="190"/>
        <v>11718.604830622968</v>
      </c>
      <c r="BP69" s="27">
        <f t="shared" si="190"/>
        <v>11718.604830622971</v>
      </c>
      <c r="BQ69" s="27">
        <f t="shared" si="190"/>
        <v>11718.604830622971</v>
      </c>
      <c r="BR69" s="27">
        <f t="shared" si="190"/>
        <v>11718.604830622975</v>
      </c>
      <c r="BS69" s="27">
        <f t="shared" ref="BS69:ED69" si="191">BS$65+BS$66</f>
        <v>11718.604830622971</v>
      </c>
      <c r="BT69" s="27">
        <f t="shared" si="191"/>
        <v>11718.604830622971</v>
      </c>
      <c r="BU69" s="27">
        <f t="shared" si="191"/>
        <v>11718.604830622968</v>
      </c>
      <c r="BV69" s="27">
        <f t="shared" si="191"/>
        <v>11718.604830622971</v>
      </c>
      <c r="BW69" s="27">
        <f t="shared" si="191"/>
        <v>11718.604830622971</v>
      </c>
      <c r="BX69" s="27">
        <f t="shared" si="191"/>
        <v>11718.604830622971</v>
      </c>
      <c r="BY69" s="27">
        <f t="shared" si="191"/>
        <v>11718.604830622971</v>
      </c>
      <c r="BZ69" s="27">
        <f t="shared" si="191"/>
        <v>11718.604830622971</v>
      </c>
      <c r="CA69" s="27">
        <f t="shared" si="191"/>
        <v>12551.419424228414</v>
      </c>
      <c r="CB69" s="27">
        <f t="shared" si="191"/>
        <v>12551.419424228421</v>
      </c>
      <c r="CC69" s="27">
        <f t="shared" si="191"/>
        <v>12551.419424228417</v>
      </c>
      <c r="CD69" s="27">
        <f t="shared" si="191"/>
        <v>12551.419424228421</v>
      </c>
      <c r="CE69" s="27">
        <f t="shared" si="191"/>
        <v>12551.419424228417</v>
      </c>
      <c r="CF69" s="27">
        <f t="shared" si="191"/>
        <v>12551.419424228417</v>
      </c>
      <c r="CG69" s="27">
        <f t="shared" si="191"/>
        <v>12551.419424228421</v>
      </c>
      <c r="CH69" s="27">
        <f t="shared" si="191"/>
        <v>12551.419424228417</v>
      </c>
      <c r="CI69" s="27">
        <f t="shared" si="191"/>
        <v>12551.419424228421</v>
      </c>
      <c r="CJ69" s="27">
        <f t="shared" si="191"/>
        <v>12551.419424228417</v>
      </c>
      <c r="CK69" s="27">
        <f t="shared" si="191"/>
        <v>12551.419424228417</v>
      </c>
      <c r="CL69" s="27">
        <f t="shared" si="191"/>
        <v>12551.419424228421</v>
      </c>
      <c r="CM69" s="27">
        <f t="shared" si="191"/>
        <v>13405.55410689679</v>
      </c>
      <c r="CN69" s="27">
        <f t="shared" si="191"/>
        <v>13405.554106896794</v>
      </c>
      <c r="CO69" s="27">
        <f t="shared" si="191"/>
        <v>13405.55410689679</v>
      </c>
      <c r="CP69" s="27">
        <f t="shared" si="191"/>
        <v>13405.55410689679</v>
      </c>
      <c r="CQ69" s="27">
        <f t="shared" si="191"/>
        <v>13405.55410689679</v>
      </c>
      <c r="CR69" s="27">
        <f t="shared" si="191"/>
        <v>13405.55410689679</v>
      </c>
      <c r="CS69" s="27">
        <f t="shared" si="191"/>
        <v>13405.55410689679</v>
      </c>
      <c r="CT69" s="27">
        <f t="shared" si="191"/>
        <v>13405.55410689679</v>
      </c>
      <c r="CU69" s="27">
        <f t="shared" si="191"/>
        <v>13405.554106896794</v>
      </c>
      <c r="CV69" s="27">
        <f t="shared" si="191"/>
        <v>13405.55410689679</v>
      </c>
      <c r="CW69" s="27">
        <f t="shared" si="191"/>
        <v>13405.55410689679</v>
      </c>
      <c r="CX69" s="27">
        <f t="shared" si="191"/>
        <v>13405.554106896794</v>
      </c>
      <c r="CY69" s="27">
        <f t="shared" si="191"/>
        <v>14281.551875339126</v>
      </c>
      <c r="CZ69" s="27">
        <f t="shared" si="191"/>
        <v>14281.551875339126</v>
      </c>
      <c r="DA69" s="27">
        <f t="shared" si="191"/>
        <v>14281.55187533913</v>
      </c>
      <c r="DB69" s="27">
        <f t="shared" si="191"/>
        <v>14281.551875339126</v>
      </c>
      <c r="DC69" s="27">
        <f t="shared" si="191"/>
        <v>14281.551875339126</v>
      </c>
      <c r="DD69" s="27">
        <f t="shared" si="191"/>
        <v>14281.551875339126</v>
      </c>
      <c r="DE69" s="27">
        <f t="shared" si="191"/>
        <v>14281.55187533913</v>
      </c>
      <c r="DF69" s="27">
        <f t="shared" si="191"/>
        <v>14281.551875339126</v>
      </c>
      <c r="DG69" s="27">
        <f t="shared" si="191"/>
        <v>14281.551875339126</v>
      </c>
      <c r="DH69" s="27">
        <f t="shared" si="191"/>
        <v>14281.551875339126</v>
      </c>
      <c r="DI69" s="27">
        <f t="shared" si="191"/>
        <v>14281.551875339126</v>
      </c>
      <c r="DJ69" s="27">
        <f t="shared" si="191"/>
        <v>14281.551875339126</v>
      </c>
      <c r="DK69" s="27">
        <f t="shared" si="191"/>
        <v>15179.969501073909</v>
      </c>
      <c r="DL69" s="27">
        <f t="shared" si="191"/>
        <v>15179.969501073909</v>
      </c>
      <c r="DM69" s="27">
        <f t="shared" si="191"/>
        <v>15179.969501073909</v>
      </c>
      <c r="DN69" s="27">
        <f t="shared" si="191"/>
        <v>15179.969501073909</v>
      </c>
      <c r="DO69" s="27">
        <f t="shared" si="191"/>
        <v>15179.969501073909</v>
      </c>
      <c r="DP69" s="27">
        <f t="shared" si="191"/>
        <v>15179.969501073909</v>
      </c>
      <c r="DQ69" s="27">
        <f t="shared" si="191"/>
        <v>15179.969501073905</v>
      </c>
      <c r="DR69" s="27">
        <f t="shared" si="191"/>
        <v>15179.969501073901</v>
      </c>
      <c r="DS69" s="27">
        <f t="shared" si="191"/>
        <v>15179.969501073905</v>
      </c>
      <c r="DT69" s="27">
        <f t="shared" si="191"/>
        <v>15179.969501073905</v>
      </c>
      <c r="DU69" s="27">
        <f t="shared" si="191"/>
        <v>15179.969501073909</v>
      </c>
      <c r="DV69" s="27">
        <f t="shared" si="191"/>
        <v>4033743.9279504158</v>
      </c>
      <c r="DW69" s="27">
        <f t="shared" si="191"/>
        <v>0</v>
      </c>
      <c r="DX69" s="27">
        <f t="shared" si="191"/>
        <v>0</v>
      </c>
      <c r="DY69" s="27">
        <f t="shared" si="191"/>
        <v>0</v>
      </c>
      <c r="DZ69" s="27">
        <f t="shared" si="191"/>
        <v>0</v>
      </c>
      <c r="EA69" s="27">
        <f t="shared" si="191"/>
        <v>0</v>
      </c>
      <c r="EB69" s="27">
        <f t="shared" si="191"/>
        <v>0</v>
      </c>
      <c r="EC69" s="27">
        <f t="shared" si="191"/>
        <v>0</v>
      </c>
      <c r="ED69" s="27">
        <f t="shared" si="191"/>
        <v>0</v>
      </c>
      <c r="EE69" s="27">
        <f t="shared" ref="EE69:GM69" si="192">EE$65+EE$66</f>
        <v>0</v>
      </c>
      <c r="EF69" s="27">
        <f t="shared" si="192"/>
        <v>0</v>
      </c>
      <c r="EG69" s="27">
        <f t="shared" si="192"/>
        <v>0</v>
      </c>
      <c r="EH69" s="27">
        <f t="shared" si="192"/>
        <v>0</v>
      </c>
      <c r="EI69" s="27">
        <f t="shared" si="192"/>
        <v>0</v>
      </c>
      <c r="EJ69" s="27">
        <f t="shared" si="192"/>
        <v>0</v>
      </c>
      <c r="EK69" s="27">
        <f t="shared" si="192"/>
        <v>0</v>
      </c>
      <c r="EL69" s="27">
        <f t="shared" si="192"/>
        <v>0</v>
      </c>
      <c r="EM69" s="27">
        <f t="shared" si="192"/>
        <v>0</v>
      </c>
      <c r="EN69" s="27">
        <f t="shared" si="192"/>
        <v>0</v>
      </c>
      <c r="EO69" s="27">
        <f t="shared" si="192"/>
        <v>0</v>
      </c>
      <c r="EP69" s="27">
        <f t="shared" si="192"/>
        <v>0</v>
      </c>
      <c r="EQ69" s="27">
        <f t="shared" si="192"/>
        <v>0</v>
      </c>
      <c r="ER69" s="27">
        <f t="shared" si="192"/>
        <v>0</v>
      </c>
      <c r="ES69" s="27">
        <f t="shared" si="192"/>
        <v>0</v>
      </c>
      <c r="ET69" s="27">
        <f t="shared" si="192"/>
        <v>0</v>
      </c>
      <c r="EU69" s="27">
        <f t="shared" si="192"/>
        <v>0</v>
      </c>
      <c r="EV69" s="27">
        <f t="shared" si="192"/>
        <v>0</v>
      </c>
      <c r="EW69" s="27">
        <f t="shared" si="192"/>
        <v>0</v>
      </c>
      <c r="EX69" s="27">
        <f t="shared" si="192"/>
        <v>0</v>
      </c>
      <c r="EY69" s="27">
        <f t="shared" si="192"/>
        <v>0</v>
      </c>
      <c r="EZ69" s="27">
        <f t="shared" si="192"/>
        <v>0</v>
      </c>
      <c r="FA69" s="27">
        <f t="shared" si="192"/>
        <v>0</v>
      </c>
      <c r="FB69" s="27">
        <f t="shared" si="192"/>
        <v>0</v>
      </c>
      <c r="FC69" s="27">
        <f t="shared" si="192"/>
        <v>0</v>
      </c>
      <c r="FD69" s="27">
        <f t="shared" si="192"/>
        <v>0</v>
      </c>
      <c r="FE69" s="27">
        <f t="shared" si="192"/>
        <v>0</v>
      </c>
      <c r="FF69" s="27">
        <f t="shared" si="192"/>
        <v>0</v>
      </c>
      <c r="FG69" s="27">
        <f t="shared" si="192"/>
        <v>0</v>
      </c>
      <c r="FH69" s="27">
        <f t="shared" si="192"/>
        <v>0</v>
      </c>
      <c r="FI69" s="27">
        <f t="shared" si="192"/>
        <v>0</v>
      </c>
      <c r="FJ69" s="27">
        <f t="shared" si="192"/>
        <v>0</v>
      </c>
      <c r="FK69" s="27">
        <f t="shared" si="192"/>
        <v>0</v>
      </c>
      <c r="FL69" s="27">
        <f t="shared" si="192"/>
        <v>0</v>
      </c>
      <c r="FM69" s="27">
        <f t="shared" si="192"/>
        <v>0</v>
      </c>
      <c r="FN69" s="27">
        <f t="shared" si="192"/>
        <v>0</v>
      </c>
      <c r="FO69" s="27">
        <f t="shared" si="192"/>
        <v>0</v>
      </c>
      <c r="FP69" s="27">
        <f t="shared" si="192"/>
        <v>0</v>
      </c>
      <c r="FQ69" s="27">
        <f t="shared" si="192"/>
        <v>0</v>
      </c>
      <c r="FR69" s="27">
        <f t="shared" si="192"/>
        <v>0</v>
      </c>
      <c r="FS69" s="27">
        <f t="shared" si="192"/>
        <v>0</v>
      </c>
      <c r="FT69" s="27">
        <f t="shared" si="192"/>
        <v>0</v>
      </c>
      <c r="FU69" s="27">
        <f t="shared" si="192"/>
        <v>0</v>
      </c>
      <c r="FV69" s="27">
        <f t="shared" si="192"/>
        <v>0</v>
      </c>
      <c r="FW69" s="27">
        <f t="shared" si="192"/>
        <v>0</v>
      </c>
      <c r="FX69" s="27">
        <f t="shared" si="192"/>
        <v>0</v>
      </c>
      <c r="FY69" s="27">
        <f t="shared" si="192"/>
        <v>0</v>
      </c>
      <c r="FZ69" s="27">
        <f t="shared" si="192"/>
        <v>0</v>
      </c>
      <c r="GA69" s="27">
        <f t="shared" si="192"/>
        <v>0</v>
      </c>
      <c r="GB69" s="27">
        <f t="shared" si="192"/>
        <v>0</v>
      </c>
      <c r="GC69" s="27">
        <f t="shared" si="192"/>
        <v>0</v>
      </c>
      <c r="GD69" s="27">
        <f t="shared" si="192"/>
        <v>0</v>
      </c>
      <c r="GE69" s="27">
        <f t="shared" si="192"/>
        <v>0</v>
      </c>
      <c r="GF69" s="27">
        <f t="shared" si="192"/>
        <v>0</v>
      </c>
      <c r="GG69" s="27">
        <f t="shared" si="192"/>
        <v>0</v>
      </c>
      <c r="GH69" s="27">
        <f t="shared" si="192"/>
        <v>0</v>
      </c>
      <c r="GI69" s="27">
        <f t="shared" si="192"/>
        <v>0</v>
      </c>
      <c r="GJ69" s="27">
        <f t="shared" si="192"/>
        <v>0</v>
      </c>
      <c r="GK69" s="27">
        <f t="shared" si="192"/>
        <v>0</v>
      </c>
      <c r="GL69" s="27">
        <f t="shared" si="192"/>
        <v>0</v>
      </c>
      <c r="GM69" s="27">
        <f t="shared" si="192"/>
        <v>0</v>
      </c>
      <c r="GN69" s="27"/>
      <c r="GO69" s="27"/>
      <c r="GP69" s="27"/>
      <c r="GQ69" s="27"/>
      <c r="GR69" s="27"/>
      <c r="GS69" s="27"/>
      <c r="GT69" s="27"/>
      <c r="GU69" s="27"/>
      <c r="GV69" s="27"/>
      <c r="GW69" s="27"/>
      <c r="GX69" s="27"/>
      <c r="GY69" s="27"/>
      <c r="GZ69" s="27"/>
      <c r="HA69" s="27"/>
      <c r="HB69" s="27"/>
      <c r="HC69" s="27"/>
      <c r="HD69" s="27"/>
      <c r="HE69" s="27"/>
      <c r="HF69" s="27"/>
      <c r="HG69" s="27"/>
      <c r="HH69" s="27"/>
      <c r="HI69" s="27"/>
      <c r="HJ69" s="27"/>
      <c r="HK69" s="27"/>
      <c r="HL69" s="27"/>
      <c r="HM69" s="27"/>
      <c r="HN69" s="27"/>
      <c r="HO69" s="27"/>
      <c r="HP69" s="27"/>
      <c r="HQ69" s="27"/>
      <c r="HR69" s="27"/>
      <c r="HS69" s="27"/>
      <c r="HT69" s="27"/>
      <c r="HU69" s="27"/>
      <c r="HV69" s="27"/>
      <c r="HW69" s="27"/>
      <c r="HX69" s="27"/>
      <c r="HY69" s="27"/>
      <c r="HZ69" s="27"/>
      <c r="IA69" s="27"/>
      <c r="IB69" s="27"/>
      <c r="IC69" s="27"/>
      <c r="ID69" s="27"/>
      <c r="IE69" s="27"/>
      <c r="IF69" s="27"/>
      <c r="IG69" s="27"/>
      <c r="IH69" s="27"/>
      <c r="II69" s="27"/>
      <c r="IJ69" s="27"/>
      <c r="IK69" s="27"/>
      <c r="IL69" s="27"/>
      <c r="IM69" s="27"/>
      <c r="IN69" s="27"/>
      <c r="IO69" s="27"/>
      <c r="IP69" s="27"/>
      <c r="IQ69" s="27"/>
      <c r="IR69" s="27"/>
      <c r="IS69" s="27"/>
      <c r="IT69" s="27"/>
      <c r="IU69" s="27"/>
      <c r="IV69" s="27"/>
      <c r="IW69" s="27"/>
      <c r="IX69" s="27"/>
      <c r="IY69" s="27"/>
      <c r="IZ69" s="27"/>
      <c r="JA69" s="27"/>
      <c r="JB69" s="27"/>
      <c r="JC69" s="27"/>
      <c r="JD69" s="27"/>
      <c r="JE69" s="27"/>
      <c r="JF69" s="27"/>
      <c r="JG69" s="27"/>
      <c r="JH69" s="27"/>
      <c r="JI69" s="27"/>
      <c r="JJ69" s="27"/>
      <c r="JK69" s="27"/>
      <c r="JL69" s="27"/>
      <c r="JM69" s="27"/>
      <c r="JN69" s="27"/>
      <c r="JO69" s="27"/>
      <c r="JP69" s="27"/>
      <c r="JQ69" s="27"/>
      <c r="JR69" s="27"/>
      <c r="JS69" s="27"/>
      <c r="JT69" s="27"/>
      <c r="JU69" s="27"/>
      <c r="JV69" s="27"/>
      <c r="JW69" s="27"/>
      <c r="JX69" s="27"/>
      <c r="JY69" s="27"/>
      <c r="JZ69" s="27"/>
      <c r="KA69" s="27"/>
      <c r="KB69" s="27"/>
      <c r="KC69" s="27"/>
      <c r="KD69" s="27"/>
      <c r="KE69" s="27"/>
      <c r="KF69" s="27"/>
      <c r="KG69" s="27"/>
      <c r="KH69" s="27"/>
      <c r="KI69" s="27"/>
      <c r="KJ69" s="27"/>
      <c r="KK69" s="27"/>
      <c r="KL69" s="27"/>
      <c r="KM69" s="27"/>
      <c r="KN69" s="27"/>
      <c r="KO69" s="27"/>
      <c r="KP69" s="27"/>
      <c r="KQ69" s="27"/>
      <c r="KR69" s="27"/>
      <c r="KS69" s="27"/>
      <c r="KT69" s="27"/>
      <c r="KU69" s="27"/>
      <c r="KV69" s="27"/>
      <c r="KW69" s="27"/>
      <c r="KX69" s="27"/>
      <c r="KY69" s="27"/>
      <c r="KZ69" s="27"/>
      <c r="LA69" s="27"/>
      <c r="LB69" s="27"/>
      <c r="LC69" s="27"/>
      <c r="LD69" s="27"/>
      <c r="LE69" s="27"/>
      <c r="LF69" s="27"/>
      <c r="LG69" s="27"/>
      <c r="LH69" s="27"/>
      <c r="LI69" s="27"/>
      <c r="LJ69" s="27"/>
      <c r="LK69" s="27"/>
      <c r="LL69" s="27"/>
      <c r="LM69" s="27"/>
      <c r="LN69" s="27"/>
      <c r="LO69" s="27"/>
      <c r="LP69" s="27"/>
      <c r="LQ69" s="27"/>
      <c r="LR69" s="27"/>
      <c r="LS69" s="27"/>
      <c r="LT69" s="27"/>
      <c r="LU69" s="27"/>
      <c r="LV69" s="27"/>
      <c r="LW69" s="27"/>
      <c r="LX69" s="27"/>
      <c r="LY69" s="27"/>
      <c r="LZ69" s="27"/>
      <c r="MA69" s="27"/>
      <c r="MB69" s="27"/>
      <c r="MC69" s="27"/>
      <c r="MD69" s="27"/>
      <c r="ME69" s="27"/>
      <c r="MF69" s="27"/>
      <c r="MG69" s="27"/>
      <c r="MH69" s="27"/>
      <c r="MI69" s="27"/>
      <c r="MJ69" s="27"/>
      <c r="MK69" s="27"/>
      <c r="ML69" s="27"/>
      <c r="MM69" s="27"/>
      <c r="MN69" s="27"/>
      <c r="MO69" s="27"/>
      <c r="MP69" s="27"/>
      <c r="MQ69" s="27"/>
      <c r="MR69" s="27"/>
      <c r="MS69" s="27"/>
      <c r="MT69" s="27"/>
      <c r="MU69" s="27"/>
      <c r="MV69" s="27"/>
      <c r="MW69" s="27"/>
      <c r="MX69" s="27"/>
      <c r="MY69" s="27"/>
      <c r="MZ69" s="27"/>
      <c r="NA69" s="27"/>
      <c r="NB69" s="27"/>
    </row>
    <row r="70" spans="1:366" ht="16" customHeight="1" x14ac:dyDescent="0.15">
      <c r="B70" s="31"/>
      <c r="C70" s="31"/>
      <c r="D70" s="3"/>
      <c r="E70" s="101"/>
      <c r="F70" s="32"/>
      <c r="G70" s="32"/>
      <c r="H70" s="32"/>
      <c r="I70" s="32"/>
      <c r="J70" s="32"/>
      <c r="K70" s="32"/>
      <c r="L70" s="32"/>
      <c r="M70" s="32"/>
      <c r="N70" s="32"/>
      <c r="O70" s="32"/>
      <c r="P70" s="32"/>
      <c r="Q70" s="32"/>
      <c r="R70" s="32"/>
      <c r="S70" s="32"/>
      <c r="T70" s="32"/>
      <c r="U70" s="32"/>
      <c r="V70" s="32"/>
      <c r="W70" s="32"/>
      <c r="X70" s="32"/>
      <c r="Y70" s="32"/>
      <c r="Z70" s="32"/>
      <c r="AA70" s="32"/>
      <c r="AB70" s="32"/>
      <c r="AC70" s="32"/>
      <c r="AD70" s="32"/>
      <c r="AE70" s="32"/>
      <c r="AF70" s="32"/>
      <c r="AG70" s="32"/>
      <c r="AH70" s="32"/>
      <c r="AI70" s="32"/>
      <c r="AJ70" s="32"/>
      <c r="AK70" s="32"/>
      <c r="AL70" s="32"/>
      <c r="AM70" s="32"/>
      <c r="AN70" s="32"/>
      <c r="AO70" s="32"/>
      <c r="AP70" s="32"/>
      <c r="AQ70" s="32"/>
      <c r="AR70" s="32"/>
      <c r="AS70" s="32"/>
      <c r="AT70" s="32"/>
      <c r="AU70" s="32"/>
      <c r="AV70" s="32"/>
      <c r="AW70" s="32"/>
      <c r="AX70" s="32"/>
      <c r="AY70" s="32"/>
      <c r="AZ70" s="32"/>
      <c r="BA70" s="32"/>
      <c r="BB70" s="32"/>
      <c r="BC70" s="32"/>
      <c r="BD70" s="32"/>
      <c r="BE70" s="32"/>
      <c r="BF70" s="32"/>
      <c r="BG70" s="32"/>
      <c r="BH70" s="32"/>
      <c r="BI70" s="32"/>
      <c r="BJ70" s="32"/>
      <c r="BK70" s="32"/>
      <c r="BL70" s="32"/>
      <c r="BM70" s="32"/>
      <c r="BN70" s="32"/>
      <c r="BO70" s="32"/>
      <c r="BP70" s="32"/>
      <c r="BQ70" s="32"/>
      <c r="BR70" s="32"/>
      <c r="BS70" s="32"/>
      <c r="BT70" s="32"/>
      <c r="BU70" s="32"/>
      <c r="BV70" s="32"/>
      <c r="BW70" s="32"/>
      <c r="BX70" s="32"/>
      <c r="BY70" s="32"/>
      <c r="BZ70" s="32"/>
      <c r="CA70" s="32"/>
      <c r="CB70" s="32"/>
      <c r="CC70" s="32"/>
      <c r="CD70" s="32"/>
      <c r="CE70" s="32"/>
      <c r="CF70" s="32"/>
      <c r="CG70" s="32"/>
      <c r="CH70" s="32"/>
      <c r="CI70" s="32"/>
      <c r="CJ70" s="32"/>
      <c r="CK70" s="32"/>
      <c r="CL70" s="32"/>
      <c r="CM70" s="32"/>
      <c r="CN70" s="32"/>
      <c r="CO70" s="32"/>
      <c r="CP70" s="32"/>
      <c r="CQ70" s="32"/>
      <c r="CR70" s="32"/>
      <c r="CS70" s="32"/>
      <c r="CT70" s="32"/>
      <c r="CU70" s="32"/>
      <c r="CV70" s="32"/>
      <c r="CW70" s="32"/>
      <c r="CX70" s="32"/>
      <c r="CY70" s="32"/>
      <c r="CZ70" s="32"/>
      <c r="DA70" s="32"/>
      <c r="DB70" s="32"/>
      <c r="DC70" s="32"/>
      <c r="DD70" s="32"/>
      <c r="DE70" s="32"/>
      <c r="DF70" s="32"/>
      <c r="DG70" s="32"/>
      <c r="DH70" s="32"/>
      <c r="DI70" s="32"/>
      <c r="DJ70" s="32"/>
      <c r="DK70" s="32"/>
      <c r="DL70" s="32"/>
      <c r="DM70" s="32"/>
      <c r="DN70" s="32"/>
      <c r="DO70" s="32"/>
      <c r="DP70" s="32"/>
      <c r="DQ70" s="32"/>
      <c r="DR70" s="32"/>
      <c r="DS70" s="32"/>
      <c r="DT70" s="32"/>
      <c r="DU70" s="32"/>
      <c r="DV70" s="32"/>
      <c r="DW70" s="32"/>
      <c r="DX70" s="32"/>
      <c r="DY70" s="32"/>
      <c r="DZ70" s="32"/>
      <c r="EA70" s="32"/>
      <c r="EB70" s="32"/>
      <c r="EC70" s="32"/>
      <c r="ED70" s="32"/>
      <c r="EE70" s="32"/>
      <c r="EF70" s="32"/>
      <c r="EG70" s="32"/>
      <c r="EH70" s="32"/>
      <c r="EI70" s="32"/>
      <c r="EJ70" s="32"/>
      <c r="EK70" s="32"/>
      <c r="EL70" s="32"/>
      <c r="EM70" s="32"/>
      <c r="EN70" s="32"/>
      <c r="EO70" s="32"/>
      <c r="EP70" s="32"/>
      <c r="EQ70" s="32"/>
      <c r="ER70" s="32"/>
      <c r="ES70" s="32"/>
      <c r="ET70" s="32"/>
      <c r="EU70" s="32"/>
      <c r="EV70" s="32"/>
      <c r="EW70" s="32"/>
      <c r="EX70" s="32"/>
      <c r="EY70" s="32"/>
      <c r="EZ70" s="32"/>
      <c r="FA70" s="32"/>
      <c r="FB70" s="32"/>
      <c r="FC70" s="32"/>
      <c r="FD70" s="32"/>
      <c r="FE70" s="32"/>
      <c r="FF70" s="32"/>
      <c r="FG70" s="32"/>
      <c r="FH70" s="32"/>
      <c r="FI70" s="32"/>
      <c r="FJ70" s="32"/>
      <c r="FK70" s="32"/>
      <c r="FL70" s="32"/>
      <c r="FM70" s="32"/>
      <c r="FN70" s="32"/>
      <c r="FO70" s="32"/>
      <c r="FP70" s="32"/>
      <c r="FQ70" s="32"/>
      <c r="FR70" s="32"/>
      <c r="FS70" s="32"/>
      <c r="FT70" s="32"/>
      <c r="FU70" s="32"/>
      <c r="FV70" s="32"/>
      <c r="FW70" s="32"/>
      <c r="FX70" s="32"/>
      <c r="FY70" s="32"/>
      <c r="FZ70" s="32"/>
      <c r="GA70" s="32"/>
      <c r="GB70" s="32"/>
      <c r="GC70" s="32"/>
      <c r="GD70" s="32"/>
      <c r="GE70" s="32"/>
      <c r="GF70" s="32"/>
      <c r="GG70" s="32"/>
      <c r="GH70" s="32"/>
      <c r="GI70" s="32"/>
      <c r="GJ70" s="32"/>
      <c r="GK70" s="32"/>
      <c r="GL70" s="32"/>
      <c r="GM70" s="32"/>
      <c r="GN70" s="32"/>
      <c r="GO70" s="32"/>
      <c r="GP70" s="32"/>
      <c r="GQ70" s="32"/>
      <c r="GR70" s="32"/>
      <c r="GS70" s="32"/>
      <c r="GT70" s="32"/>
      <c r="GU70" s="32"/>
      <c r="GV70" s="32"/>
      <c r="GW70" s="32"/>
      <c r="GX70" s="32"/>
      <c r="GY70" s="32"/>
      <c r="GZ70" s="32"/>
      <c r="HA70" s="32"/>
      <c r="HB70" s="32"/>
      <c r="HC70" s="32"/>
      <c r="HD70" s="32"/>
      <c r="HE70" s="32"/>
      <c r="HF70" s="32"/>
      <c r="HG70" s="32"/>
      <c r="HH70" s="32"/>
      <c r="HI70" s="32"/>
      <c r="HJ70" s="32"/>
      <c r="HK70" s="32"/>
      <c r="HL70" s="32"/>
      <c r="HM70" s="32"/>
      <c r="HN70" s="32"/>
      <c r="HO70" s="32"/>
      <c r="HP70" s="32"/>
      <c r="HQ70" s="32"/>
      <c r="HR70" s="32"/>
      <c r="HS70" s="32"/>
      <c r="HT70" s="32"/>
      <c r="HU70" s="32"/>
      <c r="HV70" s="32"/>
      <c r="HW70" s="32"/>
      <c r="HX70" s="32"/>
      <c r="HY70" s="32"/>
      <c r="HZ70" s="32"/>
      <c r="IA70" s="32"/>
      <c r="IB70" s="32"/>
      <c r="IC70" s="32"/>
      <c r="ID70" s="32"/>
      <c r="IE70" s="32"/>
      <c r="IF70" s="32"/>
      <c r="IG70" s="32"/>
      <c r="IH70" s="32"/>
      <c r="II70" s="32"/>
      <c r="IJ70" s="32"/>
      <c r="IK70" s="32"/>
      <c r="IL70" s="32"/>
      <c r="IM70" s="32"/>
      <c r="IN70" s="32"/>
      <c r="IO70" s="32"/>
      <c r="IP70" s="32"/>
      <c r="IQ70" s="32"/>
      <c r="IR70" s="32"/>
      <c r="IS70" s="32"/>
      <c r="IT70" s="32"/>
      <c r="IU70" s="32"/>
      <c r="IV70" s="32"/>
      <c r="IW70" s="32"/>
      <c r="IX70" s="32"/>
      <c r="IY70" s="32"/>
      <c r="IZ70" s="32"/>
      <c r="JA70" s="32"/>
      <c r="JB70" s="32"/>
      <c r="JC70" s="32"/>
      <c r="JD70" s="32"/>
      <c r="JE70" s="32"/>
      <c r="JF70" s="32"/>
      <c r="JG70" s="32"/>
      <c r="JH70" s="32"/>
      <c r="JI70" s="32"/>
      <c r="JJ70" s="32"/>
      <c r="JK70" s="32"/>
      <c r="JL70" s="32"/>
      <c r="JM70" s="32"/>
      <c r="JN70" s="32"/>
      <c r="JO70" s="32"/>
      <c r="JP70" s="32"/>
      <c r="JQ70" s="32"/>
      <c r="JR70" s="32"/>
      <c r="JS70" s="32"/>
      <c r="JT70" s="32"/>
      <c r="JU70" s="32"/>
      <c r="JV70" s="32"/>
      <c r="JW70" s="32"/>
      <c r="JX70" s="32"/>
      <c r="JY70" s="32"/>
      <c r="JZ70" s="32"/>
      <c r="KA70" s="32"/>
      <c r="KB70" s="32"/>
      <c r="KC70" s="32"/>
      <c r="KD70" s="32"/>
      <c r="KE70" s="32"/>
      <c r="KF70" s="32"/>
      <c r="KG70" s="32"/>
      <c r="KH70" s="32"/>
      <c r="KI70" s="32"/>
      <c r="KJ70" s="32"/>
      <c r="KK70" s="32"/>
      <c r="KL70" s="32"/>
      <c r="KM70" s="32"/>
      <c r="KN70" s="32"/>
      <c r="KO70" s="32"/>
      <c r="KP70" s="32"/>
      <c r="KQ70" s="32"/>
      <c r="KR70" s="32"/>
      <c r="KS70" s="32"/>
      <c r="KT70" s="32"/>
      <c r="KU70" s="32"/>
      <c r="KV70" s="32"/>
      <c r="KW70" s="32"/>
      <c r="KX70" s="32"/>
      <c r="KY70" s="32"/>
      <c r="KZ70" s="32"/>
      <c r="LA70" s="32"/>
      <c r="LB70" s="32"/>
      <c r="LC70" s="32"/>
      <c r="LD70" s="32"/>
      <c r="LE70" s="32"/>
      <c r="LF70" s="32"/>
      <c r="LG70" s="32"/>
      <c r="LH70" s="32"/>
      <c r="LI70" s="32"/>
      <c r="LJ70" s="32"/>
      <c r="LK70" s="32"/>
      <c r="LL70" s="32"/>
      <c r="LM70" s="32"/>
      <c r="LN70" s="32"/>
      <c r="LO70" s="32"/>
      <c r="LP70" s="32"/>
      <c r="LQ70" s="32"/>
      <c r="LR70" s="32"/>
      <c r="LS70" s="32"/>
      <c r="LT70" s="32"/>
      <c r="LU70" s="32"/>
      <c r="LV70" s="32"/>
      <c r="LW70" s="32"/>
      <c r="LX70" s="32"/>
      <c r="LY70" s="32"/>
      <c r="LZ70" s="32"/>
      <c r="MA70" s="32"/>
      <c r="MB70" s="32"/>
      <c r="MC70" s="32"/>
      <c r="MD70" s="32"/>
      <c r="ME70" s="32"/>
      <c r="MF70" s="32"/>
      <c r="MG70" s="32"/>
      <c r="MH70" s="32"/>
      <c r="MI70" s="32"/>
      <c r="MJ70" s="32"/>
      <c r="MK70" s="32"/>
      <c r="ML70" s="32"/>
      <c r="MM70" s="32"/>
      <c r="MN70" s="32"/>
      <c r="MO70" s="32"/>
      <c r="MP70" s="32"/>
      <c r="MQ70" s="32"/>
      <c r="MR70" s="32"/>
      <c r="MS70" s="32"/>
      <c r="MT70" s="32"/>
      <c r="MU70" s="32"/>
      <c r="MV70" s="32"/>
      <c r="MW70" s="32"/>
      <c r="MX70" s="32"/>
      <c r="MY70" s="32"/>
      <c r="MZ70" s="32"/>
      <c r="NA70" s="32"/>
      <c r="NB70" s="32"/>
    </row>
    <row r="71" spans="1:366" s="6" customFormat="1" ht="16" customHeight="1" x14ac:dyDescent="0.15">
      <c r="A71"/>
      <c r="B71" s="45" t="s">
        <v>243</v>
      </c>
      <c r="C71" s="46"/>
      <c r="D71" s="45"/>
      <c r="E71" s="99"/>
      <c r="F71" s="47"/>
      <c r="G71" s="47"/>
      <c r="H71" s="47"/>
      <c r="I71" s="47"/>
      <c r="J71" s="47"/>
      <c r="K71" s="47"/>
      <c r="L71" s="47"/>
      <c r="M71" s="47"/>
      <c r="N71" s="47"/>
      <c r="O71" s="47"/>
      <c r="P71" s="47"/>
      <c r="Q71" s="47"/>
      <c r="R71" s="47"/>
      <c r="S71" s="47"/>
      <c r="T71" s="47"/>
      <c r="U71" s="47"/>
      <c r="V71" s="47"/>
      <c r="W71" s="47"/>
      <c r="X71" s="47"/>
      <c r="Y71" s="47"/>
      <c r="Z71" s="47"/>
      <c r="AA71" s="47"/>
      <c r="AB71" s="47"/>
      <c r="AC71" s="47"/>
      <c r="AD71" s="47"/>
      <c r="AE71" s="47"/>
      <c r="AF71" s="47"/>
      <c r="AG71" s="47"/>
      <c r="AH71" s="47"/>
      <c r="AI71" s="47"/>
      <c r="AJ71" s="47"/>
      <c r="AK71" s="47"/>
      <c r="AL71" s="47"/>
      <c r="AM71" s="47"/>
      <c r="AN71" s="47"/>
      <c r="AO71" s="47"/>
      <c r="AP71" s="47"/>
      <c r="AQ71" s="47"/>
      <c r="AR71" s="47"/>
      <c r="AS71" s="47"/>
      <c r="AT71" s="47"/>
      <c r="AU71" s="47"/>
      <c r="AV71" s="47"/>
      <c r="AW71" s="47"/>
      <c r="AX71" s="47"/>
      <c r="AY71" s="47"/>
      <c r="AZ71" s="47"/>
      <c r="BA71" s="47"/>
      <c r="BB71" s="47"/>
      <c r="BC71" s="47"/>
      <c r="BD71" s="47"/>
      <c r="BE71" s="47"/>
      <c r="BF71" s="47"/>
      <c r="BG71" s="47"/>
      <c r="BH71" s="47"/>
      <c r="BI71" s="47"/>
      <c r="BJ71" s="47"/>
      <c r="BK71" s="47"/>
      <c r="BL71" s="47"/>
      <c r="BM71" s="47"/>
      <c r="BN71" s="47"/>
      <c r="BO71" s="47"/>
      <c r="BP71" s="47"/>
      <c r="BQ71" s="47"/>
      <c r="BR71" s="47"/>
      <c r="BS71" s="47"/>
      <c r="BT71" s="47"/>
      <c r="BU71" s="47"/>
      <c r="BV71" s="47"/>
      <c r="BW71" s="47"/>
      <c r="BX71" s="47"/>
      <c r="BY71" s="47"/>
      <c r="BZ71" s="47"/>
      <c r="CA71" s="47"/>
      <c r="CB71" s="47"/>
      <c r="CC71" s="47"/>
      <c r="CD71" s="47"/>
      <c r="CE71" s="47"/>
      <c r="CF71" s="47"/>
      <c r="CG71" s="47"/>
      <c r="CH71" s="47"/>
      <c r="CI71" s="47"/>
      <c r="CJ71" s="47"/>
      <c r="CK71" s="47"/>
      <c r="CL71" s="47"/>
      <c r="CM71" s="47"/>
      <c r="CN71" s="47"/>
      <c r="CO71" s="47"/>
      <c r="CP71" s="47"/>
      <c r="CQ71" s="47"/>
      <c r="CR71" s="47"/>
      <c r="CS71" s="47"/>
      <c r="CT71" s="47"/>
      <c r="CU71" s="47"/>
      <c r="CV71" s="47"/>
      <c r="CW71" s="47"/>
      <c r="CX71" s="47"/>
      <c r="CY71" s="47"/>
      <c r="CZ71" s="47"/>
      <c r="DA71" s="47"/>
      <c r="DB71" s="47"/>
      <c r="DC71" s="47"/>
      <c r="DD71" s="47"/>
      <c r="DE71" s="47"/>
      <c r="DF71" s="47"/>
      <c r="DG71" s="47"/>
      <c r="DH71" s="47"/>
      <c r="DI71" s="47"/>
      <c r="DJ71" s="47"/>
      <c r="DK71" s="47"/>
      <c r="DL71" s="47"/>
      <c r="DM71" s="47"/>
      <c r="DN71" s="47"/>
      <c r="DO71" s="47"/>
      <c r="DP71" s="47"/>
      <c r="DQ71" s="47"/>
      <c r="DR71" s="47"/>
      <c r="DS71" s="47"/>
      <c r="DT71" s="47"/>
      <c r="DU71" s="47"/>
      <c r="DV71" s="47"/>
      <c r="DW71" s="47"/>
      <c r="DX71" s="47"/>
      <c r="DY71" s="47"/>
      <c r="DZ71" s="47"/>
      <c r="EA71" s="47"/>
      <c r="EB71" s="47"/>
      <c r="EC71" s="47"/>
      <c r="ED71" s="47"/>
      <c r="EE71" s="47"/>
      <c r="EF71" s="47"/>
      <c r="EG71" s="47"/>
      <c r="EH71" s="47"/>
      <c r="EI71" s="47"/>
      <c r="EJ71" s="47"/>
      <c r="EK71" s="47"/>
      <c r="EL71" s="47"/>
      <c r="EM71" s="47"/>
      <c r="EN71" s="47"/>
      <c r="EO71" s="47"/>
      <c r="EP71" s="47"/>
      <c r="EQ71" s="47"/>
      <c r="ER71" s="47"/>
      <c r="ES71" s="47"/>
      <c r="ET71" s="47"/>
      <c r="EU71" s="47"/>
      <c r="EV71" s="47"/>
      <c r="EW71" s="47"/>
      <c r="EX71" s="47"/>
      <c r="EY71" s="47"/>
      <c r="EZ71" s="47"/>
      <c r="FA71" s="47"/>
      <c r="FB71" s="47"/>
      <c r="FC71" s="47"/>
      <c r="FD71" s="47"/>
      <c r="FE71" s="47"/>
      <c r="FF71" s="47"/>
      <c r="FG71" s="47"/>
      <c r="FH71" s="47"/>
      <c r="FI71" s="47"/>
      <c r="FJ71" s="47"/>
      <c r="FK71" s="47"/>
      <c r="FL71" s="47"/>
      <c r="FM71" s="47"/>
      <c r="FN71" s="47"/>
      <c r="FO71" s="47"/>
      <c r="FP71" s="47"/>
      <c r="FQ71" s="47"/>
      <c r="FR71" s="47"/>
      <c r="FS71" s="47"/>
      <c r="FT71" s="47"/>
      <c r="FU71" s="47"/>
      <c r="FV71" s="47"/>
      <c r="FW71" s="47"/>
      <c r="FX71" s="47"/>
      <c r="FY71" s="47"/>
      <c r="FZ71" s="47"/>
      <c r="GA71" s="47"/>
      <c r="GB71" s="47"/>
      <c r="GC71" s="47"/>
      <c r="GD71" s="47"/>
      <c r="GE71" s="47"/>
      <c r="GF71" s="47"/>
      <c r="GG71" s="47"/>
      <c r="GH71" s="47"/>
      <c r="GI71" s="47"/>
      <c r="GJ71" s="47"/>
      <c r="GK71" s="47"/>
      <c r="GL71" s="47"/>
      <c r="GM71" s="47"/>
      <c r="GN71" s="278"/>
      <c r="GO71" s="278"/>
      <c r="GP71" s="278"/>
    </row>
    <row r="72" spans="1:366" ht="16" customHeight="1" x14ac:dyDescent="0.15">
      <c r="E72"/>
      <c r="GQ72" s="63"/>
      <c r="GR72" s="63"/>
      <c r="GS72" s="63"/>
      <c r="GT72" s="63"/>
      <c r="GU72" s="63"/>
      <c r="GV72" s="63"/>
      <c r="GW72" s="63"/>
      <c r="GX72" s="63"/>
      <c r="GY72" s="63"/>
      <c r="GZ72" s="63"/>
      <c r="HA72" s="63"/>
      <c r="HB72" s="63"/>
      <c r="HC72" s="63"/>
      <c r="HD72" s="63"/>
      <c r="HE72" s="63"/>
      <c r="HF72" s="63"/>
      <c r="HG72" s="63"/>
      <c r="HH72" s="63"/>
      <c r="HI72" s="63"/>
      <c r="HJ72" s="63"/>
      <c r="HK72" s="63"/>
      <c r="HL72" s="63"/>
      <c r="HM72" s="63"/>
      <c r="HN72" s="63"/>
      <c r="HO72" s="63"/>
      <c r="HP72" s="63"/>
      <c r="HQ72" s="63"/>
      <c r="HR72" s="63"/>
      <c r="HS72" s="63"/>
      <c r="HT72" s="63"/>
      <c r="HU72" s="63"/>
      <c r="HV72" s="63"/>
      <c r="HW72" s="63"/>
      <c r="HX72" s="63"/>
      <c r="HY72" s="63"/>
      <c r="HZ72" s="63"/>
      <c r="IA72" s="63"/>
      <c r="IB72" s="63"/>
      <c r="IC72" s="63"/>
      <c r="ID72" s="63"/>
      <c r="IE72" s="63"/>
      <c r="IF72" s="63"/>
      <c r="IG72" s="63"/>
      <c r="IH72" s="63"/>
      <c r="II72" s="63"/>
      <c r="IJ72" s="63"/>
      <c r="IK72" s="63"/>
      <c r="IL72" s="63"/>
      <c r="IM72" s="63"/>
      <c r="IN72" s="63"/>
      <c r="IO72" s="63"/>
      <c r="IP72" s="63"/>
      <c r="IQ72" s="63"/>
      <c r="IR72" s="63"/>
      <c r="IS72" s="63"/>
      <c r="IT72" s="63"/>
      <c r="IU72" s="63"/>
      <c r="IV72" s="63"/>
      <c r="IW72" s="63"/>
      <c r="IX72" s="63"/>
      <c r="IY72" s="63"/>
      <c r="IZ72" s="63"/>
      <c r="JA72" s="63"/>
      <c r="JB72" s="63"/>
      <c r="JC72" s="63"/>
      <c r="JD72" s="63"/>
      <c r="JE72" s="63"/>
      <c r="JF72" s="63"/>
      <c r="JG72" s="63"/>
      <c r="JH72" s="63"/>
      <c r="JI72" s="63"/>
      <c r="JJ72" s="63"/>
      <c r="JK72" s="63"/>
      <c r="JL72" s="63"/>
      <c r="JM72" s="63"/>
      <c r="JN72" s="63"/>
      <c r="JO72" s="63"/>
      <c r="JP72" s="63"/>
      <c r="JQ72" s="63"/>
      <c r="JR72" s="63"/>
      <c r="JS72" s="63"/>
      <c r="JT72" s="63"/>
      <c r="JU72" s="63"/>
      <c r="JV72" s="63"/>
      <c r="JW72" s="63"/>
      <c r="JX72" s="63"/>
      <c r="JY72" s="63"/>
      <c r="JZ72" s="63"/>
      <c r="KA72" s="63"/>
      <c r="KB72" s="63"/>
      <c r="KC72" s="63"/>
      <c r="KD72" s="63"/>
      <c r="KE72" s="63"/>
      <c r="KF72" s="63"/>
      <c r="KG72" s="63"/>
      <c r="KH72" s="63"/>
      <c r="KI72" s="63"/>
      <c r="KJ72" s="63"/>
      <c r="KK72" s="63"/>
      <c r="KL72" s="63"/>
      <c r="KM72" s="63"/>
      <c r="KN72" s="63"/>
      <c r="KO72" s="63"/>
      <c r="KP72" s="63"/>
      <c r="KQ72" s="63"/>
      <c r="KR72" s="63"/>
      <c r="KS72" s="63"/>
      <c r="KT72" s="63"/>
      <c r="KU72" s="63"/>
      <c r="KV72" s="63"/>
      <c r="KW72" s="63"/>
      <c r="KX72" s="63"/>
      <c r="KY72" s="63"/>
      <c r="KZ72" s="63"/>
      <c r="LA72" s="63"/>
      <c r="LB72" s="63"/>
      <c r="LC72" s="63"/>
      <c r="LD72" s="63"/>
      <c r="LE72" s="63"/>
      <c r="LF72" s="63"/>
      <c r="LG72" s="63"/>
      <c r="LH72" s="63"/>
      <c r="LI72" s="63"/>
      <c r="LJ72" s="63"/>
      <c r="LK72" s="63"/>
      <c r="LL72" s="63"/>
      <c r="LM72" s="63"/>
      <c r="LN72" s="63"/>
      <c r="LO72" s="63"/>
      <c r="LP72" s="63"/>
      <c r="LQ72" s="63"/>
      <c r="LR72" s="63"/>
      <c r="LS72" s="63"/>
      <c r="LT72" s="63"/>
      <c r="LU72" s="63"/>
      <c r="LV72" s="63"/>
      <c r="LW72" s="63"/>
      <c r="LX72" s="63"/>
      <c r="LY72" s="63"/>
      <c r="LZ72" s="63"/>
      <c r="MA72" s="63"/>
      <c r="MB72" s="63"/>
      <c r="MC72" s="63"/>
      <c r="MD72" s="63"/>
      <c r="ME72" s="63"/>
      <c r="MF72" s="63"/>
      <c r="MG72" s="63"/>
      <c r="MH72" s="63"/>
      <c r="MI72" s="63"/>
      <c r="MJ72" s="63"/>
      <c r="MK72" s="63"/>
      <c r="ML72" s="63"/>
      <c r="MM72" s="63"/>
      <c r="MN72" s="63"/>
      <c r="MO72" s="63"/>
      <c r="MP72" s="63"/>
      <c r="MQ72" s="63"/>
      <c r="MR72" s="63"/>
      <c r="MS72" s="63"/>
      <c r="MT72" s="63"/>
      <c r="MU72" s="63"/>
      <c r="MV72" s="63"/>
      <c r="MW72" s="63"/>
      <c r="MX72" s="63"/>
      <c r="MY72" s="63"/>
      <c r="MZ72" s="63"/>
      <c r="NA72" s="63"/>
      <c r="NB72" s="63"/>
    </row>
    <row r="73" spans="1:366" ht="16" customHeight="1" x14ac:dyDescent="0.15">
      <c r="B73" s="3" t="s">
        <v>270</v>
      </c>
      <c r="E73"/>
      <c r="GQ73" s="63"/>
      <c r="GR73" s="63"/>
      <c r="GS73" s="63"/>
      <c r="GT73" s="63"/>
      <c r="GU73" s="63"/>
      <c r="GV73" s="63"/>
      <c r="GW73" s="63"/>
      <c r="GX73" s="63"/>
      <c r="GY73" s="63"/>
      <c r="GZ73" s="63"/>
      <c r="HA73" s="63"/>
      <c r="HB73" s="63"/>
      <c r="HC73" s="63"/>
      <c r="HD73" s="63"/>
      <c r="HE73" s="63"/>
      <c r="HF73" s="63"/>
      <c r="HG73" s="63"/>
      <c r="HH73" s="63"/>
      <c r="HI73" s="63"/>
      <c r="HJ73" s="63"/>
      <c r="HK73" s="63"/>
      <c r="HL73" s="63"/>
      <c r="HM73" s="63"/>
      <c r="HN73" s="63"/>
      <c r="HO73" s="63"/>
      <c r="HP73" s="63"/>
      <c r="HQ73" s="63"/>
      <c r="HR73" s="63"/>
      <c r="HS73" s="63"/>
      <c r="HT73" s="63"/>
      <c r="HU73" s="63"/>
      <c r="HV73" s="63"/>
      <c r="HW73" s="63"/>
      <c r="HX73" s="63"/>
      <c r="HY73" s="63"/>
      <c r="HZ73" s="63"/>
      <c r="IA73" s="63"/>
      <c r="IB73" s="63"/>
      <c r="IC73" s="63"/>
      <c r="ID73" s="63"/>
      <c r="IE73" s="63"/>
      <c r="IF73" s="63"/>
      <c r="IG73" s="63"/>
      <c r="IH73" s="63"/>
      <c r="II73" s="63"/>
      <c r="IJ73" s="63"/>
      <c r="IK73" s="63"/>
      <c r="IL73" s="63"/>
      <c r="IM73" s="63"/>
      <c r="IN73" s="63"/>
      <c r="IO73" s="63"/>
      <c r="IP73" s="63"/>
      <c r="IQ73" s="63"/>
      <c r="IR73" s="63"/>
      <c r="IS73" s="63"/>
      <c r="IT73" s="63"/>
      <c r="IU73" s="63"/>
      <c r="IV73" s="63"/>
      <c r="IW73" s="63"/>
      <c r="IX73" s="63"/>
      <c r="IY73" s="63"/>
      <c r="IZ73" s="63"/>
      <c r="JA73" s="63"/>
      <c r="JB73" s="63"/>
      <c r="JC73" s="63"/>
      <c r="JD73" s="63"/>
      <c r="JE73" s="63"/>
      <c r="JF73" s="63"/>
      <c r="JG73" s="63"/>
      <c r="JH73" s="63"/>
      <c r="JI73" s="63"/>
      <c r="JJ73" s="63"/>
      <c r="JK73" s="63"/>
      <c r="JL73" s="63"/>
      <c r="JM73" s="63"/>
      <c r="JN73" s="63"/>
      <c r="JO73" s="63"/>
      <c r="JP73" s="63"/>
      <c r="JQ73" s="63"/>
      <c r="JR73" s="63"/>
      <c r="JS73" s="63"/>
      <c r="JT73" s="63"/>
      <c r="JU73" s="63"/>
      <c r="JV73" s="63"/>
      <c r="JW73" s="63"/>
      <c r="JX73" s="63"/>
      <c r="JY73" s="63"/>
      <c r="JZ73" s="63"/>
      <c r="KA73" s="63"/>
      <c r="KB73" s="63"/>
      <c r="KC73" s="63"/>
      <c r="KD73" s="63"/>
      <c r="KE73" s="63"/>
      <c r="KF73" s="63"/>
      <c r="KG73" s="63"/>
      <c r="KH73" s="63"/>
      <c r="KI73" s="63"/>
      <c r="KJ73" s="63"/>
      <c r="KK73" s="63"/>
      <c r="KL73" s="63"/>
      <c r="KM73" s="63"/>
      <c r="KN73" s="63"/>
      <c r="KO73" s="63"/>
      <c r="KP73" s="63"/>
      <c r="KQ73" s="63"/>
      <c r="KR73" s="63"/>
      <c r="KS73" s="63"/>
      <c r="KT73" s="63"/>
      <c r="KU73" s="63"/>
      <c r="KV73" s="63"/>
      <c r="KW73" s="63"/>
      <c r="KX73" s="63"/>
      <c r="KY73" s="63"/>
      <c r="KZ73" s="63"/>
      <c r="LA73" s="63"/>
      <c r="LB73" s="63"/>
      <c r="LC73" s="63"/>
      <c r="LD73" s="63"/>
      <c r="LE73" s="63"/>
      <c r="LF73" s="63"/>
      <c r="LG73" s="63"/>
      <c r="LH73" s="63"/>
      <c r="LI73" s="63"/>
      <c r="LJ73" s="63"/>
      <c r="LK73" s="63"/>
      <c r="LL73" s="63"/>
      <c r="LM73" s="63"/>
      <c r="LN73" s="63"/>
      <c r="LO73" s="63"/>
      <c r="LP73" s="63"/>
      <c r="LQ73" s="63"/>
      <c r="LR73" s="63"/>
      <c r="LS73" s="63"/>
      <c r="LT73" s="63"/>
      <c r="LU73" s="63"/>
      <c r="LV73" s="63"/>
      <c r="LW73" s="63"/>
      <c r="LX73" s="63"/>
      <c r="LY73" s="63"/>
      <c r="LZ73" s="63"/>
      <c r="MA73" s="63"/>
      <c r="MB73" s="63"/>
      <c r="MC73" s="63"/>
      <c r="MD73" s="63"/>
      <c r="ME73" s="63"/>
      <c r="MF73" s="63"/>
      <c r="MG73" s="63"/>
      <c r="MH73" s="63"/>
      <c r="MI73" s="63"/>
      <c r="MJ73" s="63"/>
      <c r="MK73" s="63"/>
      <c r="ML73" s="63"/>
      <c r="MM73" s="63"/>
      <c r="MN73" s="63"/>
      <c r="MO73" s="63"/>
      <c r="MP73" s="63"/>
      <c r="MQ73" s="63"/>
      <c r="MR73" s="63"/>
      <c r="MS73" s="63"/>
      <c r="MT73" s="63"/>
      <c r="MU73" s="63"/>
      <c r="MV73" s="63"/>
      <c r="MW73" s="63"/>
      <c r="MX73" s="63"/>
      <c r="MY73" s="63"/>
      <c r="MZ73" s="63"/>
      <c r="NA73" s="63"/>
      <c r="NB73" s="63"/>
    </row>
    <row r="74" spans="1:366" ht="16" customHeight="1" x14ac:dyDescent="0.15">
      <c r="B74" s="12" t="s">
        <v>289</v>
      </c>
      <c r="C74" s="312" t="s">
        <v>150</v>
      </c>
      <c r="E74"/>
      <c r="F74" s="1">
        <f>MIN(equity_invested,MAX(0,-F$65))</f>
        <v>2676233.4004024141</v>
      </c>
      <c r="G74" s="27">
        <f t="shared" ref="G74:AL74" si="193">MIN(F$80,MAX(0,-G$65))</f>
        <v>0</v>
      </c>
      <c r="H74" s="27">
        <f t="shared" si="193"/>
        <v>0</v>
      </c>
      <c r="I74" s="27">
        <f t="shared" si="193"/>
        <v>0</v>
      </c>
      <c r="J74" s="27">
        <f t="shared" si="193"/>
        <v>0</v>
      </c>
      <c r="K74" s="27">
        <f t="shared" si="193"/>
        <v>0</v>
      </c>
      <c r="L74" s="27">
        <f t="shared" si="193"/>
        <v>0</v>
      </c>
      <c r="M74" s="27">
        <f t="shared" si="193"/>
        <v>0</v>
      </c>
      <c r="N74" s="27">
        <f t="shared" si="193"/>
        <v>0</v>
      </c>
      <c r="O74" s="27">
        <f t="shared" si="193"/>
        <v>0</v>
      </c>
      <c r="P74" s="27">
        <f t="shared" si="193"/>
        <v>0</v>
      </c>
      <c r="Q74" s="27">
        <f t="shared" si="193"/>
        <v>0</v>
      </c>
      <c r="R74" s="27">
        <f t="shared" si="193"/>
        <v>0</v>
      </c>
      <c r="S74" s="27">
        <f t="shared" si="193"/>
        <v>0</v>
      </c>
      <c r="T74" s="27">
        <f t="shared" si="193"/>
        <v>0</v>
      </c>
      <c r="U74" s="27">
        <f t="shared" si="193"/>
        <v>0</v>
      </c>
      <c r="V74" s="27">
        <f t="shared" si="193"/>
        <v>0</v>
      </c>
      <c r="W74" s="27">
        <f t="shared" si="193"/>
        <v>0</v>
      </c>
      <c r="X74" s="27">
        <f t="shared" si="193"/>
        <v>0</v>
      </c>
      <c r="Y74" s="27">
        <f t="shared" si="193"/>
        <v>0</v>
      </c>
      <c r="Z74" s="27">
        <f t="shared" si="193"/>
        <v>0</v>
      </c>
      <c r="AA74" s="27">
        <f t="shared" si="193"/>
        <v>0</v>
      </c>
      <c r="AB74" s="27">
        <f t="shared" si="193"/>
        <v>0</v>
      </c>
      <c r="AC74" s="27">
        <f t="shared" si="193"/>
        <v>0</v>
      </c>
      <c r="AD74" s="27">
        <f t="shared" si="193"/>
        <v>0</v>
      </c>
      <c r="AE74" s="27">
        <f t="shared" si="193"/>
        <v>0</v>
      </c>
      <c r="AF74" s="27">
        <f t="shared" si="193"/>
        <v>0</v>
      </c>
      <c r="AG74" s="27">
        <f t="shared" si="193"/>
        <v>0</v>
      </c>
      <c r="AH74" s="27">
        <f t="shared" si="193"/>
        <v>0</v>
      </c>
      <c r="AI74" s="27">
        <f t="shared" si="193"/>
        <v>0</v>
      </c>
      <c r="AJ74" s="27">
        <f t="shared" si="193"/>
        <v>0</v>
      </c>
      <c r="AK74" s="27">
        <f t="shared" si="193"/>
        <v>0</v>
      </c>
      <c r="AL74" s="27">
        <f t="shared" si="193"/>
        <v>0</v>
      </c>
      <c r="AM74" s="27">
        <f t="shared" ref="AM74:BR74" si="194">MIN(AL$80,MAX(0,-AM$65))</f>
        <v>0</v>
      </c>
      <c r="AN74" s="27">
        <f t="shared" si="194"/>
        <v>0</v>
      </c>
      <c r="AO74" s="27">
        <f t="shared" si="194"/>
        <v>0</v>
      </c>
      <c r="AP74" s="27">
        <f t="shared" si="194"/>
        <v>0</v>
      </c>
      <c r="AQ74" s="27">
        <f t="shared" si="194"/>
        <v>0</v>
      </c>
      <c r="AR74" s="27">
        <f t="shared" si="194"/>
        <v>0</v>
      </c>
      <c r="AS74" s="27">
        <f t="shared" si="194"/>
        <v>0</v>
      </c>
      <c r="AT74" s="27">
        <f t="shared" si="194"/>
        <v>0</v>
      </c>
      <c r="AU74" s="27">
        <f t="shared" si="194"/>
        <v>0</v>
      </c>
      <c r="AV74" s="27">
        <f t="shared" si="194"/>
        <v>0</v>
      </c>
      <c r="AW74" s="27">
        <f t="shared" si="194"/>
        <v>0</v>
      </c>
      <c r="AX74" s="27">
        <f t="shared" si="194"/>
        <v>0</v>
      </c>
      <c r="AY74" s="27">
        <f t="shared" si="194"/>
        <v>0</v>
      </c>
      <c r="AZ74" s="27">
        <f t="shared" si="194"/>
        <v>0</v>
      </c>
      <c r="BA74" s="27">
        <f t="shared" si="194"/>
        <v>0</v>
      </c>
      <c r="BB74" s="27">
        <f t="shared" si="194"/>
        <v>0</v>
      </c>
      <c r="BC74" s="27">
        <f t="shared" si="194"/>
        <v>0</v>
      </c>
      <c r="BD74" s="27">
        <f t="shared" si="194"/>
        <v>0</v>
      </c>
      <c r="BE74" s="27">
        <f t="shared" si="194"/>
        <v>0</v>
      </c>
      <c r="BF74" s="27">
        <f t="shared" si="194"/>
        <v>0</v>
      </c>
      <c r="BG74" s="27">
        <f t="shared" si="194"/>
        <v>0</v>
      </c>
      <c r="BH74" s="27">
        <f t="shared" si="194"/>
        <v>0</v>
      </c>
      <c r="BI74" s="27">
        <f t="shared" si="194"/>
        <v>0</v>
      </c>
      <c r="BJ74" s="27">
        <f t="shared" si="194"/>
        <v>0</v>
      </c>
      <c r="BK74" s="27">
        <f t="shared" si="194"/>
        <v>0</v>
      </c>
      <c r="BL74" s="27">
        <f t="shared" si="194"/>
        <v>0</v>
      </c>
      <c r="BM74" s="27">
        <f t="shared" si="194"/>
        <v>0</v>
      </c>
      <c r="BN74" s="27">
        <f t="shared" si="194"/>
        <v>0</v>
      </c>
      <c r="BO74" s="27">
        <f t="shared" si="194"/>
        <v>0</v>
      </c>
      <c r="BP74" s="27">
        <f t="shared" si="194"/>
        <v>0</v>
      </c>
      <c r="BQ74" s="27">
        <f t="shared" si="194"/>
        <v>0</v>
      </c>
      <c r="BR74" s="27">
        <f t="shared" si="194"/>
        <v>0</v>
      </c>
      <c r="BS74" s="27">
        <f t="shared" ref="BS74:CX74" si="195">MIN(BR$80,MAX(0,-BS$65))</f>
        <v>0</v>
      </c>
      <c r="BT74" s="27">
        <f t="shared" si="195"/>
        <v>0</v>
      </c>
      <c r="BU74" s="27">
        <f t="shared" si="195"/>
        <v>0</v>
      </c>
      <c r="BV74" s="27">
        <f t="shared" si="195"/>
        <v>0</v>
      </c>
      <c r="BW74" s="27">
        <f t="shared" si="195"/>
        <v>0</v>
      </c>
      <c r="BX74" s="27">
        <f t="shared" si="195"/>
        <v>0</v>
      </c>
      <c r="BY74" s="27">
        <f t="shared" si="195"/>
        <v>0</v>
      </c>
      <c r="BZ74" s="27">
        <f t="shared" si="195"/>
        <v>0</v>
      </c>
      <c r="CA74" s="27">
        <f t="shared" si="195"/>
        <v>0</v>
      </c>
      <c r="CB74" s="27">
        <f t="shared" si="195"/>
        <v>0</v>
      </c>
      <c r="CC74" s="27">
        <f t="shared" si="195"/>
        <v>0</v>
      </c>
      <c r="CD74" s="27">
        <f t="shared" si="195"/>
        <v>0</v>
      </c>
      <c r="CE74" s="27">
        <f t="shared" si="195"/>
        <v>0</v>
      </c>
      <c r="CF74" s="27">
        <f t="shared" si="195"/>
        <v>0</v>
      </c>
      <c r="CG74" s="27">
        <f t="shared" si="195"/>
        <v>0</v>
      </c>
      <c r="CH74" s="27">
        <f t="shared" si="195"/>
        <v>0</v>
      </c>
      <c r="CI74" s="27">
        <f t="shared" si="195"/>
        <v>0</v>
      </c>
      <c r="CJ74" s="27">
        <f t="shared" si="195"/>
        <v>0</v>
      </c>
      <c r="CK74" s="27">
        <f t="shared" si="195"/>
        <v>0</v>
      </c>
      <c r="CL74" s="27">
        <f t="shared" si="195"/>
        <v>0</v>
      </c>
      <c r="CM74" s="27">
        <f t="shared" si="195"/>
        <v>0</v>
      </c>
      <c r="CN74" s="27">
        <f t="shared" si="195"/>
        <v>0</v>
      </c>
      <c r="CO74" s="27">
        <f t="shared" si="195"/>
        <v>0</v>
      </c>
      <c r="CP74" s="27">
        <f t="shared" si="195"/>
        <v>0</v>
      </c>
      <c r="CQ74" s="27">
        <f t="shared" si="195"/>
        <v>0</v>
      </c>
      <c r="CR74" s="27">
        <f t="shared" si="195"/>
        <v>0</v>
      </c>
      <c r="CS74" s="27">
        <f t="shared" si="195"/>
        <v>0</v>
      </c>
      <c r="CT74" s="27">
        <f t="shared" si="195"/>
        <v>0</v>
      </c>
      <c r="CU74" s="27">
        <f t="shared" si="195"/>
        <v>0</v>
      </c>
      <c r="CV74" s="27">
        <f t="shared" si="195"/>
        <v>0</v>
      </c>
      <c r="CW74" s="27">
        <f t="shared" si="195"/>
        <v>0</v>
      </c>
      <c r="CX74" s="27">
        <f t="shared" si="195"/>
        <v>0</v>
      </c>
      <c r="CY74" s="27">
        <f t="shared" ref="CY74:ED74" si="196">MIN(CX$80,MAX(0,-CY$65))</f>
        <v>0</v>
      </c>
      <c r="CZ74" s="27">
        <f t="shared" si="196"/>
        <v>0</v>
      </c>
      <c r="DA74" s="27">
        <f t="shared" si="196"/>
        <v>0</v>
      </c>
      <c r="DB74" s="27">
        <f t="shared" si="196"/>
        <v>0</v>
      </c>
      <c r="DC74" s="27">
        <f t="shared" si="196"/>
        <v>0</v>
      </c>
      <c r="DD74" s="27">
        <f t="shared" si="196"/>
        <v>0</v>
      </c>
      <c r="DE74" s="27">
        <f t="shared" si="196"/>
        <v>0</v>
      </c>
      <c r="DF74" s="27">
        <f t="shared" si="196"/>
        <v>0</v>
      </c>
      <c r="DG74" s="27">
        <f t="shared" si="196"/>
        <v>0</v>
      </c>
      <c r="DH74" s="27">
        <f t="shared" si="196"/>
        <v>0</v>
      </c>
      <c r="DI74" s="27">
        <f t="shared" si="196"/>
        <v>0</v>
      </c>
      <c r="DJ74" s="27">
        <f t="shared" si="196"/>
        <v>0</v>
      </c>
      <c r="DK74" s="27">
        <f t="shared" si="196"/>
        <v>0</v>
      </c>
      <c r="DL74" s="27">
        <f t="shared" si="196"/>
        <v>0</v>
      </c>
      <c r="DM74" s="27">
        <f t="shared" si="196"/>
        <v>0</v>
      </c>
      <c r="DN74" s="27">
        <f t="shared" si="196"/>
        <v>0</v>
      </c>
      <c r="DO74" s="27">
        <f t="shared" si="196"/>
        <v>0</v>
      </c>
      <c r="DP74" s="27">
        <f t="shared" si="196"/>
        <v>0</v>
      </c>
      <c r="DQ74" s="27">
        <f t="shared" si="196"/>
        <v>0</v>
      </c>
      <c r="DR74" s="27">
        <f t="shared" si="196"/>
        <v>0</v>
      </c>
      <c r="DS74" s="27">
        <f t="shared" si="196"/>
        <v>0</v>
      </c>
      <c r="DT74" s="27">
        <f t="shared" si="196"/>
        <v>0</v>
      </c>
      <c r="DU74" s="27">
        <f t="shared" si="196"/>
        <v>0</v>
      </c>
      <c r="DV74" s="27">
        <f t="shared" si="196"/>
        <v>0</v>
      </c>
      <c r="DW74" s="27">
        <f t="shared" si="196"/>
        <v>0</v>
      </c>
      <c r="DX74" s="27">
        <f t="shared" si="196"/>
        <v>0</v>
      </c>
      <c r="DY74" s="27">
        <f t="shared" si="196"/>
        <v>0</v>
      </c>
      <c r="DZ74" s="27">
        <f t="shared" si="196"/>
        <v>0</v>
      </c>
      <c r="EA74" s="27">
        <f t="shared" si="196"/>
        <v>0</v>
      </c>
      <c r="EB74" s="27">
        <f t="shared" si="196"/>
        <v>0</v>
      </c>
      <c r="EC74" s="27">
        <f t="shared" si="196"/>
        <v>0</v>
      </c>
      <c r="ED74" s="27">
        <f t="shared" si="196"/>
        <v>0</v>
      </c>
      <c r="EE74" s="27">
        <f t="shared" ref="EE74:FJ74" si="197">MIN(ED$80,MAX(0,-EE$65))</f>
        <v>0</v>
      </c>
      <c r="EF74" s="27">
        <f t="shared" si="197"/>
        <v>0</v>
      </c>
      <c r="EG74" s="27">
        <f t="shared" si="197"/>
        <v>0</v>
      </c>
      <c r="EH74" s="27">
        <f t="shared" si="197"/>
        <v>0</v>
      </c>
      <c r="EI74" s="27">
        <f t="shared" si="197"/>
        <v>0</v>
      </c>
      <c r="EJ74" s="27">
        <f t="shared" si="197"/>
        <v>0</v>
      </c>
      <c r="EK74" s="27">
        <f t="shared" si="197"/>
        <v>0</v>
      </c>
      <c r="EL74" s="27">
        <f t="shared" si="197"/>
        <v>0</v>
      </c>
      <c r="EM74" s="27">
        <f t="shared" si="197"/>
        <v>0</v>
      </c>
      <c r="EN74" s="27">
        <f t="shared" si="197"/>
        <v>0</v>
      </c>
      <c r="EO74" s="27">
        <f t="shared" si="197"/>
        <v>0</v>
      </c>
      <c r="EP74" s="27">
        <f t="shared" si="197"/>
        <v>0</v>
      </c>
      <c r="EQ74" s="27">
        <f t="shared" si="197"/>
        <v>0</v>
      </c>
      <c r="ER74" s="27">
        <f t="shared" si="197"/>
        <v>0</v>
      </c>
      <c r="ES74" s="27">
        <f t="shared" si="197"/>
        <v>0</v>
      </c>
      <c r="ET74" s="27">
        <f t="shared" si="197"/>
        <v>0</v>
      </c>
      <c r="EU74" s="27">
        <f t="shared" si="197"/>
        <v>0</v>
      </c>
      <c r="EV74" s="27">
        <f t="shared" si="197"/>
        <v>0</v>
      </c>
      <c r="EW74" s="27">
        <f t="shared" si="197"/>
        <v>0</v>
      </c>
      <c r="EX74" s="27">
        <f t="shared" si="197"/>
        <v>0</v>
      </c>
      <c r="EY74" s="27">
        <f t="shared" si="197"/>
        <v>0</v>
      </c>
      <c r="EZ74" s="27">
        <f t="shared" si="197"/>
        <v>0</v>
      </c>
      <c r="FA74" s="27">
        <f t="shared" si="197"/>
        <v>0</v>
      </c>
      <c r="FB74" s="27">
        <f t="shared" si="197"/>
        <v>0</v>
      </c>
      <c r="FC74" s="27">
        <f t="shared" si="197"/>
        <v>0</v>
      </c>
      <c r="FD74" s="27">
        <f t="shared" si="197"/>
        <v>0</v>
      </c>
      <c r="FE74" s="27">
        <f t="shared" si="197"/>
        <v>0</v>
      </c>
      <c r="FF74" s="27">
        <f t="shared" si="197"/>
        <v>0</v>
      </c>
      <c r="FG74" s="27">
        <f t="shared" si="197"/>
        <v>0</v>
      </c>
      <c r="FH74" s="27">
        <f t="shared" si="197"/>
        <v>0</v>
      </c>
      <c r="FI74" s="27">
        <f t="shared" si="197"/>
        <v>0</v>
      </c>
      <c r="FJ74" s="27">
        <f t="shared" si="197"/>
        <v>0</v>
      </c>
      <c r="FK74" s="27">
        <f t="shared" ref="FK74:GD74" si="198">MIN(FJ$80,MAX(0,-FK$65))</f>
        <v>0</v>
      </c>
      <c r="FL74" s="27">
        <f t="shared" si="198"/>
        <v>0</v>
      </c>
      <c r="FM74" s="27">
        <f t="shared" si="198"/>
        <v>0</v>
      </c>
      <c r="FN74" s="27">
        <f t="shared" si="198"/>
        <v>0</v>
      </c>
      <c r="FO74" s="27">
        <f t="shared" si="198"/>
        <v>0</v>
      </c>
      <c r="FP74" s="27">
        <f t="shared" si="198"/>
        <v>0</v>
      </c>
      <c r="FQ74" s="27">
        <f t="shared" si="198"/>
        <v>0</v>
      </c>
      <c r="FR74" s="27">
        <f t="shared" si="198"/>
        <v>0</v>
      </c>
      <c r="FS74" s="27">
        <f t="shared" si="198"/>
        <v>0</v>
      </c>
      <c r="FT74" s="27">
        <f t="shared" si="198"/>
        <v>0</v>
      </c>
      <c r="FU74" s="27">
        <f t="shared" si="198"/>
        <v>0</v>
      </c>
      <c r="FV74" s="27">
        <f t="shared" si="198"/>
        <v>0</v>
      </c>
      <c r="FW74" s="27">
        <f t="shared" si="198"/>
        <v>0</v>
      </c>
      <c r="FX74" s="27">
        <f t="shared" si="198"/>
        <v>0</v>
      </c>
      <c r="FY74" s="27">
        <f t="shared" si="198"/>
        <v>0</v>
      </c>
      <c r="FZ74" s="27">
        <f t="shared" si="198"/>
        <v>0</v>
      </c>
      <c r="GA74" s="27">
        <f t="shared" si="198"/>
        <v>0</v>
      </c>
      <c r="GB74" s="27">
        <f t="shared" si="198"/>
        <v>0</v>
      </c>
      <c r="GC74" s="27">
        <f t="shared" si="198"/>
        <v>0</v>
      </c>
      <c r="GD74" s="27">
        <f t="shared" si="198"/>
        <v>0</v>
      </c>
      <c r="GE74" s="27">
        <f t="shared" ref="GE74:GM74" si="199">MIN(GD$80,MAX(0,-GE$65))</f>
        <v>0</v>
      </c>
      <c r="GF74" s="27">
        <f t="shared" si="199"/>
        <v>0</v>
      </c>
      <c r="GG74" s="27">
        <f t="shared" si="199"/>
        <v>0</v>
      </c>
      <c r="GH74" s="27">
        <f t="shared" si="199"/>
        <v>0</v>
      </c>
      <c r="GI74" s="27">
        <f t="shared" si="199"/>
        <v>0</v>
      </c>
      <c r="GJ74" s="27">
        <f t="shared" si="199"/>
        <v>0</v>
      </c>
      <c r="GK74" s="27">
        <f t="shared" si="199"/>
        <v>0</v>
      </c>
      <c r="GL74" s="27">
        <f t="shared" si="199"/>
        <v>0</v>
      </c>
      <c r="GM74" s="27">
        <f t="shared" si="199"/>
        <v>0</v>
      </c>
      <c r="GN74" s="27"/>
      <c r="GO74" s="27"/>
      <c r="GP74" s="27"/>
      <c r="GQ74" s="63"/>
      <c r="GR74" s="63"/>
      <c r="GS74" s="63"/>
      <c r="GT74" s="63"/>
      <c r="GU74" s="63"/>
      <c r="GV74" s="63"/>
      <c r="GW74" s="63"/>
      <c r="GX74" s="63"/>
      <c r="GY74" s="63"/>
      <c r="GZ74" s="63"/>
      <c r="HA74" s="63"/>
      <c r="HB74" s="63"/>
      <c r="HC74" s="63"/>
      <c r="HD74" s="63"/>
      <c r="HE74" s="63"/>
      <c r="HF74" s="63"/>
      <c r="HG74" s="63"/>
      <c r="HH74" s="63"/>
      <c r="HI74" s="63"/>
      <c r="HJ74" s="63"/>
      <c r="HK74" s="63"/>
      <c r="HL74" s="63"/>
      <c r="HM74" s="63"/>
      <c r="HN74" s="63"/>
      <c r="HO74" s="63"/>
      <c r="HP74" s="63"/>
      <c r="HQ74" s="63"/>
      <c r="HR74" s="63"/>
      <c r="HS74" s="63"/>
      <c r="HT74" s="63"/>
      <c r="HU74" s="63"/>
      <c r="HV74" s="63"/>
      <c r="HW74" s="63"/>
      <c r="HX74" s="63"/>
      <c r="HY74" s="63"/>
      <c r="HZ74" s="63"/>
      <c r="IA74" s="63"/>
      <c r="IB74" s="63"/>
      <c r="IC74" s="63"/>
      <c r="ID74" s="63"/>
      <c r="IE74" s="63"/>
      <c r="IF74" s="63"/>
      <c r="IG74" s="63"/>
      <c r="IH74" s="63"/>
      <c r="II74" s="63"/>
      <c r="IJ74" s="63"/>
      <c r="IK74" s="63"/>
      <c r="IL74" s="63"/>
      <c r="IM74" s="63"/>
      <c r="IN74" s="63"/>
      <c r="IO74" s="63"/>
      <c r="IP74" s="63"/>
      <c r="IQ74" s="63"/>
      <c r="IR74" s="63"/>
      <c r="IS74" s="63"/>
      <c r="IT74" s="63"/>
      <c r="IU74" s="63"/>
      <c r="IV74" s="63"/>
      <c r="IW74" s="63"/>
      <c r="IX74" s="63"/>
      <c r="IY74" s="63"/>
      <c r="IZ74" s="63"/>
      <c r="JA74" s="63"/>
      <c r="JB74" s="63"/>
      <c r="JC74" s="63"/>
      <c r="JD74" s="63"/>
      <c r="JE74" s="63"/>
      <c r="JF74" s="63"/>
      <c r="JG74" s="63"/>
      <c r="JH74" s="63"/>
      <c r="JI74" s="63"/>
      <c r="JJ74" s="63"/>
      <c r="JK74" s="63"/>
      <c r="JL74" s="63"/>
      <c r="JM74" s="63"/>
      <c r="JN74" s="63"/>
      <c r="JO74" s="63"/>
      <c r="JP74" s="63"/>
      <c r="JQ74" s="63"/>
      <c r="JR74" s="63"/>
      <c r="JS74" s="63"/>
      <c r="JT74" s="63"/>
      <c r="JU74" s="63"/>
      <c r="JV74" s="63"/>
      <c r="JW74" s="63"/>
      <c r="JX74" s="63"/>
      <c r="JY74" s="63"/>
      <c r="JZ74" s="63"/>
      <c r="KA74" s="63"/>
      <c r="KB74" s="63"/>
      <c r="KC74" s="63"/>
      <c r="KD74" s="63"/>
      <c r="KE74" s="63"/>
      <c r="KF74" s="63"/>
      <c r="KG74" s="63"/>
      <c r="KH74" s="63"/>
      <c r="KI74" s="63"/>
      <c r="KJ74" s="63"/>
      <c r="KK74" s="63"/>
      <c r="KL74" s="63"/>
      <c r="KM74" s="63"/>
      <c r="KN74" s="63"/>
      <c r="KO74" s="63"/>
      <c r="KP74" s="63"/>
      <c r="KQ74" s="63"/>
      <c r="KR74" s="63"/>
      <c r="KS74" s="63"/>
      <c r="KT74" s="63"/>
      <c r="KU74" s="63"/>
      <c r="KV74" s="63"/>
      <c r="KW74" s="63"/>
      <c r="KX74" s="63"/>
      <c r="KY74" s="63"/>
      <c r="KZ74" s="63"/>
      <c r="LA74" s="63"/>
      <c r="LB74" s="63"/>
      <c r="LC74" s="63"/>
      <c r="LD74" s="63"/>
      <c r="LE74" s="63"/>
      <c r="LF74" s="63"/>
      <c r="LG74" s="63"/>
      <c r="LH74" s="63"/>
      <c r="LI74" s="63"/>
      <c r="LJ74" s="63"/>
      <c r="LK74" s="63"/>
      <c r="LL74" s="63"/>
      <c r="LM74" s="63"/>
      <c r="LN74" s="63"/>
      <c r="LO74" s="63"/>
      <c r="LP74" s="63"/>
      <c r="LQ74" s="63"/>
      <c r="LR74" s="63"/>
      <c r="LS74" s="63"/>
      <c r="LT74" s="63"/>
      <c r="LU74" s="63"/>
      <c r="LV74" s="63"/>
      <c r="LW74" s="63"/>
      <c r="LX74" s="63"/>
      <c r="LY74" s="63"/>
      <c r="LZ74" s="63"/>
      <c r="MA74" s="63"/>
      <c r="MB74" s="63"/>
      <c r="MC74" s="63"/>
      <c r="MD74" s="63"/>
      <c r="ME74" s="63"/>
      <c r="MF74" s="63"/>
      <c r="MG74" s="63"/>
      <c r="MH74" s="63"/>
      <c r="MI74" s="63"/>
      <c r="MJ74" s="63"/>
      <c r="MK74" s="63"/>
      <c r="ML74" s="63"/>
      <c r="MM74" s="63"/>
      <c r="MN74" s="63"/>
      <c r="MO74" s="63"/>
      <c r="MP74" s="63"/>
      <c r="MQ74" s="63"/>
      <c r="MR74" s="63"/>
      <c r="MS74" s="63"/>
      <c r="MT74" s="63"/>
      <c r="MU74" s="63"/>
      <c r="MV74" s="63"/>
      <c r="MW74" s="63"/>
      <c r="MX74" s="63"/>
      <c r="MY74" s="63"/>
      <c r="MZ74" s="63"/>
      <c r="NA74" s="63"/>
      <c r="NB74" s="63"/>
    </row>
    <row r="75" spans="1:366" ht="16" customHeight="1" x14ac:dyDescent="0.15">
      <c r="B75" s="372" t="s">
        <v>290</v>
      </c>
      <c r="C75" s="314" t="s">
        <v>150</v>
      </c>
      <c r="D75" s="315"/>
      <c r="E75" s="315"/>
      <c r="F75" s="317">
        <f>MIN(debt,MAX(0,-F$65)-F$74)</f>
        <v>3588310.1006036219</v>
      </c>
      <c r="G75" s="356">
        <f>IF(G$7&lt;'Assumptions_&amp;_Inputs'!$E$83,MIN(F$81,MAX(0,-G$65)-G$74),0)</f>
        <v>49178.706393152665</v>
      </c>
      <c r="H75" s="356">
        <f>IF(H$7&lt;'Assumptions_&amp;_Inputs'!$E$83,MIN(G$81,MAX(0,-H$65)-H$74),0)</f>
        <v>49418.086233259499</v>
      </c>
      <c r="I75" s="356">
        <f>IF(I$7&lt;'Assumptions_&amp;_Inputs'!$E$83,MIN(H$81,MAX(0,-I$65)-I$74),0)</f>
        <v>49658.631266842371</v>
      </c>
      <c r="J75" s="356">
        <f>IF(J$7&lt;'Assumptions_&amp;_Inputs'!$E$83,MIN(I$81,MAX(0,-J$65)-J$74),0)</f>
        <v>49900.347165539453</v>
      </c>
      <c r="K75" s="356">
        <f>IF(K$7&lt;'Assumptions_&amp;_Inputs'!$E$83,MIN(J$81,MAX(0,-K$65)-K$74),0)</f>
        <v>50143.239628595882</v>
      </c>
      <c r="L75" s="356">
        <f>IF(L$7&lt;'Assumptions_&amp;_Inputs'!$E$83,MIN(K$81,MAX(0,-L$65)-L$74),0)</f>
        <v>50387.314382998185</v>
      </c>
      <c r="M75" s="356">
        <f>IF(M$7&lt;'Assumptions_&amp;_Inputs'!$E$83,MIN(L$81,MAX(0,-M$65)-M$74),0)</f>
        <v>50632.577183609275</v>
      </c>
      <c r="N75" s="356">
        <f>IF(N$7&lt;'Assumptions_&amp;_Inputs'!$E$83,MIN(M$81,MAX(0,-N$65)-N$74),0)</f>
        <v>50879.033813304122</v>
      </c>
      <c r="O75" s="356">
        <f>IF(O$7&lt;'Assumptions_&amp;_Inputs'!$E$83,MIN(N$81,MAX(0,-O$65)-O$74),0)</f>
        <v>0</v>
      </c>
      <c r="P75" s="356">
        <f>IF(P$7&lt;'Assumptions_&amp;_Inputs'!$E$83,MIN(O$81,MAX(0,-P$65)-P$74),0)</f>
        <v>0</v>
      </c>
      <c r="Q75" s="356">
        <f>IF(Q$7&lt;'Assumptions_&amp;_Inputs'!$E$83,MIN(P$81,MAX(0,-Q$65)-Q$74),0)</f>
        <v>0</v>
      </c>
      <c r="R75" s="356">
        <f>IF(R$7&lt;'Assumptions_&amp;_Inputs'!$E$83,MIN(Q$81,MAX(0,-R$65)-R$74),0)</f>
        <v>0</v>
      </c>
      <c r="S75" s="356">
        <f>IF(S$7&lt;'Assumptions_&amp;_Inputs'!$E$83,MIN(R$81,MAX(0,-S$65)-S$74),0)</f>
        <v>0</v>
      </c>
      <c r="T75" s="356">
        <f>IF(T$7&lt;'Assumptions_&amp;_Inputs'!$E$83,MIN(S$81,MAX(0,-T$65)-T$74),0)</f>
        <v>0</v>
      </c>
      <c r="U75" s="356">
        <f>IF(U$7&lt;'Assumptions_&amp;_Inputs'!$E$83,MIN(T$81,MAX(0,-U$65)-U$74),0)</f>
        <v>0</v>
      </c>
      <c r="V75" s="356">
        <f>IF(V$7&lt;'Assumptions_&amp;_Inputs'!$E$83,MIN(U$81,MAX(0,-V$65)-V$74),0)</f>
        <v>0</v>
      </c>
      <c r="W75" s="356">
        <f>IF(W$7&lt;'Assumptions_&amp;_Inputs'!$E$83,MIN(V$81,MAX(0,-W$65)-W$74),0)</f>
        <v>0</v>
      </c>
      <c r="X75" s="356">
        <f>IF(X$7&lt;'Assumptions_&amp;_Inputs'!$E$83,MIN(W$81,MAX(0,-X$65)-X$74),0)</f>
        <v>0</v>
      </c>
      <c r="Y75" s="356">
        <f>IF(Y$7&lt;'Assumptions_&amp;_Inputs'!$E$83,MIN(X$81,MAX(0,-Y$65)-Y$74),0)</f>
        <v>0</v>
      </c>
      <c r="Z75" s="356">
        <f>IF(Z$7&lt;'Assumptions_&amp;_Inputs'!$E$83,MIN(Y$81,MAX(0,-Z$65)-Z$74),0)</f>
        <v>0</v>
      </c>
      <c r="AA75" s="356">
        <f>IF(AA$7&lt;'Assumptions_&amp;_Inputs'!$E$83,MIN(Z$81,MAX(0,-AA$65)-AA$74),0)</f>
        <v>0</v>
      </c>
      <c r="AB75" s="356">
        <f>IF(AB$7&lt;'Assumptions_&amp;_Inputs'!$E$83,MIN(AA$81,MAX(0,-AB$65)-AB$74),0)</f>
        <v>0</v>
      </c>
      <c r="AC75" s="356">
        <f>IF(AC$7&lt;'Assumptions_&amp;_Inputs'!$E$83,MIN(AB$81,MAX(0,-AC$65)-AC$74),0)</f>
        <v>0</v>
      </c>
      <c r="AD75" s="356">
        <f>IF(AD$7&lt;'Assumptions_&amp;_Inputs'!$E$83,MIN(AC$81,MAX(0,-AD$65)-AD$74),0)</f>
        <v>0</v>
      </c>
      <c r="AE75" s="356">
        <f>IF(AE$7&lt;'Assumptions_&amp;_Inputs'!$E$83,MIN(AD$81,MAX(0,-AE$65)-AE$74),0)</f>
        <v>0</v>
      </c>
      <c r="AF75" s="356">
        <f>IF(AF$7&lt;'Assumptions_&amp;_Inputs'!$E$83,MIN(AE$81,MAX(0,-AF$65)-AF$74),0)</f>
        <v>0</v>
      </c>
      <c r="AG75" s="356">
        <f>IF(AG$7&lt;'Assumptions_&amp;_Inputs'!$E$83,MIN(AF$81,MAX(0,-AG$65)-AG$74),0)</f>
        <v>0</v>
      </c>
      <c r="AH75" s="356">
        <f>IF(AH$7&lt;'Assumptions_&amp;_Inputs'!$E$83,MIN(AG$81,MAX(0,-AH$65)-AH$74),0)</f>
        <v>0</v>
      </c>
      <c r="AI75" s="356">
        <f>IF(AI$7&lt;'Assumptions_&amp;_Inputs'!$E$83,MIN(AH$81,MAX(0,-AI$65)-AI$74),0)</f>
        <v>0</v>
      </c>
      <c r="AJ75" s="356">
        <f>IF(AJ$7&lt;'Assumptions_&amp;_Inputs'!$E$83,MIN(AI$81,MAX(0,-AJ$65)-AJ$74),0)</f>
        <v>0</v>
      </c>
      <c r="AK75" s="356">
        <f>IF(AK$7&lt;'Assumptions_&amp;_Inputs'!$E$83,MIN(AJ$81,MAX(0,-AK$65)-AK$74),0)</f>
        <v>0</v>
      </c>
      <c r="AL75" s="356">
        <f>IF(AL$7&lt;'Assumptions_&amp;_Inputs'!$E$83,MIN(AK$81,MAX(0,-AL$65)-AL$74),0)</f>
        <v>0</v>
      </c>
      <c r="AM75" s="356">
        <f>IF(AM$7&lt;'Assumptions_&amp;_Inputs'!$E$83,MIN(AL$81,MAX(0,-AM$65)-AM$74),0)</f>
        <v>0</v>
      </c>
      <c r="AN75" s="356">
        <f>IF(AN$7&lt;'Assumptions_&amp;_Inputs'!$E$83,MIN(AM$81,MAX(0,-AN$65)-AN$74),0)</f>
        <v>0</v>
      </c>
      <c r="AO75" s="356">
        <f>IF(AO$7&lt;'Assumptions_&amp;_Inputs'!$E$83,MIN(AN$81,MAX(0,-AO$65)-AO$74),0)</f>
        <v>0</v>
      </c>
      <c r="AP75" s="356">
        <f>IF(AP$7&lt;'Assumptions_&amp;_Inputs'!$E$83,MIN(AO$81,MAX(0,-AP$65)-AP$74),0)</f>
        <v>0</v>
      </c>
      <c r="AQ75" s="356">
        <f>IF(AQ$7&lt;'Assumptions_&amp;_Inputs'!$E$83,MIN(AP$81,MAX(0,-AQ$65)-AQ$74),0)</f>
        <v>0</v>
      </c>
      <c r="AR75" s="356">
        <f>IF(AR$7&lt;'Assumptions_&amp;_Inputs'!$E$83,MIN(AQ$81,MAX(0,-AR$65)-AR$74),0)</f>
        <v>0</v>
      </c>
      <c r="AS75" s="356">
        <f>IF(AS$7&lt;'Assumptions_&amp;_Inputs'!$E$83,MIN(AR$81,MAX(0,-AS$65)-AS$74),0)</f>
        <v>0</v>
      </c>
      <c r="AT75" s="356">
        <f>IF(AT$7&lt;'Assumptions_&amp;_Inputs'!$E$83,MIN(AS$81,MAX(0,-AT$65)-AT$74),0)</f>
        <v>0</v>
      </c>
      <c r="AU75" s="356">
        <f>IF(AU$7&lt;'Assumptions_&amp;_Inputs'!$E$83,MIN(AT$81,MAX(0,-AU$65)-AU$74),0)</f>
        <v>0</v>
      </c>
      <c r="AV75" s="356">
        <f>IF(AV$7&lt;'Assumptions_&amp;_Inputs'!$E$83,MIN(AU$81,MAX(0,-AV$65)-AV$74),0)</f>
        <v>0</v>
      </c>
      <c r="AW75" s="356">
        <f>IF(AW$7&lt;'Assumptions_&amp;_Inputs'!$E$83,MIN(AV$81,MAX(0,-AW$65)-AW$74),0)</f>
        <v>0</v>
      </c>
      <c r="AX75" s="356">
        <f>IF(AX$7&lt;'Assumptions_&amp;_Inputs'!$E$83,MIN(AW$81,MAX(0,-AX$65)-AX$74),0)</f>
        <v>0</v>
      </c>
      <c r="AY75" s="356">
        <f>IF(AY$7&lt;'Assumptions_&amp;_Inputs'!$E$83,MIN(AX$81,MAX(0,-AY$65)-AY$74),0)</f>
        <v>0</v>
      </c>
      <c r="AZ75" s="356">
        <f>IF(AZ$7&lt;'Assumptions_&amp;_Inputs'!$E$83,MIN(AY$81,MAX(0,-AZ$65)-AZ$74),0)</f>
        <v>0</v>
      </c>
      <c r="BA75" s="356">
        <f>IF(BA$7&lt;'Assumptions_&amp;_Inputs'!$E$83,MIN(AZ$81,MAX(0,-BA$65)-BA$74),0)</f>
        <v>0</v>
      </c>
      <c r="BB75" s="356">
        <f>IF(BB$7&lt;'Assumptions_&amp;_Inputs'!$E$83,MIN(BA$81,MAX(0,-BB$65)-BB$74),0)</f>
        <v>0</v>
      </c>
      <c r="BC75" s="356">
        <f>IF(BC$7&lt;'Assumptions_&amp;_Inputs'!$E$83,MIN(BB$81,MAX(0,-BC$65)-BC$74),0)</f>
        <v>0</v>
      </c>
      <c r="BD75" s="356">
        <f>IF(BD$7&lt;'Assumptions_&amp;_Inputs'!$E$83,MIN(BC$81,MAX(0,-BD$65)-BD$74),0)</f>
        <v>0</v>
      </c>
      <c r="BE75" s="356">
        <f>IF(BE$7&lt;'Assumptions_&amp;_Inputs'!$E$83,MIN(BD$81,MAX(0,-BE$65)-BE$74),0)</f>
        <v>0</v>
      </c>
      <c r="BF75" s="356">
        <f>IF(BF$7&lt;'Assumptions_&amp;_Inputs'!$E$83,MIN(BE$81,MAX(0,-BF$65)-BF$74),0)</f>
        <v>0</v>
      </c>
      <c r="BG75" s="356">
        <f>IF(BG$7&lt;'Assumptions_&amp;_Inputs'!$E$83,MIN(BF$81,MAX(0,-BG$65)-BG$74),0)</f>
        <v>0</v>
      </c>
      <c r="BH75" s="356">
        <f>IF(BH$7&lt;'Assumptions_&amp;_Inputs'!$E$83,MIN(BG$81,MAX(0,-BH$65)-BH$74),0)</f>
        <v>0</v>
      </c>
      <c r="BI75" s="356">
        <f>IF(BI$7&lt;'Assumptions_&amp;_Inputs'!$E$83,MIN(BH$81,MAX(0,-BI$65)-BI$74),0)</f>
        <v>0</v>
      </c>
      <c r="BJ75" s="356">
        <f>IF(BJ$7&lt;'Assumptions_&amp;_Inputs'!$E$83,MIN(BI$81,MAX(0,-BJ$65)-BJ$74),0)</f>
        <v>0</v>
      </c>
      <c r="BK75" s="356">
        <f>IF(BK$7&lt;'Assumptions_&amp;_Inputs'!$E$83,MIN(BJ$81,MAX(0,-BK$65)-BK$74),0)</f>
        <v>0</v>
      </c>
      <c r="BL75" s="356">
        <f>IF(BL$7&lt;'Assumptions_&amp;_Inputs'!$E$83,MIN(BK$81,MAX(0,-BL$65)-BL$74),0)</f>
        <v>0</v>
      </c>
      <c r="BM75" s="356">
        <f>IF(BM$7&lt;'Assumptions_&amp;_Inputs'!$E$83,MIN(BL$81,MAX(0,-BM$65)-BM$74),0)</f>
        <v>0</v>
      </c>
      <c r="BN75" s="356">
        <f>IF(BN$7&lt;'Assumptions_&amp;_Inputs'!$E$83,MIN(BM$81,MAX(0,-BN$65)-BN$74),0)</f>
        <v>0</v>
      </c>
      <c r="BO75" s="356">
        <f>IF(BO$7&lt;'Assumptions_&amp;_Inputs'!$E$83,MIN(BN$81,MAX(0,-BO$65)-BO$74),0)</f>
        <v>0</v>
      </c>
      <c r="BP75" s="356">
        <f>IF(BP$7&lt;'Assumptions_&amp;_Inputs'!$E$83,MIN(BO$81,MAX(0,-BP$65)-BP$74),0)</f>
        <v>0</v>
      </c>
      <c r="BQ75" s="356">
        <f>IF(BQ$7&lt;'Assumptions_&amp;_Inputs'!$E$83,MIN(BP$81,MAX(0,-BQ$65)-BQ$74),0)</f>
        <v>0</v>
      </c>
      <c r="BR75" s="356">
        <f>IF(BR$7&lt;'Assumptions_&amp;_Inputs'!$E$83,MIN(BQ$81,MAX(0,-BR$65)-BR$74),0)</f>
        <v>0</v>
      </c>
      <c r="BS75" s="356">
        <f>IF(BS$7&lt;'Assumptions_&amp;_Inputs'!$E$83,MIN(BR$81,MAX(0,-BS$65)-BS$74),0)</f>
        <v>0</v>
      </c>
      <c r="BT75" s="356">
        <f>IF(BT$7&lt;'Assumptions_&amp;_Inputs'!$E$83,MIN(BS$81,MAX(0,-BT$65)-BT$74),0)</f>
        <v>0</v>
      </c>
      <c r="BU75" s="356">
        <f>IF(BU$7&lt;'Assumptions_&amp;_Inputs'!$E$83,MIN(BT$81,MAX(0,-BU$65)-BU$74),0)</f>
        <v>0</v>
      </c>
      <c r="BV75" s="356">
        <f>IF(BV$7&lt;'Assumptions_&amp;_Inputs'!$E$83,MIN(BU$81,MAX(0,-BV$65)-BV$74),0)</f>
        <v>0</v>
      </c>
      <c r="BW75" s="356">
        <f>IF(BW$7&lt;'Assumptions_&amp;_Inputs'!$E$83,MIN(BV$81,MAX(0,-BW$65)-BW$74),0)</f>
        <v>0</v>
      </c>
      <c r="BX75" s="356">
        <f>IF(BX$7&lt;'Assumptions_&amp;_Inputs'!$E$83,MIN(BW$81,MAX(0,-BX$65)-BX$74),0)</f>
        <v>0</v>
      </c>
      <c r="BY75" s="356">
        <f>IF(BY$7&lt;'Assumptions_&amp;_Inputs'!$E$83,MIN(BX$81,MAX(0,-BY$65)-BY$74),0)</f>
        <v>0</v>
      </c>
      <c r="BZ75" s="356">
        <f>IF(BZ$7&lt;'Assumptions_&amp;_Inputs'!$E$83,MIN(BY$81,MAX(0,-BZ$65)-BZ$74),0)</f>
        <v>0</v>
      </c>
      <c r="CA75" s="356">
        <f>IF(CA$7&lt;'Assumptions_&amp;_Inputs'!$E$83,MIN(BZ$81,MAX(0,-CA$65)-CA$74),0)</f>
        <v>0</v>
      </c>
      <c r="CB75" s="356">
        <f>IF(CB$7&lt;'Assumptions_&amp;_Inputs'!$E$83,MIN(CA$81,MAX(0,-CB$65)-CB$74),0)</f>
        <v>0</v>
      </c>
      <c r="CC75" s="356">
        <f>IF(CC$7&lt;'Assumptions_&amp;_Inputs'!$E$83,MIN(CB$81,MAX(0,-CC$65)-CC$74),0)</f>
        <v>0</v>
      </c>
      <c r="CD75" s="356">
        <f>IF(CD$7&lt;'Assumptions_&amp;_Inputs'!$E$83,MIN(CC$81,MAX(0,-CD$65)-CD$74),0)</f>
        <v>0</v>
      </c>
      <c r="CE75" s="356">
        <f>IF(CE$7&lt;'Assumptions_&amp;_Inputs'!$E$83,MIN(CD$81,MAX(0,-CE$65)-CE$74),0)</f>
        <v>0</v>
      </c>
      <c r="CF75" s="356">
        <f>IF(CF$7&lt;'Assumptions_&amp;_Inputs'!$E$83,MIN(CE$81,MAX(0,-CF$65)-CF$74),0)</f>
        <v>0</v>
      </c>
      <c r="CG75" s="356">
        <f>IF(CG$7&lt;'Assumptions_&amp;_Inputs'!$E$83,MIN(CF$81,MAX(0,-CG$65)-CG$74),0)</f>
        <v>0</v>
      </c>
      <c r="CH75" s="356">
        <f>IF(CH$7&lt;'Assumptions_&amp;_Inputs'!$E$83,MIN(CG$81,MAX(0,-CH$65)-CH$74),0)</f>
        <v>0</v>
      </c>
      <c r="CI75" s="356">
        <f>IF(CI$7&lt;'Assumptions_&amp;_Inputs'!$E$83,MIN(CH$81,MAX(0,-CI$65)-CI$74),0)</f>
        <v>0</v>
      </c>
      <c r="CJ75" s="356">
        <f>IF(CJ$7&lt;'Assumptions_&amp;_Inputs'!$E$83,MIN(CI$81,MAX(0,-CJ$65)-CJ$74),0)</f>
        <v>0</v>
      </c>
      <c r="CK75" s="356">
        <f>IF(CK$7&lt;'Assumptions_&amp;_Inputs'!$E$83,MIN(CJ$81,MAX(0,-CK$65)-CK$74),0)</f>
        <v>0</v>
      </c>
      <c r="CL75" s="356">
        <f>IF(CL$7&lt;'Assumptions_&amp;_Inputs'!$E$83,MIN(CK$81,MAX(0,-CL$65)-CL$74),0)</f>
        <v>0</v>
      </c>
      <c r="CM75" s="356">
        <f>IF(CM$7&lt;'Assumptions_&amp;_Inputs'!$E$83,MIN(CL$81,MAX(0,-CM$65)-CM$74),0)</f>
        <v>0</v>
      </c>
      <c r="CN75" s="356">
        <f>IF(CN$7&lt;'Assumptions_&amp;_Inputs'!$E$83,MIN(CM$81,MAX(0,-CN$65)-CN$74),0)</f>
        <v>0</v>
      </c>
      <c r="CO75" s="356">
        <f>IF(CO$7&lt;'Assumptions_&amp;_Inputs'!$E$83,MIN(CN$81,MAX(0,-CO$65)-CO$74),0)</f>
        <v>0</v>
      </c>
      <c r="CP75" s="356">
        <f>IF(CP$7&lt;'Assumptions_&amp;_Inputs'!$E$83,MIN(CO$81,MAX(0,-CP$65)-CP$74),0)</f>
        <v>0</v>
      </c>
      <c r="CQ75" s="356">
        <f>IF(CQ$7&lt;'Assumptions_&amp;_Inputs'!$E$83,MIN(CP$81,MAX(0,-CQ$65)-CQ$74),0)</f>
        <v>0</v>
      </c>
      <c r="CR75" s="356">
        <f>IF(CR$7&lt;'Assumptions_&amp;_Inputs'!$E$83,MIN(CQ$81,MAX(0,-CR$65)-CR$74),0)</f>
        <v>0</v>
      </c>
      <c r="CS75" s="356">
        <f>IF(CS$7&lt;'Assumptions_&amp;_Inputs'!$E$83,MIN(CR$81,MAX(0,-CS$65)-CS$74),0)</f>
        <v>0</v>
      </c>
      <c r="CT75" s="356">
        <f>IF(CT$7&lt;'Assumptions_&amp;_Inputs'!$E$83,MIN(CS$81,MAX(0,-CT$65)-CT$74),0)</f>
        <v>0</v>
      </c>
      <c r="CU75" s="356">
        <f>IF(CU$7&lt;'Assumptions_&amp;_Inputs'!$E$83,MIN(CT$81,MAX(0,-CU$65)-CU$74),0)</f>
        <v>0</v>
      </c>
      <c r="CV75" s="356">
        <f>IF(CV$7&lt;'Assumptions_&amp;_Inputs'!$E$83,MIN(CU$81,MAX(0,-CV$65)-CV$74),0)</f>
        <v>0</v>
      </c>
      <c r="CW75" s="356">
        <f>IF(CW$7&lt;'Assumptions_&amp;_Inputs'!$E$83,MIN(CV$81,MAX(0,-CW$65)-CW$74),0)</f>
        <v>0</v>
      </c>
      <c r="CX75" s="356">
        <f>IF(CX$7&lt;'Assumptions_&amp;_Inputs'!$E$83,MIN(CW$81,MAX(0,-CX$65)-CX$74),0)</f>
        <v>0</v>
      </c>
      <c r="CY75" s="356">
        <f>IF(CY$7&lt;'Assumptions_&amp;_Inputs'!$E$83,MIN(CX$81,MAX(0,-CY$65)-CY$74),0)</f>
        <v>0</v>
      </c>
      <c r="CZ75" s="356">
        <f>IF(CZ$7&lt;'Assumptions_&amp;_Inputs'!$E$83,MIN(CY$81,MAX(0,-CZ$65)-CZ$74),0)</f>
        <v>0</v>
      </c>
      <c r="DA75" s="356">
        <f>IF(DA$7&lt;'Assumptions_&amp;_Inputs'!$E$83,MIN(CZ$81,MAX(0,-DA$65)-DA$74),0)</f>
        <v>0</v>
      </c>
      <c r="DB75" s="356">
        <f>IF(DB$7&lt;'Assumptions_&amp;_Inputs'!$E$83,MIN(DA$81,MAX(0,-DB$65)-DB$74),0)</f>
        <v>0</v>
      </c>
      <c r="DC75" s="356">
        <f>IF(DC$7&lt;'Assumptions_&amp;_Inputs'!$E$83,MIN(DB$81,MAX(0,-DC$65)-DC$74),0)</f>
        <v>0</v>
      </c>
      <c r="DD75" s="356">
        <f>IF(DD$7&lt;'Assumptions_&amp;_Inputs'!$E$83,MIN(DC$81,MAX(0,-DD$65)-DD$74),0)</f>
        <v>0</v>
      </c>
      <c r="DE75" s="356">
        <f>IF(DE$7&lt;'Assumptions_&amp;_Inputs'!$E$83,MIN(DD$81,MAX(0,-DE$65)-DE$74),0)</f>
        <v>0</v>
      </c>
      <c r="DF75" s="356">
        <f>IF(DF$7&lt;'Assumptions_&amp;_Inputs'!$E$83,MIN(DE$81,MAX(0,-DF$65)-DF$74),0)</f>
        <v>0</v>
      </c>
      <c r="DG75" s="356">
        <f>IF(DG$7&lt;'Assumptions_&amp;_Inputs'!$E$83,MIN(DF$81,MAX(0,-DG$65)-DG$74),0)</f>
        <v>0</v>
      </c>
      <c r="DH75" s="356">
        <f>IF(DH$7&lt;'Assumptions_&amp;_Inputs'!$E$83,MIN(DG$81,MAX(0,-DH$65)-DH$74),0)</f>
        <v>0</v>
      </c>
      <c r="DI75" s="356">
        <f>IF(DI$7&lt;'Assumptions_&amp;_Inputs'!$E$83,MIN(DH$81,MAX(0,-DI$65)-DI$74),0)</f>
        <v>0</v>
      </c>
      <c r="DJ75" s="356">
        <f>IF(DJ$7&lt;'Assumptions_&amp;_Inputs'!$E$83,MIN(DI$81,MAX(0,-DJ$65)-DJ$74),0)</f>
        <v>0</v>
      </c>
      <c r="DK75" s="356">
        <f>IF(DK$7&lt;'Assumptions_&amp;_Inputs'!$E$83,MIN(DJ$81,MAX(0,-DK$65)-DK$74),0)</f>
        <v>0</v>
      </c>
      <c r="DL75" s="356">
        <f>IF(DL$7&lt;'Assumptions_&amp;_Inputs'!$E$83,MIN(DK$81,MAX(0,-DL$65)-DL$74),0)</f>
        <v>0</v>
      </c>
      <c r="DM75" s="356">
        <f>IF(DM$7&lt;'Assumptions_&amp;_Inputs'!$E$83,MIN(DL$81,MAX(0,-DM$65)-DM$74),0)</f>
        <v>0</v>
      </c>
      <c r="DN75" s="356">
        <f>IF(DN$7&lt;'Assumptions_&amp;_Inputs'!$E$83,MIN(DM$81,MAX(0,-DN$65)-DN$74),0)</f>
        <v>0</v>
      </c>
      <c r="DO75" s="356">
        <f>IF(DO$7&lt;'Assumptions_&amp;_Inputs'!$E$83,MIN(DN$81,MAX(0,-DO$65)-DO$74),0)</f>
        <v>0</v>
      </c>
      <c r="DP75" s="356">
        <f>IF(DP$7&lt;'Assumptions_&amp;_Inputs'!$E$83,MIN(DO$81,MAX(0,-DP$65)-DP$74),0)</f>
        <v>0</v>
      </c>
      <c r="DQ75" s="356">
        <f>IF(DQ$7&lt;'Assumptions_&amp;_Inputs'!$E$83,MIN(DP$81,MAX(0,-DQ$65)-DQ$74),0)</f>
        <v>0</v>
      </c>
      <c r="DR75" s="356">
        <f>IF(DR$7&lt;'Assumptions_&amp;_Inputs'!$E$83,MIN(DQ$81,MAX(0,-DR$65)-DR$74),0)</f>
        <v>0</v>
      </c>
      <c r="DS75" s="356">
        <f>IF(DS$7&lt;'Assumptions_&amp;_Inputs'!$E$83,MIN(DR$81,MAX(0,-DS$65)-DS$74),0)</f>
        <v>0</v>
      </c>
      <c r="DT75" s="356">
        <f>IF(DT$7&lt;'Assumptions_&amp;_Inputs'!$E$83,MIN(DS$81,MAX(0,-DT$65)-DT$74),0)</f>
        <v>0</v>
      </c>
      <c r="DU75" s="356">
        <f>IF(DU$7&lt;'Assumptions_&amp;_Inputs'!$E$83,MIN(DT$81,MAX(0,-DU$65)-DU$74),0)</f>
        <v>0</v>
      </c>
      <c r="DV75" s="356">
        <f>IF(DV$7&lt;'Assumptions_&amp;_Inputs'!$E$83,MIN(DU$81,MAX(0,-DV$65)-DV$74),0)</f>
        <v>0</v>
      </c>
      <c r="DW75" s="356">
        <f>IF(DW$7&lt;'Assumptions_&amp;_Inputs'!$E$83,MIN(DV$81,MAX(0,-DW$65)-DW$74),0)</f>
        <v>0</v>
      </c>
      <c r="DX75" s="356">
        <f>IF(DX$7&lt;'Assumptions_&amp;_Inputs'!$E$83,MIN(DW$81,MAX(0,-DX$65)-DX$74),0)</f>
        <v>0</v>
      </c>
      <c r="DY75" s="356">
        <f>IF(DY$7&lt;'Assumptions_&amp;_Inputs'!$E$83,MIN(DX$81,MAX(0,-DY$65)-DY$74),0)</f>
        <v>0</v>
      </c>
      <c r="DZ75" s="356">
        <f>IF(DZ$7&lt;'Assumptions_&amp;_Inputs'!$E$83,MIN(DY$81,MAX(0,-DZ$65)-DZ$74),0)</f>
        <v>0</v>
      </c>
      <c r="EA75" s="356">
        <f>IF(EA$7&lt;'Assumptions_&amp;_Inputs'!$E$83,MIN(DZ$81,MAX(0,-EA$65)-EA$74),0)</f>
        <v>0</v>
      </c>
      <c r="EB75" s="356">
        <f>IF(EB$7&lt;'Assumptions_&amp;_Inputs'!$E$83,MIN(EA$81,MAX(0,-EB$65)-EB$74),0)</f>
        <v>0</v>
      </c>
      <c r="EC75" s="356">
        <f>IF(EC$7&lt;'Assumptions_&amp;_Inputs'!$E$83,MIN(EB$81,MAX(0,-EC$65)-EC$74),0)</f>
        <v>0</v>
      </c>
      <c r="ED75" s="356">
        <f>IF(ED$7&lt;'Assumptions_&amp;_Inputs'!$E$83,MIN(EC$81,MAX(0,-ED$65)-ED$74),0)</f>
        <v>0</v>
      </c>
      <c r="EE75" s="356">
        <f>IF(EE$7&lt;'Assumptions_&amp;_Inputs'!$E$83,MIN(ED$81,MAX(0,-EE$65)-EE$74),0)</f>
        <v>0</v>
      </c>
      <c r="EF75" s="356">
        <f>IF(EF$7&lt;'Assumptions_&amp;_Inputs'!$E$83,MIN(EE$81,MAX(0,-EF$65)-EF$74),0)</f>
        <v>0</v>
      </c>
      <c r="EG75" s="356">
        <f>IF(EG$7&lt;'Assumptions_&amp;_Inputs'!$E$83,MIN(EF$81,MAX(0,-EG$65)-EG$74),0)</f>
        <v>0</v>
      </c>
      <c r="EH75" s="356">
        <f>IF(EH$7&lt;'Assumptions_&amp;_Inputs'!$E$83,MIN(EG$81,MAX(0,-EH$65)-EH$74),0)</f>
        <v>0</v>
      </c>
      <c r="EI75" s="356">
        <f>IF(EI$7&lt;'Assumptions_&amp;_Inputs'!$E$83,MIN(EH$81,MAX(0,-EI$65)-EI$74),0)</f>
        <v>0</v>
      </c>
      <c r="EJ75" s="356">
        <f>IF(EJ$7&lt;'Assumptions_&amp;_Inputs'!$E$83,MIN(EI$81,MAX(0,-EJ$65)-EJ$74),0)</f>
        <v>0</v>
      </c>
      <c r="EK75" s="356">
        <f>IF(EK$7&lt;'Assumptions_&amp;_Inputs'!$E$83,MIN(EJ$81,MAX(0,-EK$65)-EK$74),0)</f>
        <v>0</v>
      </c>
      <c r="EL75" s="356">
        <f>IF(EL$7&lt;'Assumptions_&amp;_Inputs'!$E$83,MIN(EK$81,MAX(0,-EL$65)-EL$74),0)</f>
        <v>0</v>
      </c>
      <c r="EM75" s="356">
        <f>IF(EM$7&lt;'Assumptions_&amp;_Inputs'!$E$83,MIN(EL$81,MAX(0,-EM$65)-EM$74),0)</f>
        <v>0</v>
      </c>
      <c r="EN75" s="356">
        <f>IF(EN$7&lt;'Assumptions_&amp;_Inputs'!$E$83,MIN(EM$81,MAX(0,-EN$65)-EN$74),0)</f>
        <v>0</v>
      </c>
      <c r="EO75" s="356">
        <f>IF(EO$7&lt;'Assumptions_&amp;_Inputs'!$E$83,MIN(EN$81,MAX(0,-EO$65)-EO$74),0)</f>
        <v>0</v>
      </c>
      <c r="EP75" s="356">
        <f>IF(EP$7&lt;'Assumptions_&amp;_Inputs'!$E$83,MIN(EO$81,MAX(0,-EP$65)-EP$74),0)</f>
        <v>0</v>
      </c>
      <c r="EQ75" s="356">
        <f>IF(EQ$7&lt;'Assumptions_&amp;_Inputs'!$E$83,MIN(EP$81,MAX(0,-EQ$65)-EQ$74),0)</f>
        <v>0</v>
      </c>
      <c r="ER75" s="356">
        <f>IF(ER$7&lt;'Assumptions_&amp;_Inputs'!$E$83,MIN(EQ$81,MAX(0,-ER$65)-ER$74),0)</f>
        <v>0</v>
      </c>
      <c r="ES75" s="356">
        <f>IF(ES$7&lt;'Assumptions_&amp;_Inputs'!$E$83,MIN(ER$81,MAX(0,-ES$65)-ES$74),0)</f>
        <v>0</v>
      </c>
      <c r="ET75" s="356">
        <f>IF(ET$7&lt;'Assumptions_&amp;_Inputs'!$E$83,MIN(ES$81,MAX(0,-ET$65)-ET$74),0)</f>
        <v>0</v>
      </c>
      <c r="EU75" s="356">
        <f>IF(EU$7&lt;'Assumptions_&amp;_Inputs'!$E$83,MIN(ET$81,MAX(0,-EU$65)-EU$74),0)</f>
        <v>0</v>
      </c>
      <c r="EV75" s="356">
        <f>IF(EV$7&lt;'Assumptions_&amp;_Inputs'!$E$83,MIN(EU$81,MAX(0,-EV$65)-EV$74),0)</f>
        <v>0</v>
      </c>
      <c r="EW75" s="356">
        <f>IF(EW$7&lt;'Assumptions_&amp;_Inputs'!$E$83,MIN(EV$81,MAX(0,-EW$65)-EW$74),0)</f>
        <v>0</v>
      </c>
      <c r="EX75" s="356">
        <f>IF(EX$7&lt;'Assumptions_&amp;_Inputs'!$E$83,MIN(EW$81,MAX(0,-EX$65)-EX$74),0)</f>
        <v>0</v>
      </c>
      <c r="EY75" s="356">
        <f>IF(EY$7&lt;'Assumptions_&amp;_Inputs'!$E$83,MIN(EX$81,MAX(0,-EY$65)-EY$74),0)</f>
        <v>0</v>
      </c>
      <c r="EZ75" s="356">
        <f>IF(EZ$7&lt;'Assumptions_&amp;_Inputs'!$E$83,MIN(EY$81,MAX(0,-EZ$65)-EZ$74),0)</f>
        <v>0</v>
      </c>
      <c r="FA75" s="356">
        <f>IF(FA$7&lt;'Assumptions_&amp;_Inputs'!$E$83,MIN(EZ$81,MAX(0,-FA$65)-FA$74),0)</f>
        <v>0</v>
      </c>
      <c r="FB75" s="356">
        <f>IF(FB$7&lt;'Assumptions_&amp;_Inputs'!$E$83,MIN(FA$81,MAX(0,-FB$65)-FB$74),0)</f>
        <v>0</v>
      </c>
      <c r="FC75" s="356">
        <f>IF(FC$7&lt;'Assumptions_&amp;_Inputs'!$E$83,MIN(FB$81,MAX(0,-FC$65)-FC$74),0)</f>
        <v>0</v>
      </c>
      <c r="FD75" s="356">
        <f>IF(FD$7&lt;'Assumptions_&amp;_Inputs'!$E$83,MIN(FC$81,MAX(0,-FD$65)-FD$74),0)</f>
        <v>0</v>
      </c>
      <c r="FE75" s="356">
        <f>IF(FE$7&lt;'Assumptions_&amp;_Inputs'!$E$83,MIN(FD$81,MAX(0,-FE$65)-FE$74),0)</f>
        <v>0</v>
      </c>
      <c r="FF75" s="356">
        <f>IF(FF$7&lt;'Assumptions_&amp;_Inputs'!$E$83,MIN(FE$81,MAX(0,-FF$65)-FF$74),0)</f>
        <v>0</v>
      </c>
      <c r="FG75" s="356">
        <f>IF(FG$7&lt;'Assumptions_&amp;_Inputs'!$E$83,MIN(FF$81,MAX(0,-FG$65)-FG$74),0)</f>
        <v>0</v>
      </c>
      <c r="FH75" s="356">
        <f>IF(FH$7&lt;'Assumptions_&amp;_Inputs'!$E$83,MIN(FG$81,MAX(0,-FH$65)-FH$74),0)</f>
        <v>0</v>
      </c>
      <c r="FI75" s="356">
        <f>IF(FI$7&lt;'Assumptions_&amp;_Inputs'!$E$83,MIN(FH$81,MAX(0,-FI$65)-FI$74),0)</f>
        <v>0</v>
      </c>
      <c r="FJ75" s="356">
        <f>IF(FJ$7&lt;'Assumptions_&amp;_Inputs'!$E$83,MIN(FI$81,MAX(0,-FJ$65)-FJ$74),0)</f>
        <v>0</v>
      </c>
      <c r="FK75" s="356">
        <f>IF(FK$7&lt;'Assumptions_&amp;_Inputs'!$E$83,MIN(FJ$81,MAX(0,-FK$65)-FK$74),0)</f>
        <v>0</v>
      </c>
      <c r="FL75" s="356">
        <f>IF(FL$7&lt;'Assumptions_&amp;_Inputs'!$E$83,MIN(FK$81,MAX(0,-FL$65)-FL$74),0)</f>
        <v>0</v>
      </c>
      <c r="FM75" s="356">
        <f>IF(FM$7&lt;'Assumptions_&amp;_Inputs'!$E$83,MIN(FL$81,MAX(0,-FM$65)-FM$74),0)</f>
        <v>0</v>
      </c>
      <c r="FN75" s="356">
        <f>IF(FN$7&lt;'Assumptions_&amp;_Inputs'!$E$83,MIN(FM$81,MAX(0,-FN$65)-FN$74),0)</f>
        <v>0</v>
      </c>
      <c r="FO75" s="356">
        <f>IF(FO$7&lt;'Assumptions_&amp;_Inputs'!$E$83,MIN(FN$81,MAX(0,-FO$65)-FO$74),0)</f>
        <v>0</v>
      </c>
      <c r="FP75" s="356">
        <f>IF(FP$7&lt;'Assumptions_&amp;_Inputs'!$E$83,MIN(FO$81,MAX(0,-FP$65)-FP$74),0)</f>
        <v>0</v>
      </c>
      <c r="FQ75" s="356">
        <f>IF(FQ$7&lt;'Assumptions_&amp;_Inputs'!$E$83,MIN(FP$81,MAX(0,-FQ$65)-FQ$74),0)</f>
        <v>0</v>
      </c>
      <c r="FR75" s="356">
        <f>IF(FR$7&lt;'Assumptions_&amp;_Inputs'!$E$83,MIN(FQ$81,MAX(0,-FR$65)-FR$74),0)</f>
        <v>0</v>
      </c>
      <c r="FS75" s="356">
        <f>IF(FS$7&lt;'Assumptions_&amp;_Inputs'!$E$83,MIN(FR$81,MAX(0,-FS$65)-FS$74),0)</f>
        <v>0</v>
      </c>
      <c r="FT75" s="356">
        <f>IF(FT$7&lt;'Assumptions_&amp;_Inputs'!$E$83,MIN(FS$81,MAX(0,-FT$65)-FT$74),0)</f>
        <v>0</v>
      </c>
      <c r="FU75" s="356">
        <f>IF(FU$7&lt;'Assumptions_&amp;_Inputs'!$E$83,MIN(FT$81,MAX(0,-FU$65)-FU$74),0)</f>
        <v>0</v>
      </c>
      <c r="FV75" s="356">
        <f>IF(FV$7&lt;'Assumptions_&amp;_Inputs'!$E$83,MIN(FU$81,MAX(0,-FV$65)-FV$74),0)</f>
        <v>0</v>
      </c>
      <c r="FW75" s="356">
        <f>IF(FW$7&lt;'Assumptions_&amp;_Inputs'!$E$83,MIN(FV$81,MAX(0,-FW$65)-FW$74),0)</f>
        <v>0</v>
      </c>
      <c r="FX75" s="356">
        <f>IF(FX$7&lt;'Assumptions_&amp;_Inputs'!$E$83,MIN(FW$81,MAX(0,-FX$65)-FX$74),0)</f>
        <v>0</v>
      </c>
      <c r="FY75" s="356">
        <f>IF(FY$7&lt;'Assumptions_&amp;_Inputs'!$E$83,MIN(FX$81,MAX(0,-FY$65)-FY$74),0)</f>
        <v>0</v>
      </c>
      <c r="FZ75" s="356">
        <f>IF(FZ$7&lt;'Assumptions_&amp;_Inputs'!$E$83,MIN(FY$81,MAX(0,-FZ$65)-FZ$74),0)</f>
        <v>0</v>
      </c>
      <c r="GA75" s="356">
        <f>IF(GA$7&lt;'Assumptions_&amp;_Inputs'!$E$83,MIN(FZ$81,MAX(0,-GA$65)-GA$74),0)</f>
        <v>0</v>
      </c>
      <c r="GB75" s="356">
        <f>IF(GB$7&lt;'Assumptions_&amp;_Inputs'!$E$83,MIN(GA$81,MAX(0,-GB$65)-GB$74),0)</f>
        <v>0</v>
      </c>
      <c r="GC75" s="356">
        <f>IF(GC$7&lt;'Assumptions_&amp;_Inputs'!$E$83,MIN(GB$81,MAX(0,-GC$65)-GC$74),0)</f>
        <v>0</v>
      </c>
      <c r="GD75" s="356">
        <f>IF(GD$7&lt;'Assumptions_&amp;_Inputs'!$E$83,MIN(GC$81,MAX(0,-GD$65)-GD$74),0)</f>
        <v>0</v>
      </c>
      <c r="GE75" s="356">
        <f>IF(GE$7&lt;'Assumptions_&amp;_Inputs'!$E$83,MIN(GD$81,MAX(0,-GE$65)-GE$74),0)</f>
        <v>0</v>
      </c>
      <c r="GF75" s="356">
        <f>IF(GF$7&lt;'Assumptions_&amp;_Inputs'!$E$83,MIN(GE$81,MAX(0,-GF$65)-GF$74),0)</f>
        <v>0</v>
      </c>
      <c r="GG75" s="356">
        <f>IF(GG$7&lt;'Assumptions_&amp;_Inputs'!$E$83,MIN(GF$81,MAX(0,-GG$65)-GG$74),0)</f>
        <v>0</v>
      </c>
      <c r="GH75" s="356">
        <f>IF(GH$7&lt;'Assumptions_&amp;_Inputs'!$E$83,MIN(GG$81,MAX(0,-GH$65)-GH$74),0)</f>
        <v>0</v>
      </c>
      <c r="GI75" s="356">
        <f>IF(GI$7&lt;'Assumptions_&amp;_Inputs'!$E$83,MIN(GH$81,MAX(0,-GI$65)-GI$74),0)</f>
        <v>0</v>
      </c>
      <c r="GJ75" s="356">
        <f>IF(GJ$7&lt;'Assumptions_&amp;_Inputs'!$E$83,MIN(GI$81,MAX(0,-GJ$65)-GJ$74),0)</f>
        <v>0</v>
      </c>
      <c r="GK75" s="356">
        <f>IF(GK$7&lt;'Assumptions_&amp;_Inputs'!$E$83,MIN(GJ$81,MAX(0,-GK$65)-GK$74),0)</f>
        <v>0</v>
      </c>
      <c r="GL75" s="356">
        <f>IF(GL$7&lt;'Assumptions_&amp;_Inputs'!$E$83,MIN(GK$81,MAX(0,-GL$65)-GL$74),0)</f>
        <v>0</v>
      </c>
      <c r="GM75" s="356">
        <f>IF(GM$7&lt;'Assumptions_&amp;_Inputs'!$E$83,MIN(GL$81,MAX(0,-GM$65)-GM$74),0)</f>
        <v>0</v>
      </c>
      <c r="GN75" s="356"/>
      <c r="GO75" s="356"/>
      <c r="GP75" s="356"/>
      <c r="GQ75" s="63"/>
      <c r="GR75" s="63"/>
      <c r="GS75" s="63"/>
      <c r="GT75" s="63"/>
      <c r="GU75" s="63"/>
      <c r="GV75" s="63"/>
      <c r="GW75" s="63"/>
      <c r="GX75" s="63"/>
      <c r="GY75" s="63"/>
      <c r="GZ75" s="63"/>
      <c r="HA75" s="63"/>
      <c r="HB75" s="63"/>
      <c r="HC75" s="63"/>
      <c r="HD75" s="63"/>
      <c r="HE75" s="63"/>
      <c r="HF75" s="63"/>
      <c r="HG75" s="63"/>
      <c r="HH75" s="63"/>
      <c r="HI75" s="63"/>
      <c r="HJ75" s="63"/>
      <c r="HK75" s="63"/>
      <c r="HL75" s="63"/>
      <c r="HM75" s="63"/>
      <c r="HN75" s="63"/>
      <c r="HO75" s="63"/>
      <c r="HP75" s="63"/>
      <c r="HQ75" s="63"/>
      <c r="HR75" s="63"/>
      <c r="HS75" s="63"/>
      <c r="HT75" s="63"/>
      <c r="HU75" s="63"/>
      <c r="HV75" s="63"/>
      <c r="HW75" s="63"/>
      <c r="HX75" s="63"/>
      <c r="HY75" s="63"/>
      <c r="HZ75" s="63"/>
      <c r="IA75" s="63"/>
      <c r="IB75" s="63"/>
      <c r="IC75" s="63"/>
      <c r="ID75" s="63"/>
      <c r="IE75" s="63"/>
      <c r="IF75" s="63"/>
      <c r="IG75" s="63"/>
      <c r="IH75" s="63"/>
      <c r="II75" s="63"/>
      <c r="IJ75" s="63"/>
      <c r="IK75" s="63"/>
      <c r="IL75" s="63"/>
      <c r="IM75" s="63"/>
      <c r="IN75" s="63"/>
      <c r="IO75" s="63"/>
      <c r="IP75" s="63"/>
      <c r="IQ75" s="63"/>
      <c r="IR75" s="63"/>
      <c r="IS75" s="63"/>
      <c r="IT75" s="63"/>
      <c r="IU75" s="63"/>
      <c r="IV75" s="63"/>
      <c r="IW75" s="63"/>
      <c r="IX75" s="63"/>
      <c r="IY75" s="63"/>
      <c r="IZ75" s="63"/>
      <c r="JA75" s="63"/>
      <c r="JB75" s="63"/>
      <c r="JC75" s="63"/>
      <c r="JD75" s="63"/>
      <c r="JE75" s="63"/>
      <c r="JF75" s="63"/>
      <c r="JG75" s="63"/>
      <c r="JH75" s="63"/>
      <c r="JI75" s="63"/>
      <c r="JJ75" s="63"/>
      <c r="JK75" s="63"/>
      <c r="JL75" s="63"/>
      <c r="JM75" s="63"/>
      <c r="JN75" s="63"/>
      <c r="JO75" s="63"/>
      <c r="JP75" s="63"/>
      <c r="JQ75" s="63"/>
      <c r="JR75" s="63"/>
      <c r="JS75" s="63"/>
      <c r="JT75" s="63"/>
      <c r="JU75" s="63"/>
      <c r="JV75" s="63"/>
      <c r="JW75" s="63"/>
      <c r="JX75" s="63"/>
      <c r="JY75" s="63"/>
      <c r="JZ75" s="63"/>
      <c r="KA75" s="63"/>
      <c r="KB75" s="63"/>
      <c r="KC75" s="63"/>
      <c r="KD75" s="63"/>
      <c r="KE75" s="63"/>
      <c r="KF75" s="63"/>
      <c r="KG75" s="63"/>
      <c r="KH75" s="63"/>
      <c r="KI75" s="63"/>
      <c r="KJ75" s="63"/>
      <c r="KK75" s="63"/>
      <c r="KL75" s="63"/>
      <c r="KM75" s="63"/>
      <c r="KN75" s="63"/>
      <c r="KO75" s="63"/>
      <c r="KP75" s="63"/>
      <c r="KQ75" s="63"/>
      <c r="KR75" s="63"/>
      <c r="KS75" s="63"/>
      <c r="KT75" s="63"/>
      <c r="KU75" s="63"/>
      <c r="KV75" s="63"/>
      <c r="KW75" s="63"/>
      <c r="KX75" s="63"/>
      <c r="KY75" s="63"/>
      <c r="KZ75" s="63"/>
      <c r="LA75" s="63"/>
      <c r="LB75" s="63"/>
      <c r="LC75" s="63"/>
      <c r="LD75" s="63"/>
      <c r="LE75" s="63"/>
      <c r="LF75" s="63"/>
      <c r="LG75" s="63"/>
      <c r="LH75" s="63"/>
      <c r="LI75" s="63"/>
      <c r="LJ75" s="63"/>
      <c r="LK75" s="63"/>
      <c r="LL75" s="63"/>
      <c r="LM75" s="63"/>
      <c r="LN75" s="63"/>
      <c r="LO75" s="63"/>
      <c r="LP75" s="63"/>
      <c r="LQ75" s="63"/>
      <c r="LR75" s="63"/>
      <c r="LS75" s="63"/>
      <c r="LT75" s="63"/>
      <c r="LU75" s="63"/>
      <c r="LV75" s="63"/>
      <c r="LW75" s="63"/>
      <c r="LX75" s="63"/>
      <c r="LY75" s="63"/>
      <c r="LZ75" s="63"/>
      <c r="MA75" s="63"/>
      <c r="MB75" s="63"/>
      <c r="MC75" s="63"/>
      <c r="MD75" s="63"/>
      <c r="ME75" s="63"/>
      <c r="MF75" s="63"/>
      <c r="MG75" s="63"/>
      <c r="MH75" s="63"/>
      <c r="MI75" s="63"/>
      <c r="MJ75" s="63"/>
      <c r="MK75" s="63"/>
      <c r="ML75" s="63"/>
      <c r="MM75" s="63"/>
      <c r="MN75" s="63"/>
      <c r="MO75" s="63"/>
      <c r="MP75" s="63"/>
      <c r="MQ75" s="63"/>
      <c r="MR75" s="63"/>
      <c r="MS75" s="63"/>
      <c r="MT75" s="63"/>
      <c r="MU75" s="63"/>
      <c r="MV75" s="63"/>
      <c r="MW75" s="63"/>
      <c r="MX75" s="63"/>
      <c r="MY75" s="63"/>
      <c r="MZ75" s="63"/>
      <c r="NA75" s="63"/>
      <c r="NB75" s="63"/>
    </row>
    <row r="76" spans="1:366" ht="16" customHeight="1" x14ac:dyDescent="0.15">
      <c r="B76" s="372" t="s">
        <v>292</v>
      </c>
      <c r="C76" s="312" t="s">
        <v>150</v>
      </c>
      <c r="D76" s="315"/>
      <c r="E76" s="315"/>
      <c r="F76" s="317">
        <f t="shared" ref="F76:AK76" si="200">MAX(0,ROUND(MAX(0,-F$65)-F$74-F$75,2))</f>
        <v>0</v>
      </c>
      <c r="G76" s="356">
        <f t="shared" si="200"/>
        <v>0</v>
      </c>
      <c r="H76" s="356">
        <f t="shared" si="200"/>
        <v>0</v>
      </c>
      <c r="I76" s="356">
        <f t="shared" si="200"/>
        <v>0</v>
      </c>
      <c r="J76" s="356">
        <f t="shared" si="200"/>
        <v>0</v>
      </c>
      <c r="K76" s="356">
        <f t="shared" si="200"/>
        <v>0</v>
      </c>
      <c r="L76" s="356">
        <f t="shared" si="200"/>
        <v>0</v>
      </c>
      <c r="M76" s="356">
        <f t="shared" si="200"/>
        <v>0</v>
      </c>
      <c r="N76" s="356">
        <f t="shared" si="200"/>
        <v>0</v>
      </c>
      <c r="O76" s="356">
        <f t="shared" si="200"/>
        <v>0</v>
      </c>
      <c r="P76" s="356">
        <f t="shared" si="200"/>
        <v>0</v>
      </c>
      <c r="Q76" s="356">
        <f t="shared" si="200"/>
        <v>0</v>
      </c>
      <c r="R76" s="356">
        <f t="shared" si="200"/>
        <v>0</v>
      </c>
      <c r="S76" s="356">
        <f t="shared" si="200"/>
        <v>0</v>
      </c>
      <c r="T76" s="356">
        <f t="shared" si="200"/>
        <v>0</v>
      </c>
      <c r="U76" s="356">
        <f t="shared" si="200"/>
        <v>0</v>
      </c>
      <c r="V76" s="356">
        <f t="shared" si="200"/>
        <v>0</v>
      </c>
      <c r="W76" s="356">
        <f t="shared" si="200"/>
        <v>0</v>
      </c>
      <c r="X76" s="356">
        <f t="shared" si="200"/>
        <v>0</v>
      </c>
      <c r="Y76" s="356">
        <f t="shared" si="200"/>
        <v>0</v>
      </c>
      <c r="Z76" s="356">
        <f t="shared" si="200"/>
        <v>0</v>
      </c>
      <c r="AA76" s="356">
        <f t="shared" si="200"/>
        <v>0</v>
      </c>
      <c r="AB76" s="356">
        <f t="shared" si="200"/>
        <v>0</v>
      </c>
      <c r="AC76" s="356">
        <f t="shared" si="200"/>
        <v>0</v>
      </c>
      <c r="AD76" s="356">
        <f t="shared" si="200"/>
        <v>0</v>
      </c>
      <c r="AE76" s="356">
        <f t="shared" si="200"/>
        <v>0</v>
      </c>
      <c r="AF76" s="356">
        <f t="shared" si="200"/>
        <v>0</v>
      </c>
      <c r="AG76" s="356">
        <f t="shared" si="200"/>
        <v>0</v>
      </c>
      <c r="AH76" s="356">
        <f t="shared" si="200"/>
        <v>0</v>
      </c>
      <c r="AI76" s="356">
        <f t="shared" si="200"/>
        <v>0</v>
      </c>
      <c r="AJ76" s="356">
        <f t="shared" si="200"/>
        <v>0</v>
      </c>
      <c r="AK76" s="356">
        <f t="shared" si="200"/>
        <v>0</v>
      </c>
      <c r="AL76" s="356">
        <f t="shared" ref="AL76:BQ76" si="201">MAX(0,ROUND(MAX(0,-AL$65)-AL$74-AL$75,2))</f>
        <v>0</v>
      </c>
      <c r="AM76" s="356">
        <f t="shared" si="201"/>
        <v>0</v>
      </c>
      <c r="AN76" s="356">
        <f t="shared" si="201"/>
        <v>0</v>
      </c>
      <c r="AO76" s="356">
        <f t="shared" si="201"/>
        <v>0</v>
      </c>
      <c r="AP76" s="356">
        <f t="shared" si="201"/>
        <v>0</v>
      </c>
      <c r="AQ76" s="356">
        <f t="shared" si="201"/>
        <v>0</v>
      </c>
      <c r="AR76" s="356">
        <f t="shared" si="201"/>
        <v>0</v>
      </c>
      <c r="AS76" s="356">
        <f t="shared" si="201"/>
        <v>0</v>
      </c>
      <c r="AT76" s="356">
        <f t="shared" si="201"/>
        <v>0</v>
      </c>
      <c r="AU76" s="356">
        <f t="shared" si="201"/>
        <v>0</v>
      </c>
      <c r="AV76" s="356">
        <f t="shared" si="201"/>
        <v>0</v>
      </c>
      <c r="AW76" s="356">
        <f t="shared" si="201"/>
        <v>0</v>
      </c>
      <c r="AX76" s="356">
        <f t="shared" si="201"/>
        <v>0</v>
      </c>
      <c r="AY76" s="356">
        <f t="shared" si="201"/>
        <v>0</v>
      </c>
      <c r="AZ76" s="356">
        <f t="shared" si="201"/>
        <v>0</v>
      </c>
      <c r="BA76" s="356">
        <f t="shared" si="201"/>
        <v>0</v>
      </c>
      <c r="BB76" s="356">
        <f t="shared" si="201"/>
        <v>0</v>
      </c>
      <c r="BC76" s="356">
        <f t="shared" si="201"/>
        <v>0</v>
      </c>
      <c r="BD76" s="356">
        <f t="shared" si="201"/>
        <v>0</v>
      </c>
      <c r="BE76" s="356">
        <f t="shared" si="201"/>
        <v>0</v>
      </c>
      <c r="BF76" s="356">
        <f t="shared" si="201"/>
        <v>0</v>
      </c>
      <c r="BG76" s="356">
        <f t="shared" si="201"/>
        <v>0</v>
      </c>
      <c r="BH76" s="356">
        <f t="shared" si="201"/>
        <v>0</v>
      </c>
      <c r="BI76" s="356">
        <f t="shared" si="201"/>
        <v>0</v>
      </c>
      <c r="BJ76" s="356">
        <f t="shared" si="201"/>
        <v>0</v>
      </c>
      <c r="BK76" s="356">
        <f t="shared" si="201"/>
        <v>0</v>
      </c>
      <c r="BL76" s="356">
        <f t="shared" si="201"/>
        <v>0</v>
      </c>
      <c r="BM76" s="356">
        <f t="shared" si="201"/>
        <v>0</v>
      </c>
      <c r="BN76" s="356">
        <f t="shared" si="201"/>
        <v>0</v>
      </c>
      <c r="BO76" s="356">
        <f t="shared" si="201"/>
        <v>0</v>
      </c>
      <c r="BP76" s="356">
        <f t="shared" si="201"/>
        <v>0</v>
      </c>
      <c r="BQ76" s="356">
        <f t="shared" si="201"/>
        <v>0</v>
      </c>
      <c r="BR76" s="356">
        <f t="shared" ref="BR76:CW76" si="202">MAX(0,ROUND(MAX(0,-BR$65)-BR$74-BR$75,2))</f>
        <v>0</v>
      </c>
      <c r="BS76" s="356">
        <f t="shared" si="202"/>
        <v>0</v>
      </c>
      <c r="BT76" s="356">
        <f t="shared" si="202"/>
        <v>0</v>
      </c>
      <c r="BU76" s="356">
        <f t="shared" si="202"/>
        <v>0</v>
      </c>
      <c r="BV76" s="356">
        <f t="shared" si="202"/>
        <v>0</v>
      </c>
      <c r="BW76" s="356">
        <f t="shared" si="202"/>
        <v>0</v>
      </c>
      <c r="BX76" s="356">
        <f t="shared" si="202"/>
        <v>0</v>
      </c>
      <c r="BY76" s="356">
        <f t="shared" si="202"/>
        <v>0</v>
      </c>
      <c r="BZ76" s="356">
        <f t="shared" si="202"/>
        <v>0</v>
      </c>
      <c r="CA76" s="356">
        <f t="shared" si="202"/>
        <v>0</v>
      </c>
      <c r="CB76" s="356">
        <f t="shared" si="202"/>
        <v>0</v>
      </c>
      <c r="CC76" s="356">
        <f t="shared" si="202"/>
        <v>0</v>
      </c>
      <c r="CD76" s="356">
        <f t="shared" si="202"/>
        <v>0</v>
      </c>
      <c r="CE76" s="356">
        <f t="shared" si="202"/>
        <v>0</v>
      </c>
      <c r="CF76" s="356">
        <f t="shared" si="202"/>
        <v>0</v>
      </c>
      <c r="CG76" s="356">
        <f t="shared" si="202"/>
        <v>0</v>
      </c>
      <c r="CH76" s="356">
        <f t="shared" si="202"/>
        <v>0</v>
      </c>
      <c r="CI76" s="356">
        <f t="shared" si="202"/>
        <v>0</v>
      </c>
      <c r="CJ76" s="356">
        <f t="shared" si="202"/>
        <v>0</v>
      </c>
      <c r="CK76" s="356">
        <f t="shared" si="202"/>
        <v>0</v>
      </c>
      <c r="CL76" s="356">
        <f t="shared" si="202"/>
        <v>0</v>
      </c>
      <c r="CM76" s="356">
        <f t="shared" si="202"/>
        <v>0</v>
      </c>
      <c r="CN76" s="356">
        <f t="shared" si="202"/>
        <v>0</v>
      </c>
      <c r="CO76" s="356">
        <f t="shared" si="202"/>
        <v>0</v>
      </c>
      <c r="CP76" s="356">
        <f t="shared" si="202"/>
        <v>0</v>
      </c>
      <c r="CQ76" s="356">
        <f t="shared" si="202"/>
        <v>0</v>
      </c>
      <c r="CR76" s="356">
        <f t="shared" si="202"/>
        <v>0</v>
      </c>
      <c r="CS76" s="356">
        <f t="shared" si="202"/>
        <v>0</v>
      </c>
      <c r="CT76" s="356">
        <f t="shared" si="202"/>
        <v>0</v>
      </c>
      <c r="CU76" s="356">
        <f t="shared" si="202"/>
        <v>0</v>
      </c>
      <c r="CV76" s="356">
        <f t="shared" si="202"/>
        <v>0</v>
      </c>
      <c r="CW76" s="356">
        <f t="shared" si="202"/>
        <v>0</v>
      </c>
      <c r="CX76" s="356">
        <f t="shared" ref="CX76:EC76" si="203">MAX(0,ROUND(MAX(0,-CX$65)-CX$74-CX$75,2))</f>
        <v>0</v>
      </c>
      <c r="CY76" s="356">
        <f t="shared" si="203"/>
        <v>0</v>
      </c>
      <c r="CZ76" s="356">
        <f t="shared" si="203"/>
        <v>0</v>
      </c>
      <c r="DA76" s="356">
        <f t="shared" si="203"/>
        <v>0</v>
      </c>
      <c r="DB76" s="356">
        <f t="shared" si="203"/>
        <v>0</v>
      </c>
      <c r="DC76" s="356">
        <f t="shared" si="203"/>
        <v>0</v>
      </c>
      <c r="DD76" s="356">
        <f t="shared" si="203"/>
        <v>0</v>
      </c>
      <c r="DE76" s="356">
        <f t="shared" si="203"/>
        <v>0</v>
      </c>
      <c r="DF76" s="356">
        <f t="shared" si="203"/>
        <v>0</v>
      </c>
      <c r="DG76" s="356">
        <f t="shared" si="203"/>
        <v>0</v>
      </c>
      <c r="DH76" s="356">
        <f t="shared" si="203"/>
        <v>0</v>
      </c>
      <c r="DI76" s="356">
        <f t="shared" si="203"/>
        <v>0</v>
      </c>
      <c r="DJ76" s="356">
        <f t="shared" si="203"/>
        <v>0</v>
      </c>
      <c r="DK76" s="356">
        <f t="shared" si="203"/>
        <v>0</v>
      </c>
      <c r="DL76" s="356">
        <f t="shared" si="203"/>
        <v>0</v>
      </c>
      <c r="DM76" s="356">
        <f t="shared" si="203"/>
        <v>0</v>
      </c>
      <c r="DN76" s="356">
        <f t="shared" si="203"/>
        <v>0</v>
      </c>
      <c r="DO76" s="356">
        <f t="shared" si="203"/>
        <v>0</v>
      </c>
      <c r="DP76" s="356">
        <f t="shared" si="203"/>
        <v>0</v>
      </c>
      <c r="DQ76" s="356">
        <f t="shared" si="203"/>
        <v>0</v>
      </c>
      <c r="DR76" s="356">
        <f t="shared" si="203"/>
        <v>0</v>
      </c>
      <c r="DS76" s="356">
        <f t="shared" si="203"/>
        <v>0</v>
      </c>
      <c r="DT76" s="356">
        <f t="shared" si="203"/>
        <v>0</v>
      </c>
      <c r="DU76" s="356">
        <f t="shared" si="203"/>
        <v>0</v>
      </c>
      <c r="DV76" s="356">
        <f t="shared" si="203"/>
        <v>0</v>
      </c>
      <c r="DW76" s="356">
        <f t="shared" si="203"/>
        <v>0</v>
      </c>
      <c r="DX76" s="356">
        <f t="shared" si="203"/>
        <v>0</v>
      </c>
      <c r="DY76" s="356">
        <f t="shared" si="203"/>
        <v>0</v>
      </c>
      <c r="DZ76" s="356">
        <f t="shared" si="203"/>
        <v>0</v>
      </c>
      <c r="EA76" s="356">
        <f t="shared" si="203"/>
        <v>0</v>
      </c>
      <c r="EB76" s="356">
        <f t="shared" si="203"/>
        <v>0</v>
      </c>
      <c r="EC76" s="356">
        <f t="shared" si="203"/>
        <v>0</v>
      </c>
      <c r="ED76" s="356">
        <f t="shared" ref="ED76:FI76" si="204">MAX(0,ROUND(MAX(0,-ED$65)-ED$74-ED$75,2))</f>
        <v>0</v>
      </c>
      <c r="EE76" s="356">
        <f t="shared" si="204"/>
        <v>0</v>
      </c>
      <c r="EF76" s="356">
        <f t="shared" si="204"/>
        <v>0</v>
      </c>
      <c r="EG76" s="356">
        <f t="shared" si="204"/>
        <v>0</v>
      </c>
      <c r="EH76" s="356">
        <f t="shared" si="204"/>
        <v>0</v>
      </c>
      <c r="EI76" s="356">
        <f t="shared" si="204"/>
        <v>0</v>
      </c>
      <c r="EJ76" s="356">
        <f t="shared" si="204"/>
        <v>0</v>
      </c>
      <c r="EK76" s="356">
        <f t="shared" si="204"/>
        <v>0</v>
      </c>
      <c r="EL76" s="356">
        <f t="shared" si="204"/>
        <v>0</v>
      </c>
      <c r="EM76" s="356">
        <f t="shared" si="204"/>
        <v>0</v>
      </c>
      <c r="EN76" s="356">
        <f t="shared" si="204"/>
        <v>0</v>
      </c>
      <c r="EO76" s="356">
        <f t="shared" si="204"/>
        <v>0</v>
      </c>
      <c r="EP76" s="356">
        <f t="shared" si="204"/>
        <v>0</v>
      </c>
      <c r="EQ76" s="356">
        <f t="shared" si="204"/>
        <v>0</v>
      </c>
      <c r="ER76" s="356">
        <f t="shared" si="204"/>
        <v>0</v>
      </c>
      <c r="ES76" s="356">
        <f t="shared" si="204"/>
        <v>0</v>
      </c>
      <c r="ET76" s="356">
        <f t="shared" si="204"/>
        <v>0</v>
      </c>
      <c r="EU76" s="356">
        <f t="shared" si="204"/>
        <v>0</v>
      </c>
      <c r="EV76" s="356">
        <f t="shared" si="204"/>
        <v>0</v>
      </c>
      <c r="EW76" s="356">
        <f t="shared" si="204"/>
        <v>0</v>
      </c>
      <c r="EX76" s="356">
        <f t="shared" si="204"/>
        <v>0</v>
      </c>
      <c r="EY76" s="356">
        <f t="shared" si="204"/>
        <v>0</v>
      </c>
      <c r="EZ76" s="356">
        <f t="shared" si="204"/>
        <v>0</v>
      </c>
      <c r="FA76" s="356">
        <f t="shared" si="204"/>
        <v>0</v>
      </c>
      <c r="FB76" s="356">
        <f t="shared" si="204"/>
        <v>0</v>
      </c>
      <c r="FC76" s="356">
        <f t="shared" si="204"/>
        <v>0</v>
      </c>
      <c r="FD76" s="356">
        <f t="shared" si="204"/>
        <v>0</v>
      </c>
      <c r="FE76" s="356">
        <f t="shared" si="204"/>
        <v>0</v>
      </c>
      <c r="FF76" s="356">
        <f t="shared" si="204"/>
        <v>0</v>
      </c>
      <c r="FG76" s="356">
        <f t="shared" si="204"/>
        <v>0</v>
      </c>
      <c r="FH76" s="356">
        <f t="shared" si="204"/>
        <v>0</v>
      </c>
      <c r="FI76" s="356">
        <f t="shared" si="204"/>
        <v>0</v>
      </c>
      <c r="FJ76" s="356">
        <f t="shared" ref="FJ76:GD76" si="205">MAX(0,ROUND(MAX(0,-FJ$65)-FJ$74-FJ$75,2))</f>
        <v>0</v>
      </c>
      <c r="FK76" s="356">
        <f t="shared" si="205"/>
        <v>0</v>
      </c>
      <c r="FL76" s="356">
        <f t="shared" si="205"/>
        <v>0</v>
      </c>
      <c r="FM76" s="356">
        <f t="shared" si="205"/>
        <v>0</v>
      </c>
      <c r="FN76" s="356">
        <f t="shared" si="205"/>
        <v>0</v>
      </c>
      <c r="FO76" s="356">
        <f t="shared" si="205"/>
        <v>0</v>
      </c>
      <c r="FP76" s="356">
        <f t="shared" si="205"/>
        <v>0</v>
      </c>
      <c r="FQ76" s="356">
        <f t="shared" si="205"/>
        <v>0</v>
      </c>
      <c r="FR76" s="356">
        <f t="shared" si="205"/>
        <v>0</v>
      </c>
      <c r="FS76" s="356">
        <f t="shared" si="205"/>
        <v>0</v>
      </c>
      <c r="FT76" s="356">
        <f t="shared" si="205"/>
        <v>0</v>
      </c>
      <c r="FU76" s="356">
        <f t="shared" si="205"/>
        <v>0</v>
      </c>
      <c r="FV76" s="356">
        <f t="shared" si="205"/>
        <v>0</v>
      </c>
      <c r="FW76" s="356">
        <f t="shared" si="205"/>
        <v>0</v>
      </c>
      <c r="FX76" s="356">
        <f t="shared" si="205"/>
        <v>0</v>
      </c>
      <c r="FY76" s="356">
        <f t="shared" si="205"/>
        <v>0</v>
      </c>
      <c r="FZ76" s="356">
        <f t="shared" si="205"/>
        <v>0</v>
      </c>
      <c r="GA76" s="356">
        <f t="shared" si="205"/>
        <v>0</v>
      </c>
      <c r="GB76" s="356">
        <f t="shared" si="205"/>
        <v>0</v>
      </c>
      <c r="GC76" s="356">
        <f t="shared" si="205"/>
        <v>0</v>
      </c>
      <c r="GD76" s="356">
        <f t="shared" si="205"/>
        <v>0</v>
      </c>
      <c r="GE76" s="356">
        <f t="shared" ref="GE76:GM76" si="206">MAX(0,ROUND(MAX(0,-GE$65)-GE$74-GE$75,2))</f>
        <v>0</v>
      </c>
      <c r="GF76" s="356">
        <f t="shared" si="206"/>
        <v>0</v>
      </c>
      <c r="GG76" s="356">
        <f t="shared" si="206"/>
        <v>0</v>
      </c>
      <c r="GH76" s="356">
        <f t="shared" si="206"/>
        <v>0</v>
      </c>
      <c r="GI76" s="356">
        <f t="shared" si="206"/>
        <v>0</v>
      </c>
      <c r="GJ76" s="356">
        <f t="shared" si="206"/>
        <v>0</v>
      </c>
      <c r="GK76" s="356">
        <f t="shared" si="206"/>
        <v>0</v>
      </c>
      <c r="GL76" s="356">
        <f t="shared" si="206"/>
        <v>0</v>
      </c>
      <c r="GM76" s="356">
        <f t="shared" si="206"/>
        <v>0</v>
      </c>
      <c r="GN76" s="356"/>
      <c r="GO76" s="356"/>
      <c r="GP76" s="356"/>
      <c r="GQ76" s="63"/>
      <c r="GR76" s="63"/>
      <c r="GS76" s="63"/>
      <c r="GT76" s="63"/>
      <c r="GU76" s="63"/>
      <c r="GV76" s="63"/>
      <c r="GW76" s="63"/>
      <c r="GX76" s="63"/>
      <c r="GY76" s="63"/>
      <c r="GZ76" s="63"/>
      <c r="HA76" s="63"/>
      <c r="HB76" s="63"/>
      <c r="HC76" s="63"/>
      <c r="HD76" s="63"/>
      <c r="HE76" s="63"/>
      <c r="HF76" s="63"/>
      <c r="HG76" s="63"/>
      <c r="HH76" s="63"/>
      <c r="HI76" s="63"/>
      <c r="HJ76" s="63"/>
      <c r="HK76" s="63"/>
      <c r="HL76" s="63"/>
      <c r="HM76" s="63"/>
      <c r="HN76" s="63"/>
      <c r="HO76" s="63"/>
      <c r="HP76" s="63"/>
      <c r="HQ76" s="63"/>
      <c r="HR76" s="63"/>
      <c r="HS76" s="63"/>
      <c r="HT76" s="63"/>
      <c r="HU76" s="63"/>
      <c r="HV76" s="63"/>
      <c r="HW76" s="63"/>
      <c r="HX76" s="63"/>
      <c r="HY76" s="63"/>
      <c r="HZ76" s="63"/>
      <c r="IA76" s="63"/>
      <c r="IB76" s="63"/>
      <c r="IC76" s="63"/>
      <c r="ID76" s="63"/>
      <c r="IE76" s="63"/>
      <c r="IF76" s="63"/>
      <c r="IG76" s="63"/>
      <c r="IH76" s="63"/>
      <c r="II76" s="63"/>
      <c r="IJ76" s="63"/>
      <c r="IK76" s="63"/>
      <c r="IL76" s="63"/>
      <c r="IM76" s="63"/>
      <c r="IN76" s="63"/>
      <c r="IO76" s="63"/>
      <c r="IP76" s="63"/>
      <c r="IQ76" s="63"/>
      <c r="IR76" s="63"/>
      <c r="IS76" s="63"/>
      <c r="IT76" s="63"/>
      <c r="IU76" s="63"/>
      <c r="IV76" s="63"/>
      <c r="IW76" s="63"/>
      <c r="IX76" s="63"/>
      <c r="IY76" s="63"/>
      <c r="IZ76" s="63"/>
      <c r="JA76" s="63"/>
      <c r="JB76" s="63"/>
      <c r="JC76" s="63"/>
      <c r="JD76" s="63"/>
      <c r="JE76" s="63"/>
      <c r="JF76" s="63"/>
      <c r="JG76" s="63"/>
      <c r="JH76" s="63"/>
      <c r="JI76" s="63"/>
      <c r="JJ76" s="63"/>
      <c r="JK76" s="63"/>
      <c r="JL76" s="63"/>
      <c r="JM76" s="63"/>
      <c r="JN76" s="63"/>
      <c r="JO76" s="63"/>
      <c r="JP76" s="63"/>
      <c r="JQ76" s="63"/>
      <c r="JR76" s="63"/>
      <c r="JS76" s="63"/>
      <c r="JT76" s="63"/>
      <c r="JU76" s="63"/>
      <c r="JV76" s="63"/>
      <c r="JW76" s="63"/>
      <c r="JX76" s="63"/>
      <c r="JY76" s="63"/>
      <c r="JZ76" s="63"/>
      <c r="KA76" s="63"/>
      <c r="KB76" s="63"/>
      <c r="KC76" s="63"/>
      <c r="KD76" s="63"/>
      <c r="KE76" s="63"/>
      <c r="KF76" s="63"/>
      <c r="KG76" s="63"/>
      <c r="KH76" s="63"/>
      <c r="KI76" s="63"/>
      <c r="KJ76" s="63"/>
      <c r="KK76" s="63"/>
      <c r="KL76" s="63"/>
      <c r="KM76" s="63"/>
      <c r="KN76" s="63"/>
      <c r="KO76" s="63"/>
      <c r="KP76" s="63"/>
      <c r="KQ76" s="63"/>
      <c r="KR76" s="63"/>
      <c r="KS76" s="63"/>
      <c r="KT76" s="63"/>
      <c r="KU76" s="63"/>
      <c r="KV76" s="63"/>
      <c r="KW76" s="63"/>
      <c r="KX76" s="63"/>
      <c r="KY76" s="63"/>
      <c r="KZ76" s="63"/>
      <c r="LA76" s="63"/>
      <c r="LB76" s="63"/>
      <c r="LC76" s="63"/>
      <c r="LD76" s="63"/>
      <c r="LE76" s="63"/>
      <c r="LF76" s="63"/>
      <c r="LG76" s="63"/>
      <c r="LH76" s="63"/>
      <c r="LI76" s="63"/>
      <c r="LJ76" s="63"/>
      <c r="LK76" s="63"/>
      <c r="LL76" s="63"/>
      <c r="LM76" s="63"/>
      <c r="LN76" s="63"/>
      <c r="LO76" s="63"/>
      <c r="LP76" s="63"/>
      <c r="LQ76" s="63"/>
      <c r="LR76" s="63"/>
      <c r="LS76" s="63"/>
      <c r="LT76" s="63"/>
      <c r="LU76" s="63"/>
      <c r="LV76" s="63"/>
      <c r="LW76" s="63"/>
      <c r="LX76" s="63"/>
      <c r="LY76" s="63"/>
      <c r="LZ76" s="63"/>
      <c r="MA76" s="63"/>
      <c r="MB76" s="63"/>
      <c r="MC76" s="63"/>
      <c r="MD76" s="63"/>
      <c r="ME76" s="63"/>
      <c r="MF76" s="63"/>
      <c r="MG76" s="63"/>
      <c r="MH76" s="63"/>
      <c r="MI76" s="63"/>
      <c r="MJ76" s="63"/>
      <c r="MK76" s="63"/>
      <c r="ML76" s="63"/>
      <c r="MM76" s="63"/>
      <c r="MN76" s="63"/>
      <c r="MO76" s="63"/>
      <c r="MP76" s="63"/>
      <c r="MQ76" s="63"/>
      <c r="MR76" s="63"/>
      <c r="MS76" s="63"/>
      <c r="MT76" s="63"/>
      <c r="MU76" s="63"/>
      <c r="MV76" s="63"/>
      <c r="MW76" s="63"/>
      <c r="MX76" s="63"/>
      <c r="MY76" s="63"/>
      <c r="MZ76" s="63"/>
      <c r="NA76" s="63"/>
      <c r="NB76" s="63"/>
    </row>
    <row r="77" spans="1:366" ht="16" customHeight="1" x14ac:dyDescent="0.15">
      <c r="B77" t="s">
        <v>291</v>
      </c>
      <c r="C77" s="376" t="s">
        <v>150</v>
      </c>
      <c r="E77"/>
      <c r="F77" s="1">
        <f>SUM(F74:F76)</f>
        <v>6264543.5010060361</v>
      </c>
      <c r="G77" s="1">
        <f t="shared" ref="G77:BR77" si="207">SUM(G74:G76)</f>
        <v>49178.706393152665</v>
      </c>
      <c r="H77" s="1">
        <f t="shared" si="207"/>
        <v>49418.086233259499</v>
      </c>
      <c r="I77" s="1">
        <f t="shared" si="207"/>
        <v>49658.631266842371</v>
      </c>
      <c r="J77" s="1">
        <f t="shared" si="207"/>
        <v>49900.347165539453</v>
      </c>
      <c r="K77" s="1">
        <f t="shared" si="207"/>
        <v>50143.239628595882</v>
      </c>
      <c r="L77" s="1">
        <f t="shared" si="207"/>
        <v>50387.314382998185</v>
      </c>
      <c r="M77" s="1">
        <f t="shared" si="207"/>
        <v>50632.577183609275</v>
      </c>
      <c r="N77" s="1">
        <f t="shared" si="207"/>
        <v>50879.033813304122</v>
      </c>
      <c r="O77" s="1">
        <f t="shared" si="207"/>
        <v>0</v>
      </c>
      <c r="P77" s="1">
        <f t="shared" si="207"/>
        <v>0</v>
      </c>
      <c r="Q77" s="1">
        <f t="shared" si="207"/>
        <v>0</v>
      </c>
      <c r="R77" s="1">
        <f t="shared" si="207"/>
        <v>0</v>
      </c>
      <c r="S77" s="1">
        <f t="shared" si="207"/>
        <v>0</v>
      </c>
      <c r="T77" s="1">
        <f t="shared" si="207"/>
        <v>0</v>
      </c>
      <c r="U77" s="1">
        <f t="shared" si="207"/>
        <v>0</v>
      </c>
      <c r="V77" s="1">
        <f t="shared" si="207"/>
        <v>0</v>
      </c>
      <c r="W77" s="1">
        <f t="shared" si="207"/>
        <v>0</v>
      </c>
      <c r="X77" s="1">
        <f t="shared" si="207"/>
        <v>0</v>
      </c>
      <c r="Y77" s="1">
        <f t="shared" si="207"/>
        <v>0</v>
      </c>
      <c r="Z77" s="1">
        <f t="shared" si="207"/>
        <v>0</v>
      </c>
      <c r="AA77" s="1">
        <f t="shared" si="207"/>
        <v>0</v>
      </c>
      <c r="AB77" s="1">
        <f t="shared" si="207"/>
        <v>0</v>
      </c>
      <c r="AC77" s="1">
        <f t="shared" si="207"/>
        <v>0</v>
      </c>
      <c r="AD77" s="1">
        <f t="shared" si="207"/>
        <v>0</v>
      </c>
      <c r="AE77" s="1">
        <f t="shared" si="207"/>
        <v>0</v>
      </c>
      <c r="AF77" s="1">
        <f t="shared" si="207"/>
        <v>0</v>
      </c>
      <c r="AG77" s="1">
        <f t="shared" si="207"/>
        <v>0</v>
      </c>
      <c r="AH77" s="1">
        <f t="shared" si="207"/>
        <v>0</v>
      </c>
      <c r="AI77" s="1">
        <f t="shared" si="207"/>
        <v>0</v>
      </c>
      <c r="AJ77" s="1">
        <f t="shared" si="207"/>
        <v>0</v>
      </c>
      <c r="AK77" s="1">
        <f t="shared" si="207"/>
        <v>0</v>
      </c>
      <c r="AL77" s="1">
        <f t="shared" si="207"/>
        <v>0</v>
      </c>
      <c r="AM77" s="1">
        <f t="shared" si="207"/>
        <v>0</v>
      </c>
      <c r="AN77" s="1">
        <f t="shared" si="207"/>
        <v>0</v>
      </c>
      <c r="AO77" s="1">
        <f t="shared" si="207"/>
        <v>0</v>
      </c>
      <c r="AP77" s="1">
        <f t="shared" si="207"/>
        <v>0</v>
      </c>
      <c r="AQ77" s="1">
        <f t="shared" si="207"/>
        <v>0</v>
      </c>
      <c r="AR77" s="1">
        <f t="shared" si="207"/>
        <v>0</v>
      </c>
      <c r="AS77" s="1">
        <f t="shared" si="207"/>
        <v>0</v>
      </c>
      <c r="AT77" s="1">
        <f t="shared" si="207"/>
        <v>0</v>
      </c>
      <c r="AU77" s="1">
        <f t="shared" si="207"/>
        <v>0</v>
      </c>
      <c r="AV77" s="1">
        <f t="shared" si="207"/>
        <v>0</v>
      </c>
      <c r="AW77" s="1">
        <f t="shared" si="207"/>
        <v>0</v>
      </c>
      <c r="AX77" s="1">
        <f t="shared" si="207"/>
        <v>0</v>
      </c>
      <c r="AY77" s="1">
        <f t="shared" si="207"/>
        <v>0</v>
      </c>
      <c r="AZ77" s="1">
        <f t="shared" si="207"/>
        <v>0</v>
      </c>
      <c r="BA77" s="1">
        <f t="shared" si="207"/>
        <v>0</v>
      </c>
      <c r="BB77" s="1">
        <f t="shared" si="207"/>
        <v>0</v>
      </c>
      <c r="BC77" s="1">
        <f t="shared" si="207"/>
        <v>0</v>
      </c>
      <c r="BD77" s="1">
        <f t="shared" si="207"/>
        <v>0</v>
      </c>
      <c r="BE77" s="1">
        <f t="shared" si="207"/>
        <v>0</v>
      </c>
      <c r="BF77" s="1">
        <f t="shared" si="207"/>
        <v>0</v>
      </c>
      <c r="BG77" s="1">
        <f t="shared" si="207"/>
        <v>0</v>
      </c>
      <c r="BH77" s="1">
        <f t="shared" si="207"/>
        <v>0</v>
      </c>
      <c r="BI77" s="1">
        <f t="shared" si="207"/>
        <v>0</v>
      </c>
      <c r="BJ77" s="1">
        <f t="shared" si="207"/>
        <v>0</v>
      </c>
      <c r="BK77" s="1">
        <f t="shared" si="207"/>
        <v>0</v>
      </c>
      <c r="BL77" s="1">
        <f t="shared" si="207"/>
        <v>0</v>
      </c>
      <c r="BM77" s="1">
        <f t="shared" si="207"/>
        <v>0</v>
      </c>
      <c r="BN77" s="1">
        <f t="shared" si="207"/>
        <v>0</v>
      </c>
      <c r="BO77" s="1">
        <f t="shared" si="207"/>
        <v>0</v>
      </c>
      <c r="BP77" s="1">
        <f t="shared" si="207"/>
        <v>0</v>
      </c>
      <c r="BQ77" s="1">
        <f t="shared" si="207"/>
        <v>0</v>
      </c>
      <c r="BR77" s="1">
        <f t="shared" si="207"/>
        <v>0</v>
      </c>
      <c r="BS77" s="1">
        <f t="shared" ref="BS77:ED77" si="208">SUM(BS74:BS76)</f>
        <v>0</v>
      </c>
      <c r="BT77" s="1">
        <f t="shared" si="208"/>
        <v>0</v>
      </c>
      <c r="BU77" s="1">
        <f t="shared" si="208"/>
        <v>0</v>
      </c>
      <c r="BV77" s="1">
        <f t="shared" si="208"/>
        <v>0</v>
      </c>
      <c r="BW77" s="1">
        <f t="shared" si="208"/>
        <v>0</v>
      </c>
      <c r="BX77" s="1">
        <f t="shared" si="208"/>
        <v>0</v>
      </c>
      <c r="BY77" s="1">
        <f t="shared" si="208"/>
        <v>0</v>
      </c>
      <c r="BZ77" s="1">
        <f t="shared" si="208"/>
        <v>0</v>
      </c>
      <c r="CA77" s="1">
        <f t="shared" si="208"/>
        <v>0</v>
      </c>
      <c r="CB77" s="1">
        <f t="shared" si="208"/>
        <v>0</v>
      </c>
      <c r="CC77" s="1">
        <f t="shared" si="208"/>
        <v>0</v>
      </c>
      <c r="CD77" s="1">
        <f t="shared" si="208"/>
        <v>0</v>
      </c>
      <c r="CE77" s="1">
        <f t="shared" si="208"/>
        <v>0</v>
      </c>
      <c r="CF77" s="1">
        <f t="shared" si="208"/>
        <v>0</v>
      </c>
      <c r="CG77" s="1">
        <f t="shared" si="208"/>
        <v>0</v>
      </c>
      <c r="CH77" s="1">
        <f t="shared" si="208"/>
        <v>0</v>
      </c>
      <c r="CI77" s="1">
        <f t="shared" si="208"/>
        <v>0</v>
      </c>
      <c r="CJ77" s="1">
        <f t="shared" si="208"/>
        <v>0</v>
      </c>
      <c r="CK77" s="1">
        <f t="shared" si="208"/>
        <v>0</v>
      </c>
      <c r="CL77" s="1">
        <f t="shared" si="208"/>
        <v>0</v>
      </c>
      <c r="CM77" s="1">
        <f t="shared" si="208"/>
        <v>0</v>
      </c>
      <c r="CN77" s="1">
        <f t="shared" si="208"/>
        <v>0</v>
      </c>
      <c r="CO77" s="1">
        <f t="shared" si="208"/>
        <v>0</v>
      </c>
      <c r="CP77" s="1">
        <f t="shared" si="208"/>
        <v>0</v>
      </c>
      <c r="CQ77" s="1">
        <f t="shared" si="208"/>
        <v>0</v>
      </c>
      <c r="CR77" s="1">
        <f t="shared" si="208"/>
        <v>0</v>
      </c>
      <c r="CS77" s="1">
        <f t="shared" si="208"/>
        <v>0</v>
      </c>
      <c r="CT77" s="1">
        <f t="shared" si="208"/>
        <v>0</v>
      </c>
      <c r="CU77" s="1">
        <f t="shared" si="208"/>
        <v>0</v>
      </c>
      <c r="CV77" s="1">
        <f t="shared" si="208"/>
        <v>0</v>
      </c>
      <c r="CW77" s="1">
        <f t="shared" si="208"/>
        <v>0</v>
      </c>
      <c r="CX77" s="1">
        <f t="shared" si="208"/>
        <v>0</v>
      </c>
      <c r="CY77" s="1">
        <f t="shared" si="208"/>
        <v>0</v>
      </c>
      <c r="CZ77" s="1">
        <f t="shared" si="208"/>
        <v>0</v>
      </c>
      <c r="DA77" s="1">
        <f t="shared" si="208"/>
        <v>0</v>
      </c>
      <c r="DB77" s="1">
        <f t="shared" si="208"/>
        <v>0</v>
      </c>
      <c r="DC77" s="1">
        <f t="shared" si="208"/>
        <v>0</v>
      </c>
      <c r="DD77" s="1">
        <f t="shared" si="208"/>
        <v>0</v>
      </c>
      <c r="DE77" s="1">
        <f t="shared" si="208"/>
        <v>0</v>
      </c>
      <c r="DF77" s="1">
        <f t="shared" si="208"/>
        <v>0</v>
      </c>
      <c r="DG77" s="1">
        <f t="shared" si="208"/>
        <v>0</v>
      </c>
      <c r="DH77" s="1">
        <f t="shared" si="208"/>
        <v>0</v>
      </c>
      <c r="DI77" s="1">
        <f t="shared" si="208"/>
        <v>0</v>
      </c>
      <c r="DJ77" s="1">
        <f t="shared" si="208"/>
        <v>0</v>
      </c>
      <c r="DK77" s="1">
        <f t="shared" si="208"/>
        <v>0</v>
      </c>
      <c r="DL77" s="1">
        <f t="shared" si="208"/>
        <v>0</v>
      </c>
      <c r="DM77" s="1">
        <f t="shared" si="208"/>
        <v>0</v>
      </c>
      <c r="DN77" s="1">
        <f t="shared" si="208"/>
        <v>0</v>
      </c>
      <c r="DO77" s="1">
        <f t="shared" si="208"/>
        <v>0</v>
      </c>
      <c r="DP77" s="1">
        <f t="shared" si="208"/>
        <v>0</v>
      </c>
      <c r="DQ77" s="1">
        <f t="shared" si="208"/>
        <v>0</v>
      </c>
      <c r="DR77" s="1">
        <f t="shared" si="208"/>
        <v>0</v>
      </c>
      <c r="DS77" s="1">
        <f t="shared" si="208"/>
        <v>0</v>
      </c>
      <c r="DT77" s="1">
        <f t="shared" si="208"/>
        <v>0</v>
      </c>
      <c r="DU77" s="1">
        <f t="shared" si="208"/>
        <v>0</v>
      </c>
      <c r="DV77" s="1">
        <f t="shared" si="208"/>
        <v>0</v>
      </c>
      <c r="DW77" s="1">
        <f t="shared" si="208"/>
        <v>0</v>
      </c>
      <c r="DX77" s="1">
        <f t="shared" si="208"/>
        <v>0</v>
      </c>
      <c r="DY77" s="1">
        <f t="shared" si="208"/>
        <v>0</v>
      </c>
      <c r="DZ77" s="1">
        <f t="shared" si="208"/>
        <v>0</v>
      </c>
      <c r="EA77" s="1">
        <f t="shared" si="208"/>
        <v>0</v>
      </c>
      <c r="EB77" s="1">
        <f t="shared" si="208"/>
        <v>0</v>
      </c>
      <c r="EC77" s="1">
        <f t="shared" si="208"/>
        <v>0</v>
      </c>
      <c r="ED77" s="1">
        <f t="shared" si="208"/>
        <v>0</v>
      </c>
      <c r="EE77" s="1">
        <f t="shared" ref="EE77:GD77" si="209">SUM(EE74:EE76)</f>
        <v>0</v>
      </c>
      <c r="EF77" s="1">
        <f t="shared" si="209"/>
        <v>0</v>
      </c>
      <c r="EG77" s="1">
        <f t="shared" si="209"/>
        <v>0</v>
      </c>
      <c r="EH77" s="1">
        <f t="shared" si="209"/>
        <v>0</v>
      </c>
      <c r="EI77" s="1">
        <f t="shared" si="209"/>
        <v>0</v>
      </c>
      <c r="EJ77" s="1">
        <f t="shared" si="209"/>
        <v>0</v>
      </c>
      <c r="EK77" s="1">
        <f t="shared" si="209"/>
        <v>0</v>
      </c>
      <c r="EL77" s="1">
        <f t="shared" si="209"/>
        <v>0</v>
      </c>
      <c r="EM77" s="1">
        <f t="shared" si="209"/>
        <v>0</v>
      </c>
      <c r="EN77" s="1">
        <f t="shared" si="209"/>
        <v>0</v>
      </c>
      <c r="EO77" s="1">
        <f t="shared" si="209"/>
        <v>0</v>
      </c>
      <c r="EP77" s="1">
        <f t="shared" si="209"/>
        <v>0</v>
      </c>
      <c r="EQ77" s="1">
        <f t="shared" si="209"/>
        <v>0</v>
      </c>
      <c r="ER77" s="1">
        <f t="shared" si="209"/>
        <v>0</v>
      </c>
      <c r="ES77" s="1">
        <f t="shared" si="209"/>
        <v>0</v>
      </c>
      <c r="ET77" s="1">
        <f t="shared" si="209"/>
        <v>0</v>
      </c>
      <c r="EU77" s="1">
        <f t="shared" si="209"/>
        <v>0</v>
      </c>
      <c r="EV77" s="1">
        <f t="shared" si="209"/>
        <v>0</v>
      </c>
      <c r="EW77" s="1">
        <f t="shared" si="209"/>
        <v>0</v>
      </c>
      <c r="EX77" s="1">
        <f t="shared" si="209"/>
        <v>0</v>
      </c>
      <c r="EY77" s="1">
        <f t="shared" si="209"/>
        <v>0</v>
      </c>
      <c r="EZ77" s="1">
        <f t="shared" si="209"/>
        <v>0</v>
      </c>
      <c r="FA77" s="1">
        <f t="shared" si="209"/>
        <v>0</v>
      </c>
      <c r="FB77" s="1">
        <f t="shared" si="209"/>
        <v>0</v>
      </c>
      <c r="FC77" s="1">
        <f t="shared" si="209"/>
        <v>0</v>
      </c>
      <c r="FD77" s="1">
        <f t="shared" si="209"/>
        <v>0</v>
      </c>
      <c r="FE77" s="1">
        <f t="shared" si="209"/>
        <v>0</v>
      </c>
      <c r="FF77" s="1">
        <f t="shared" si="209"/>
        <v>0</v>
      </c>
      <c r="FG77" s="1">
        <f t="shared" si="209"/>
        <v>0</v>
      </c>
      <c r="FH77" s="1">
        <f t="shared" si="209"/>
        <v>0</v>
      </c>
      <c r="FI77" s="1">
        <f t="shared" si="209"/>
        <v>0</v>
      </c>
      <c r="FJ77" s="1">
        <f t="shared" si="209"/>
        <v>0</v>
      </c>
      <c r="FK77" s="1">
        <f t="shared" si="209"/>
        <v>0</v>
      </c>
      <c r="FL77" s="1">
        <f t="shared" si="209"/>
        <v>0</v>
      </c>
      <c r="FM77" s="1">
        <f t="shared" si="209"/>
        <v>0</v>
      </c>
      <c r="FN77" s="1">
        <f t="shared" si="209"/>
        <v>0</v>
      </c>
      <c r="FO77" s="1">
        <f t="shared" si="209"/>
        <v>0</v>
      </c>
      <c r="FP77" s="1">
        <f t="shared" si="209"/>
        <v>0</v>
      </c>
      <c r="FQ77" s="1">
        <f t="shared" si="209"/>
        <v>0</v>
      </c>
      <c r="FR77" s="1">
        <f t="shared" si="209"/>
        <v>0</v>
      </c>
      <c r="FS77" s="1">
        <f t="shared" si="209"/>
        <v>0</v>
      </c>
      <c r="FT77" s="1">
        <f t="shared" si="209"/>
        <v>0</v>
      </c>
      <c r="FU77" s="1">
        <f t="shared" si="209"/>
        <v>0</v>
      </c>
      <c r="FV77" s="1">
        <f t="shared" si="209"/>
        <v>0</v>
      </c>
      <c r="FW77" s="1">
        <f t="shared" si="209"/>
        <v>0</v>
      </c>
      <c r="FX77" s="1">
        <f t="shared" si="209"/>
        <v>0</v>
      </c>
      <c r="FY77" s="1">
        <f t="shared" si="209"/>
        <v>0</v>
      </c>
      <c r="FZ77" s="1">
        <f t="shared" si="209"/>
        <v>0</v>
      </c>
      <c r="GA77" s="1">
        <f t="shared" si="209"/>
        <v>0</v>
      </c>
      <c r="GB77" s="1">
        <f t="shared" si="209"/>
        <v>0</v>
      </c>
      <c r="GC77" s="1">
        <f t="shared" si="209"/>
        <v>0</v>
      </c>
      <c r="GD77" s="1">
        <f t="shared" si="209"/>
        <v>0</v>
      </c>
      <c r="GE77" s="1">
        <f t="shared" ref="GE77" si="210">SUM(GE74:GE76)</f>
        <v>0</v>
      </c>
      <c r="GF77" s="1">
        <f t="shared" ref="GF77" si="211">SUM(GF74:GF76)</f>
        <v>0</v>
      </c>
      <c r="GG77" s="1">
        <f t="shared" ref="GG77" si="212">SUM(GG74:GG76)</f>
        <v>0</v>
      </c>
      <c r="GH77" s="1">
        <f t="shared" ref="GH77" si="213">SUM(GH74:GH76)</f>
        <v>0</v>
      </c>
      <c r="GI77" s="1">
        <f t="shared" ref="GI77" si="214">SUM(GI74:GI76)</f>
        <v>0</v>
      </c>
      <c r="GJ77" s="1">
        <f t="shared" ref="GJ77" si="215">SUM(GJ74:GJ76)</f>
        <v>0</v>
      </c>
      <c r="GK77" s="1">
        <f t="shared" ref="GK77" si="216">SUM(GK74:GK76)</f>
        <v>0</v>
      </c>
      <c r="GL77" s="1">
        <f t="shared" ref="GL77" si="217">SUM(GL74:GL76)</f>
        <v>0</v>
      </c>
      <c r="GM77" s="1">
        <f t="shared" ref="GM77" si="218">SUM(GM74:GM76)</f>
        <v>0</v>
      </c>
      <c r="GN77" s="613"/>
      <c r="GO77" s="613"/>
      <c r="GP77" s="613"/>
      <c r="GQ77" s="63"/>
      <c r="GR77" s="63"/>
      <c r="GS77" s="63"/>
      <c r="GT77" s="63"/>
      <c r="GU77" s="63"/>
      <c r="GV77" s="63"/>
      <c r="GW77" s="63"/>
      <c r="GX77" s="63"/>
      <c r="GY77" s="63"/>
      <c r="GZ77" s="63"/>
      <c r="HA77" s="63"/>
      <c r="HB77" s="63"/>
      <c r="HC77" s="63"/>
      <c r="HD77" s="63"/>
      <c r="HE77" s="63"/>
      <c r="HF77" s="63"/>
      <c r="HG77" s="63"/>
      <c r="HH77" s="63"/>
      <c r="HI77" s="63"/>
      <c r="HJ77" s="63"/>
      <c r="HK77" s="63"/>
      <c r="HL77" s="63"/>
      <c r="HM77" s="63"/>
      <c r="HN77" s="63"/>
      <c r="HO77" s="63"/>
      <c r="HP77" s="63"/>
      <c r="HQ77" s="63"/>
      <c r="HR77" s="63"/>
      <c r="HS77" s="63"/>
      <c r="HT77" s="63"/>
      <c r="HU77" s="63"/>
      <c r="HV77" s="63"/>
      <c r="HW77" s="63"/>
      <c r="HX77" s="63"/>
      <c r="HY77" s="63"/>
      <c r="HZ77" s="63"/>
      <c r="IA77" s="63"/>
      <c r="IB77" s="63"/>
      <c r="IC77" s="63"/>
      <c r="ID77" s="63"/>
      <c r="IE77" s="63"/>
      <c r="IF77" s="63"/>
      <c r="IG77" s="63"/>
      <c r="IH77" s="63"/>
      <c r="II77" s="63"/>
      <c r="IJ77" s="63"/>
      <c r="IK77" s="63"/>
      <c r="IL77" s="63"/>
      <c r="IM77" s="63"/>
      <c r="IN77" s="63"/>
      <c r="IO77" s="63"/>
      <c r="IP77" s="63"/>
      <c r="IQ77" s="63"/>
      <c r="IR77" s="63"/>
      <c r="IS77" s="63"/>
      <c r="IT77" s="63"/>
      <c r="IU77" s="63"/>
      <c r="IV77" s="63"/>
      <c r="IW77" s="63"/>
      <c r="IX77" s="63"/>
      <c r="IY77" s="63"/>
      <c r="IZ77" s="63"/>
      <c r="JA77" s="63"/>
      <c r="JB77" s="63"/>
      <c r="JC77" s="63"/>
      <c r="JD77" s="63"/>
      <c r="JE77" s="63"/>
      <c r="JF77" s="63"/>
      <c r="JG77" s="63"/>
      <c r="JH77" s="63"/>
      <c r="JI77" s="63"/>
      <c r="JJ77" s="63"/>
      <c r="JK77" s="63"/>
      <c r="JL77" s="63"/>
      <c r="JM77" s="63"/>
      <c r="JN77" s="63"/>
      <c r="JO77" s="63"/>
      <c r="JP77" s="63"/>
      <c r="JQ77" s="63"/>
      <c r="JR77" s="63"/>
      <c r="JS77" s="63"/>
      <c r="JT77" s="63"/>
      <c r="JU77" s="63"/>
      <c r="JV77" s="63"/>
      <c r="JW77" s="63"/>
      <c r="JX77" s="63"/>
      <c r="JY77" s="63"/>
      <c r="JZ77" s="63"/>
      <c r="KA77" s="63"/>
      <c r="KB77" s="63"/>
      <c r="KC77" s="63"/>
      <c r="KD77" s="63"/>
      <c r="KE77" s="63"/>
      <c r="KF77" s="63"/>
      <c r="KG77" s="63"/>
      <c r="KH77" s="63"/>
      <c r="KI77" s="63"/>
      <c r="KJ77" s="63"/>
      <c r="KK77" s="63"/>
      <c r="KL77" s="63"/>
      <c r="KM77" s="63"/>
      <c r="KN77" s="63"/>
      <c r="KO77" s="63"/>
      <c r="KP77" s="63"/>
      <c r="KQ77" s="63"/>
      <c r="KR77" s="63"/>
      <c r="KS77" s="63"/>
      <c r="KT77" s="63"/>
      <c r="KU77" s="63"/>
      <c r="KV77" s="63"/>
      <c r="KW77" s="63"/>
      <c r="KX77" s="63"/>
      <c r="KY77" s="63"/>
      <c r="KZ77" s="63"/>
      <c r="LA77" s="63"/>
      <c r="LB77" s="63"/>
      <c r="LC77" s="63"/>
      <c r="LD77" s="63"/>
      <c r="LE77" s="63"/>
      <c r="LF77" s="63"/>
      <c r="LG77" s="63"/>
      <c r="LH77" s="63"/>
      <c r="LI77" s="63"/>
      <c r="LJ77" s="63"/>
      <c r="LK77" s="63"/>
      <c r="LL77" s="63"/>
      <c r="LM77" s="63"/>
      <c r="LN77" s="63"/>
      <c r="LO77" s="63"/>
      <c r="LP77" s="63"/>
      <c r="LQ77" s="63"/>
      <c r="LR77" s="63"/>
      <c r="LS77" s="63"/>
      <c r="LT77" s="63"/>
      <c r="LU77" s="63"/>
      <c r="LV77" s="63"/>
      <c r="LW77" s="63"/>
      <c r="LX77" s="63"/>
      <c r="LY77" s="63"/>
      <c r="LZ77" s="63"/>
      <c r="MA77" s="63"/>
      <c r="MB77" s="63"/>
      <c r="MC77" s="63"/>
      <c r="MD77" s="63"/>
      <c r="ME77" s="63"/>
      <c r="MF77" s="63"/>
      <c r="MG77" s="63"/>
      <c r="MH77" s="63"/>
      <c r="MI77" s="63"/>
      <c r="MJ77" s="63"/>
      <c r="MK77" s="63"/>
      <c r="ML77" s="63"/>
      <c r="MM77" s="63"/>
      <c r="MN77" s="63"/>
      <c r="MO77" s="63"/>
      <c r="MP77" s="63"/>
      <c r="MQ77" s="63"/>
      <c r="MR77" s="63"/>
      <c r="MS77" s="63"/>
      <c r="MT77" s="63"/>
      <c r="MU77" s="63"/>
      <c r="MV77" s="63"/>
      <c r="MW77" s="63"/>
      <c r="MX77" s="63"/>
      <c r="MY77" s="63"/>
      <c r="MZ77" s="63"/>
      <c r="NA77" s="63"/>
      <c r="NB77" s="63"/>
    </row>
    <row r="78" spans="1:366" ht="16" customHeight="1" x14ac:dyDescent="0.15">
      <c r="E78"/>
      <c r="F78" s="1"/>
      <c r="GQ78" s="63"/>
      <c r="GR78" s="63"/>
      <c r="GS78" s="63"/>
      <c r="GT78" s="63"/>
      <c r="GU78" s="63"/>
      <c r="GV78" s="63"/>
      <c r="GW78" s="63"/>
      <c r="GX78" s="63"/>
      <c r="GY78" s="63"/>
      <c r="GZ78" s="63"/>
      <c r="HA78" s="63"/>
      <c r="HB78" s="63"/>
      <c r="HC78" s="63"/>
      <c r="HD78" s="63"/>
      <c r="HE78" s="63"/>
      <c r="HF78" s="63"/>
      <c r="HG78" s="63"/>
      <c r="HH78" s="63"/>
      <c r="HI78" s="63"/>
      <c r="HJ78" s="63"/>
      <c r="HK78" s="63"/>
      <c r="HL78" s="63"/>
      <c r="HM78" s="63"/>
      <c r="HN78" s="63"/>
      <c r="HO78" s="63"/>
      <c r="HP78" s="63"/>
      <c r="HQ78" s="63"/>
      <c r="HR78" s="63"/>
      <c r="HS78" s="63"/>
      <c r="HT78" s="63"/>
      <c r="HU78" s="63"/>
      <c r="HV78" s="63"/>
      <c r="HW78" s="63"/>
      <c r="HX78" s="63"/>
      <c r="HY78" s="63"/>
      <c r="HZ78" s="63"/>
      <c r="IA78" s="63"/>
      <c r="IB78" s="63"/>
      <c r="IC78" s="63"/>
      <c r="ID78" s="63"/>
      <c r="IE78" s="63"/>
      <c r="IF78" s="63"/>
      <c r="IG78" s="63"/>
      <c r="IH78" s="63"/>
      <c r="II78" s="63"/>
      <c r="IJ78" s="63"/>
      <c r="IK78" s="63"/>
      <c r="IL78" s="63"/>
      <c r="IM78" s="63"/>
      <c r="IN78" s="63"/>
      <c r="IO78" s="63"/>
      <c r="IP78" s="63"/>
      <c r="IQ78" s="63"/>
      <c r="IR78" s="63"/>
      <c r="IS78" s="63"/>
      <c r="IT78" s="63"/>
      <c r="IU78" s="63"/>
      <c r="IV78" s="63"/>
      <c r="IW78" s="63"/>
      <c r="IX78" s="63"/>
      <c r="IY78" s="63"/>
      <c r="IZ78" s="63"/>
      <c r="JA78" s="63"/>
      <c r="JB78" s="63"/>
      <c r="JC78" s="63"/>
      <c r="JD78" s="63"/>
      <c r="JE78" s="63"/>
      <c r="JF78" s="63"/>
      <c r="JG78" s="63"/>
      <c r="JH78" s="63"/>
      <c r="JI78" s="63"/>
      <c r="JJ78" s="63"/>
      <c r="JK78" s="63"/>
      <c r="JL78" s="63"/>
      <c r="JM78" s="63"/>
      <c r="JN78" s="63"/>
      <c r="JO78" s="63"/>
      <c r="JP78" s="63"/>
      <c r="JQ78" s="63"/>
      <c r="JR78" s="63"/>
      <c r="JS78" s="63"/>
      <c r="JT78" s="63"/>
      <c r="JU78" s="63"/>
      <c r="JV78" s="63"/>
      <c r="JW78" s="63"/>
      <c r="JX78" s="63"/>
      <c r="JY78" s="63"/>
      <c r="JZ78" s="63"/>
      <c r="KA78" s="63"/>
      <c r="KB78" s="63"/>
      <c r="KC78" s="63"/>
      <c r="KD78" s="63"/>
      <c r="KE78" s="63"/>
      <c r="KF78" s="63"/>
      <c r="KG78" s="63"/>
      <c r="KH78" s="63"/>
      <c r="KI78" s="63"/>
      <c r="KJ78" s="63"/>
      <c r="KK78" s="63"/>
      <c r="KL78" s="63"/>
      <c r="KM78" s="63"/>
      <c r="KN78" s="63"/>
      <c r="KO78" s="63"/>
      <c r="KP78" s="63"/>
      <c r="KQ78" s="63"/>
      <c r="KR78" s="63"/>
      <c r="KS78" s="63"/>
      <c r="KT78" s="63"/>
      <c r="KU78" s="63"/>
      <c r="KV78" s="63"/>
      <c r="KW78" s="63"/>
      <c r="KX78" s="63"/>
      <c r="KY78" s="63"/>
      <c r="KZ78" s="63"/>
      <c r="LA78" s="63"/>
      <c r="LB78" s="63"/>
      <c r="LC78" s="63"/>
      <c r="LD78" s="63"/>
      <c r="LE78" s="63"/>
      <c r="LF78" s="63"/>
      <c r="LG78" s="63"/>
      <c r="LH78" s="63"/>
      <c r="LI78" s="63"/>
      <c r="LJ78" s="63"/>
      <c r="LK78" s="63"/>
      <c r="LL78" s="63"/>
      <c r="LM78" s="63"/>
      <c r="LN78" s="63"/>
      <c r="LO78" s="63"/>
      <c r="LP78" s="63"/>
      <c r="LQ78" s="63"/>
      <c r="LR78" s="63"/>
      <c r="LS78" s="63"/>
      <c r="LT78" s="63"/>
      <c r="LU78" s="63"/>
      <c r="LV78" s="63"/>
      <c r="LW78" s="63"/>
      <c r="LX78" s="63"/>
      <c r="LY78" s="63"/>
      <c r="LZ78" s="63"/>
      <c r="MA78" s="63"/>
      <c r="MB78" s="63"/>
      <c r="MC78" s="63"/>
      <c r="MD78" s="63"/>
      <c r="ME78" s="63"/>
      <c r="MF78" s="63"/>
      <c r="MG78" s="63"/>
      <c r="MH78" s="63"/>
      <c r="MI78" s="63"/>
      <c r="MJ78" s="63"/>
      <c r="MK78" s="63"/>
      <c r="ML78" s="63"/>
      <c r="MM78" s="63"/>
      <c r="MN78" s="63"/>
      <c r="MO78" s="63"/>
      <c r="MP78" s="63"/>
      <c r="MQ78" s="63"/>
      <c r="MR78" s="63"/>
      <c r="MS78" s="63"/>
      <c r="MT78" s="63"/>
      <c r="MU78" s="63"/>
      <c r="MV78" s="63"/>
      <c r="MW78" s="63"/>
      <c r="MX78" s="63"/>
      <c r="MY78" s="63"/>
      <c r="MZ78" s="63"/>
      <c r="NA78" s="63"/>
      <c r="NB78" s="63"/>
    </row>
    <row r="79" spans="1:366" ht="16" customHeight="1" x14ac:dyDescent="0.15">
      <c r="B79" s="3" t="s">
        <v>271</v>
      </c>
      <c r="E79"/>
      <c r="F79" s="1"/>
      <c r="GQ79" s="63"/>
      <c r="GR79" s="63"/>
      <c r="GS79" s="63"/>
      <c r="GT79" s="63"/>
      <c r="GU79" s="63"/>
      <c r="GV79" s="63"/>
      <c r="GW79" s="63"/>
      <c r="GX79" s="63"/>
      <c r="GY79" s="63"/>
      <c r="GZ79" s="63"/>
      <c r="HA79" s="63"/>
      <c r="HB79" s="63"/>
      <c r="HC79" s="63"/>
      <c r="HD79" s="63"/>
      <c r="HE79" s="63"/>
      <c r="HF79" s="63"/>
      <c r="HG79" s="63"/>
      <c r="HH79" s="63"/>
      <c r="HI79" s="63"/>
      <c r="HJ79" s="63"/>
      <c r="HK79" s="63"/>
      <c r="HL79" s="63"/>
      <c r="HM79" s="63"/>
      <c r="HN79" s="63"/>
      <c r="HO79" s="63"/>
      <c r="HP79" s="63"/>
      <c r="HQ79" s="63"/>
      <c r="HR79" s="63"/>
      <c r="HS79" s="63"/>
      <c r="HT79" s="63"/>
      <c r="HU79" s="63"/>
      <c r="HV79" s="63"/>
      <c r="HW79" s="63"/>
      <c r="HX79" s="63"/>
      <c r="HY79" s="63"/>
      <c r="HZ79" s="63"/>
      <c r="IA79" s="63"/>
      <c r="IB79" s="63"/>
      <c r="IC79" s="63"/>
      <c r="ID79" s="63"/>
      <c r="IE79" s="63"/>
      <c r="IF79" s="63"/>
      <c r="IG79" s="63"/>
      <c r="IH79" s="63"/>
      <c r="II79" s="63"/>
      <c r="IJ79" s="63"/>
      <c r="IK79" s="63"/>
      <c r="IL79" s="63"/>
      <c r="IM79" s="63"/>
      <c r="IN79" s="63"/>
      <c r="IO79" s="63"/>
      <c r="IP79" s="63"/>
      <c r="IQ79" s="63"/>
      <c r="IR79" s="63"/>
      <c r="IS79" s="63"/>
      <c r="IT79" s="63"/>
      <c r="IU79" s="63"/>
      <c r="IV79" s="63"/>
      <c r="IW79" s="63"/>
      <c r="IX79" s="63"/>
      <c r="IY79" s="63"/>
      <c r="IZ79" s="63"/>
      <c r="JA79" s="63"/>
      <c r="JB79" s="63"/>
      <c r="JC79" s="63"/>
      <c r="JD79" s="63"/>
      <c r="JE79" s="63"/>
      <c r="JF79" s="63"/>
      <c r="JG79" s="63"/>
      <c r="JH79" s="63"/>
      <c r="JI79" s="63"/>
      <c r="JJ79" s="63"/>
      <c r="JK79" s="63"/>
      <c r="JL79" s="63"/>
      <c r="JM79" s="63"/>
      <c r="JN79" s="63"/>
      <c r="JO79" s="63"/>
      <c r="JP79" s="63"/>
      <c r="JQ79" s="63"/>
      <c r="JR79" s="63"/>
      <c r="JS79" s="63"/>
      <c r="JT79" s="63"/>
      <c r="JU79" s="63"/>
      <c r="JV79" s="63"/>
      <c r="JW79" s="63"/>
      <c r="JX79" s="63"/>
      <c r="JY79" s="63"/>
      <c r="JZ79" s="63"/>
      <c r="KA79" s="63"/>
      <c r="KB79" s="63"/>
      <c r="KC79" s="63"/>
      <c r="KD79" s="63"/>
      <c r="KE79" s="63"/>
      <c r="KF79" s="63"/>
      <c r="KG79" s="63"/>
      <c r="KH79" s="63"/>
      <c r="KI79" s="63"/>
      <c r="KJ79" s="63"/>
      <c r="KK79" s="63"/>
      <c r="KL79" s="63"/>
      <c r="KM79" s="63"/>
      <c r="KN79" s="63"/>
      <c r="KO79" s="63"/>
      <c r="KP79" s="63"/>
      <c r="KQ79" s="63"/>
      <c r="KR79" s="63"/>
      <c r="KS79" s="63"/>
      <c r="KT79" s="63"/>
      <c r="KU79" s="63"/>
      <c r="KV79" s="63"/>
      <c r="KW79" s="63"/>
      <c r="KX79" s="63"/>
      <c r="KY79" s="63"/>
      <c r="KZ79" s="63"/>
      <c r="LA79" s="63"/>
      <c r="LB79" s="63"/>
      <c r="LC79" s="63"/>
      <c r="LD79" s="63"/>
      <c r="LE79" s="63"/>
      <c r="LF79" s="63"/>
      <c r="LG79" s="63"/>
      <c r="LH79" s="63"/>
      <c r="LI79" s="63"/>
      <c r="LJ79" s="63"/>
      <c r="LK79" s="63"/>
      <c r="LL79" s="63"/>
      <c r="LM79" s="63"/>
      <c r="LN79" s="63"/>
      <c r="LO79" s="63"/>
      <c r="LP79" s="63"/>
      <c r="LQ79" s="63"/>
      <c r="LR79" s="63"/>
      <c r="LS79" s="63"/>
      <c r="LT79" s="63"/>
      <c r="LU79" s="63"/>
      <c r="LV79" s="63"/>
      <c r="LW79" s="63"/>
      <c r="LX79" s="63"/>
      <c r="LY79" s="63"/>
      <c r="LZ79" s="63"/>
      <c r="MA79" s="63"/>
      <c r="MB79" s="63"/>
      <c r="MC79" s="63"/>
      <c r="MD79" s="63"/>
      <c r="ME79" s="63"/>
      <c r="MF79" s="63"/>
      <c r="MG79" s="63"/>
      <c r="MH79" s="63"/>
      <c r="MI79" s="63"/>
      <c r="MJ79" s="63"/>
      <c r="MK79" s="63"/>
      <c r="ML79" s="63"/>
      <c r="MM79" s="63"/>
      <c r="MN79" s="63"/>
      <c r="MO79" s="63"/>
      <c r="MP79" s="63"/>
      <c r="MQ79" s="63"/>
      <c r="MR79" s="63"/>
      <c r="MS79" s="63"/>
      <c r="MT79" s="63"/>
      <c r="MU79" s="63"/>
      <c r="MV79" s="63"/>
      <c r="MW79" s="63"/>
      <c r="MX79" s="63"/>
      <c r="MY79" s="63"/>
      <c r="MZ79" s="63"/>
      <c r="NA79" s="63"/>
      <c r="NB79" s="63"/>
    </row>
    <row r="80" spans="1:366" ht="16" customHeight="1" x14ac:dyDescent="0.15">
      <c r="B80" s="12" t="s">
        <v>287</v>
      </c>
      <c r="C80" s="312" t="s">
        <v>150</v>
      </c>
      <c r="E80"/>
      <c r="F80" s="1">
        <f>equity_invested-F$74</f>
        <v>0</v>
      </c>
      <c r="G80" s="27">
        <f t="shared" ref="G80:AL80" si="219">F80-G74</f>
        <v>0</v>
      </c>
      <c r="H80" s="27">
        <f t="shared" si="219"/>
        <v>0</v>
      </c>
      <c r="I80" s="27">
        <f t="shared" si="219"/>
        <v>0</v>
      </c>
      <c r="J80" s="27">
        <f t="shared" si="219"/>
        <v>0</v>
      </c>
      <c r="K80" s="27">
        <f t="shared" si="219"/>
        <v>0</v>
      </c>
      <c r="L80" s="27">
        <f t="shared" si="219"/>
        <v>0</v>
      </c>
      <c r="M80" s="27">
        <f t="shared" si="219"/>
        <v>0</v>
      </c>
      <c r="N80" s="27">
        <f t="shared" si="219"/>
        <v>0</v>
      </c>
      <c r="O80" s="27">
        <f t="shared" si="219"/>
        <v>0</v>
      </c>
      <c r="P80" s="27">
        <f t="shared" si="219"/>
        <v>0</v>
      </c>
      <c r="Q80" s="27">
        <f t="shared" si="219"/>
        <v>0</v>
      </c>
      <c r="R80" s="27">
        <f t="shared" si="219"/>
        <v>0</v>
      </c>
      <c r="S80" s="27">
        <f t="shared" si="219"/>
        <v>0</v>
      </c>
      <c r="T80" s="27">
        <f t="shared" si="219"/>
        <v>0</v>
      </c>
      <c r="U80" s="27">
        <f t="shared" si="219"/>
        <v>0</v>
      </c>
      <c r="V80" s="27">
        <f t="shared" si="219"/>
        <v>0</v>
      </c>
      <c r="W80" s="27">
        <f t="shared" si="219"/>
        <v>0</v>
      </c>
      <c r="X80" s="27">
        <f t="shared" si="219"/>
        <v>0</v>
      </c>
      <c r="Y80" s="27">
        <f t="shared" si="219"/>
        <v>0</v>
      </c>
      <c r="Z80" s="27">
        <f t="shared" si="219"/>
        <v>0</v>
      </c>
      <c r="AA80" s="27">
        <f t="shared" si="219"/>
        <v>0</v>
      </c>
      <c r="AB80" s="27">
        <f t="shared" si="219"/>
        <v>0</v>
      </c>
      <c r="AC80" s="27">
        <f t="shared" si="219"/>
        <v>0</v>
      </c>
      <c r="AD80" s="27">
        <f t="shared" si="219"/>
        <v>0</v>
      </c>
      <c r="AE80" s="27">
        <f t="shared" si="219"/>
        <v>0</v>
      </c>
      <c r="AF80" s="27">
        <f t="shared" si="219"/>
        <v>0</v>
      </c>
      <c r="AG80" s="27">
        <f t="shared" si="219"/>
        <v>0</v>
      </c>
      <c r="AH80" s="27">
        <f t="shared" si="219"/>
        <v>0</v>
      </c>
      <c r="AI80" s="27">
        <f t="shared" si="219"/>
        <v>0</v>
      </c>
      <c r="AJ80" s="27">
        <f t="shared" si="219"/>
        <v>0</v>
      </c>
      <c r="AK80" s="27">
        <f t="shared" si="219"/>
        <v>0</v>
      </c>
      <c r="AL80" s="27">
        <f t="shared" si="219"/>
        <v>0</v>
      </c>
      <c r="AM80" s="27">
        <f t="shared" ref="AM80:BR80" si="220">AL80-AM74</f>
        <v>0</v>
      </c>
      <c r="AN80" s="27">
        <f t="shared" si="220"/>
        <v>0</v>
      </c>
      <c r="AO80" s="27">
        <f t="shared" si="220"/>
        <v>0</v>
      </c>
      <c r="AP80" s="27">
        <f t="shared" si="220"/>
        <v>0</v>
      </c>
      <c r="AQ80" s="27">
        <f t="shared" si="220"/>
        <v>0</v>
      </c>
      <c r="AR80" s="27">
        <f t="shared" si="220"/>
        <v>0</v>
      </c>
      <c r="AS80" s="27">
        <f t="shared" si="220"/>
        <v>0</v>
      </c>
      <c r="AT80" s="27">
        <f t="shared" si="220"/>
        <v>0</v>
      </c>
      <c r="AU80" s="27">
        <f t="shared" si="220"/>
        <v>0</v>
      </c>
      <c r="AV80" s="27">
        <f t="shared" si="220"/>
        <v>0</v>
      </c>
      <c r="AW80" s="27">
        <f t="shared" si="220"/>
        <v>0</v>
      </c>
      <c r="AX80" s="27">
        <f t="shared" si="220"/>
        <v>0</v>
      </c>
      <c r="AY80" s="27">
        <f t="shared" si="220"/>
        <v>0</v>
      </c>
      <c r="AZ80" s="27">
        <f t="shared" si="220"/>
        <v>0</v>
      </c>
      <c r="BA80" s="27">
        <f t="shared" si="220"/>
        <v>0</v>
      </c>
      <c r="BB80" s="27">
        <f t="shared" si="220"/>
        <v>0</v>
      </c>
      <c r="BC80" s="27">
        <f t="shared" si="220"/>
        <v>0</v>
      </c>
      <c r="BD80" s="27">
        <f t="shared" si="220"/>
        <v>0</v>
      </c>
      <c r="BE80" s="27">
        <f t="shared" si="220"/>
        <v>0</v>
      </c>
      <c r="BF80" s="27">
        <f t="shared" si="220"/>
        <v>0</v>
      </c>
      <c r="BG80" s="27">
        <f t="shared" si="220"/>
        <v>0</v>
      </c>
      <c r="BH80" s="27">
        <f t="shared" si="220"/>
        <v>0</v>
      </c>
      <c r="BI80" s="27">
        <f t="shared" si="220"/>
        <v>0</v>
      </c>
      <c r="BJ80" s="27">
        <f t="shared" si="220"/>
        <v>0</v>
      </c>
      <c r="BK80" s="27">
        <f t="shared" si="220"/>
        <v>0</v>
      </c>
      <c r="BL80" s="27">
        <f t="shared" si="220"/>
        <v>0</v>
      </c>
      <c r="BM80" s="27">
        <f t="shared" si="220"/>
        <v>0</v>
      </c>
      <c r="BN80" s="27">
        <f t="shared" si="220"/>
        <v>0</v>
      </c>
      <c r="BO80" s="27">
        <f t="shared" si="220"/>
        <v>0</v>
      </c>
      <c r="BP80" s="27">
        <f t="shared" si="220"/>
        <v>0</v>
      </c>
      <c r="BQ80" s="27">
        <f t="shared" si="220"/>
        <v>0</v>
      </c>
      <c r="BR80" s="27">
        <f t="shared" si="220"/>
        <v>0</v>
      </c>
      <c r="BS80" s="27">
        <f t="shared" ref="BS80:CX80" si="221">BR80-BS74</f>
        <v>0</v>
      </c>
      <c r="BT80" s="27">
        <f t="shared" si="221"/>
        <v>0</v>
      </c>
      <c r="BU80" s="27">
        <f t="shared" si="221"/>
        <v>0</v>
      </c>
      <c r="BV80" s="27">
        <f t="shared" si="221"/>
        <v>0</v>
      </c>
      <c r="BW80" s="27">
        <f t="shared" si="221"/>
        <v>0</v>
      </c>
      <c r="BX80" s="27">
        <f t="shared" si="221"/>
        <v>0</v>
      </c>
      <c r="BY80" s="27">
        <f t="shared" si="221"/>
        <v>0</v>
      </c>
      <c r="BZ80" s="27">
        <f t="shared" si="221"/>
        <v>0</v>
      </c>
      <c r="CA80" s="27">
        <f t="shared" si="221"/>
        <v>0</v>
      </c>
      <c r="CB80" s="27">
        <f t="shared" si="221"/>
        <v>0</v>
      </c>
      <c r="CC80" s="27">
        <f t="shared" si="221"/>
        <v>0</v>
      </c>
      <c r="CD80" s="27">
        <f t="shared" si="221"/>
        <v>0</v>
      </c>
      <c r="CE80" s="27">
        <f t="shared" si="221"/>
        <v>0</v>
      </c>
      <c r="CF80" s="27">
        <f t="shared" si="221"/>
        <v>0</v>
      </c>
      <c r="CG80" s="27">
        <f t="shared" si="221"/>
        <v>0</v>
      </c>
      <c r="CH80" s="27">
        <f t="shared" si="221"/>
        <v>0</v>
      </c>
      <c r="CI80" s="27">
        <f t="shared" si="221"/>
        <v>0</v>
      </c>
      <c r="CJ80" s="27">
        <f t="shared" si="221"/>
        <v>0</v>
      </c>
      <c r="CK80" s="27">
        <f t="shared" si="221"/>
        <v>0</v>
      </c>
      <c r="CL80" s="27">
        <f t="shared" si="221"/>
        <v>0</v>
      </c>
      <c r="CM80" s="27">
        <f t="shared" si="221"/>
        <v>0</v>
      </c>
      <c r="CN80" s="27">
        <f t="shared" si="221"/>
        <v>0</v>
      </c>
      <c r="CO80" s="27">
        <f t="shared" si="221"/>
        <v>0</v>
      </c>
      <c r="CP80" s="27">
        <f t="shared" si="221"/>
        <v>0</v>
      </c>
      <c r="CQ80" s="27">
        <f t="shared" si="221"/>
        <v>0</v>
      </c>
      <c r="CR80" s="27">
        <f t="shared" si="221"/>
        <v>0</v>
      </c>
      <c r="CS80" s="27">
        <f t="shared" si="221"/>
        <v>0</v>
      </c>
      <c r="CT80" s="27">
        <f t="shared" si="221"/>
        <v>0</v>
      </c>
      <c r="CU80" s="27">
        <f t="shared" si="221"/>
        <v>0</v>
      </c>
      <c r="CV80" s="27">
        <f t="shared" si="221"/>
        <v>0</v>
      </c>
      <c r="CW80" s="27">
        <f t="shared" si="221"/>
        <v>0</v>
      </c>
      <c r="CX80" s="27">
        <f t="shared" si="221"/>
        <v>0</v>
      </c>
      <c r="CY80" s="27">
        <f t="shared" ref="CY80:ED80" si="222">CX80-CY74</f>
        <v>0</v>
      </c>
      <c r="CZ80" s="27">
        <f t="shared" si="222"/>
        <v>0</v>
      </c>
      <c r="DA80" s="27">
        <f t="shared" si="222"/>
        <v>0</v>
      </c>
      <c r="DB80" s="27">
        <f t="shared" si="222"/>
        <v>0</v>
      </c>
      <c r="DC80" s="27">
        <f t="shared" si="222"/>
        <v>0</v>
      </c>
      <c r="DD80" s="27">
        <f t="shared" si="222"/>
        <v>0</v>
      </c>
      <c r="DE80" s="27">
        <f t="shared" si="222"/>
        <v>0</v>
      </c>
      <c r="DF80" s="27">
        <f t="shared" si="222"/>
        <v>0</v>
      </c>
      <c r="DG80" s="27">
        <f t="shared" si="222"/>
        <v>0</v>
      </c>
      <c r="DH80" s="27">
        <f t="shared" si="222"/>
        <v>0</v>
      </c>
      <c r="DI80" s="27">
        <f t="shared" si="222"/>
        <v>0</v>
      </c>
      <c r="DJ80" s="27">
        <f t="shared" si="222"/>
        <v>0</v>
      </c>
      <c r="DK80" s="27">
        <f t="shared" si="222"/>
        <v>0</v>
      </c>
      <c r="DL80" s="27">
        <f t="shared" si="222"/>
        <v>0</v>
      </c>
      <c r="DM80" s="27">
        <f t="shared" si="222"/>
        <v>0</v>
      </c>
      <c r="DN80" s="27">
        <f t="shared" si="222"/>
        <v>0</v>
      </c>
      <c r="DO80" s="27">
        <f t="shared" si="222"/>
        <v>0</v>
      </c>
      <c r="DP80" s="27">
        <f t="shared" si="222"/>
        <v>0</v>
      </c>
      <c r="DQ80" s="27">
        <f t="shared" si="222"/>
        <v>0</v>
      </c>
      <c r="DR80" s="27">
        <f t="shared" si="222"/>
        <v>0</v>
      </c>
      <c r="DS80" s="27">
        <f t="shared" si="222"/>
        <v>0</v>
      </c>
      <c r="DT80" s="27">
        <f t="shared" si="222"/>
        <v>0</v>
      </c>
      <c r="DU80" s="27">
        <f t="shared" si="222"/>
        <v>0</v>
      </c>
      <c r="DV80" s="27">
        <f t="shared" si="222"/>
        <v>0</v>
      </c>
      <c r="DW80" s="27">
        <f t="shared" si="222"/>
        <v>0</v>
      </c>
      <c r="DX80" s="27">
        <f t="shared" si="222"/>
        <v>0</v>
      </c>
      <c r="DY80" s="27">
        <f t="shared" si="222"/>
        <v>0</v>
      </c>
      <c r="DZ80" s="27">
        <f t="shared" si="222"/>
        <v>0</v>
      </c>
      <c r="EA80" s="27">
        <f t="shared" si="222"/>
        <v>0</v>
      </c>
      <c r="EB80" s="27">
        <f t="shared" si="222"/>
        <v>0</v>
      </c>
      <c r="EC80" s="27">
        <f t="shared" si="222"/>
        <v>0</v>
      </c>
      <c r="ED80" s="27">
        <f t="shared" si="222"/>
        <v>0</v>
      </c>
      <c r="EE80" s="27">
        <f t="shared" ref="EE80:FJ80" si="223">ED80-EE74</f>
        <v>0</v>
      </c>
      <c r="EF80" s="27">
        <f t="shared" si="223"/>
        <v>0</v>
      </c>
      <c r="EG80" s="27">
        <f t="shared" si="223"/>
        <v>0</v>
      </c>
      <c r="EH80" s="27">
        <f t="shared" si="223"/>
        <v>0</v>
      </c>
      <c r="EI80" s="27">
        <f t="shared" si="223"/>
        <v>0</v>
      </c>
      <c r="EJ80" s="27">
        <f t="shared" si="223"/>
        <v>0</v>
      </c>
      <c r="EK80" s="27">
        <f t="shared" si="223"/>
        <v>0</v>
      </c>
      <c r="EL80" s="27">
        <f t="shared" si="223"/>
        <v>0</v>
      </c>
      <c r="EM80" s="27">
        <f t="shared" si="223"/>
        <v>0</v>
      </c>
      <c r="EN80" s="27">
        <f t="shared" si="223"/>
        <v>0</v>
      </c>
      <c r="EO80" s="27">
        <f t="shared" si="223"/>
        <v>0</v>
      </c>
      <c r="EP80" s="27">
        <f t="shared" si="223"/>
        <v>0</v>
      </c>
      <c r="EQ80" s="27">
        <f t="shared" si="223"/>
        <v>0</v>
      </c>
      <c r="ER80" s="27">
        <f t="shared" si="223"/>
        <v>0</v>
      </c>
      <c r="ES80" s="27">
        <f t="shared" si="223"/>
        <v>0</v>
      </c>
      <c r="ET80" s="27">
        <f t="shared" si="223"/>
        <v>0</v>
      </c>
      <c r="EU80" s="27">
        <f t="shared" si="223"/>
        <v>0</v>
      </c>
      <c r="EV80" s="27">
        <f t="shared" si="223"/>
        <v>0</v>
      </c>
      <c r="EW80" s="27">
        <f t="shared" si="223"/>
        <v>0</v>
      </c>
      <c r="EX80" s="27">
        <f t="shared" si="223"/>
        <v>0</v>
      </c>
      <c r="EY80" s="27">
        <f t="shared" si="223"/>
        <v>0</v>
      </c>
      <c r="EZ80" s="27">
        <f t="shared" si="223"/>
        <v>0</v>
      </c>
      <c r="FA80" s="27">
        <f t="shared" si="223"/>
        <v>0</v>
      </c>
      <c r="FB80" s="27">
        <f t="shared" si="223"/>
        <v>0</v>
      </c>
      <c r="FC80" s="27">
        <f t="shared" si="223"/>
        <v>0</v>
      </c>
      <c r="FD80" s="27">
        <f t="shared" si="223"/>
        <v>0</v>
      </c>
      <c r="FE80" s="27">
        <f t="shared" si="223"/>
        <v>0</v>
      </c>
      <c r="FF80" s="27">
        <f t="shared" si="223"/>
        <v>0</v>
      </c>
      <c r="FG80" s="27">
        <f t="shared" si="223"/>
        <v>0</v>
      </c>
      <c r="FH80" s="27">
        <f t="shared" si="223"/>
        <v>0</v>
      </c>
      <c r="FI80" s="27">
        <f t="shared" si="223"/>
        <v>0</v>
      </c>
      <c r="FJ80" s="27">
        <f t="shared" si="223"/>
        <v>0</v>
      </c>
      <c r="FK80" s="27">
        <f t="shared" ref="FK80:GD80" si="224">FJ80-FK74</f>
        <v>0</v>
      </c>
      <c r="FL80" s="27">
        <f t="shared" si="224"/>
        <v>0</v>
      </c>
      <c r="FM80" s="27">
        <f t="shared" si="224"/>
        <v>0</v>
      </c>
      <c r="FN80" s="27">
        <f t="shared" si="224"/>
        <v>0</v>
      </c>
      <c r="FO80" s="27">
        <f t="shared" si="224"/>
        <v>0</v>
      </c>
      <c r="FP80" s="27">
        <f t="shared" si="224"/>
        <v>0</v>
      </c>
      <c r="FQ80" s="27">
        <f t="shared" si="224"/>
        <v>0</v>
      </c>
      <c r="FR80" s="27">
        <f t="shared" si="224"/>
        <v>0</v>
      </c>
      <c r="FS80" s="27">
        <f t="shared" si="224"/>
        <v>0</v>
      </c>
      <c r="FT80" s="27">
        <f t="shared" si="224"/>
        <v>0</v>
      </c>
      <c r="FU80" s="27">
        <f t="shared" si="224"/>
        <v>0</v>
      </c>
      <c r="FV80" s="27">
        <f t="shared" si="224"/>
        <v>0</v>
      </c>
      <c r="FW80" s="27">
        <f t="shared" si="224"/>
        <v>0</v>
      </c>
      <c r="FX80" s="27">
        <f t="shared" si="224"/>
        <v>0</v>
      </c>
      <c r="FY80" s="27">
        <f t="shared" si="224"/>
        <v>0</v>
      </c>
      <c r="FZ80" s="27">
        <f t="shared" si="224"/>
        <v>0</v>
      </c>
      <c r="GA80" s="27">
        <f t="shared" si="224"/>
        <v>0</v>
      </c>
      <c r="GB80" s="27">
        <f t="shared" si="224"/>
        <v>0</v>
      </c>
      <c r="GC80" s="27">
        <f t="shared" si="224"/>
        <v>0</v>
      </c>
      <c r="GD80" s="27">
        <f t="shared" si="224"/>
        <v>0</v>
      </c>
      <c r="GE80" s="27">
        <f t="shared" ref="GE80:GM80" si="225">GD80-GE74</f>
        <v>0</v>
      </c>
      <c r="GF80" s="27">
        <f t="shared" si="225"/>
        <v>0</v>
      </c>
      <c r="GG80" s="27">
        <f t="shared" si="225"/>
        <v>0</v>
      </c>
      <c r="GH80" s="27">
        <f t="shared" si="225"/>
        <v>0</v>
      </c>
      <c r="GI80" s="27">
        <f t="shared" si="225"/>
        <v>0</v>
      </c>
      <c r="GJ80" s="27">
        <f t="shared" si="225"/>
        <v>0</v>
      </c>
      <c r="GK80" s="27">
        <f t="shared" si="225"/>
        <v>0</v>
      </c>
      <c r="GL80" s="27">
        <f t="shared" si="225"/>
        <v>0</v>
      </c>
      <c r="GM80" s="27">
        <f t="shared" si="225"/>
        <v>0</v>
      </c>
      <c r="GN80" s="27"/>
      <c r="GO80" s="27"/>
      <c r="GP80" s="27"/>
      <c r="GQ80" s="63"/>
      <c r="GR80" s="63"/>
      <c r="GS80" s="63"/>
      <c r="GT80" s="63"/>
      <c r="GU80" s="63"/>
      <c r="GV80" s="63"/>
      <c r="GW80" s="63"/>
      <c r="GX80" s="63"/>
      <c r="GY80" s="63"/>
      <c r="GZ80" s="63"/>
      <c r="HA80" s="63"/>
      <c r="HB80" s="63"/>
      <c r="HC80" s="63"/>
      <c r="HD80" s="63"/>
      <c r="HE80" s="63"/>
      <c r="HF80" s="63"/>
      <c r="HG80" s="63"/>
      <c r="HH80" s="63"/>
      <c r="HI80" s="63"/>
      <c r="HJ80" s="63"/>
      <c r="HK80" s="63"/>
      <c r="HL80" s="63"/>
      <c r="HM80" s="63"/>
      <c r="HN80" s="63"/>
      <c r="HO80" s="63"/>
      <c r="HP80" s="63"/>
      <c r="HQ80" s="63"/>
      <c r="HR80" s="63"/>
      <c r="HS80" s="63"/>
      <c r="HT80" s="63"/>
      <c r="HU80" s="63"/>
      <c r="HV80" s="63"/>
      <c r="HW80" s="63"/>
      <c r="HX80" s="63"/>
      <c r="HY80" s="63"/>
      <c r="HZ80" s="63"/>
      <c r="IA80" s="63"/>
      <c r="IB80" s="63"/>
      <c r="IC80" s="63"/>
      <c r="ID80" s="63"/>
      <c r="IE80" s="63"/>
      <c r="IF80" s="63"/>
      <c r="IG80" s="63"/>
      <c r="IH80" s="63"/>
      <c r="II80" s="63"/>
      <c r="IJ80" s="63"/>
      <c r="IK80" s="63"/>
      <c r="IL80" s="63"/>
      <c r="IM80" s="63"/>
      <c r="IN80" s="63"/>
      <c r="IO80" s="63"/>
      <c r="IP80" s="63"/>
      <c r="IQ80" s="63"/>
      <c r="IR80" s="63"/>
      <c r="IS80" s="63"/>
      <c r="IT80" s="63"/>
      <c r="IU80" s="63"/>
      <c r="IV80" s="63"/>
      <c r="IW80" s="63"/>
      <c r="IX80" s="63"/>
      <c r="IY80" s="63"/>
      <c r="IZ80" s="63"/>
      <c r="JA80" s="63"/>
      <c r="JB80" s="63"/>
      <c r="JC80" s="63"/>
      <c r="JD80" s="63"/>
      <c r="JE80" s="63"/>
      <c r="JF80" s="63"/>
      <c r="JG80" s="63"/>
      <c r="JH80" s="63"/>
      <c r="JI80" s="63"/>
      <c r="JJ80" s="63"/>
      <c r="JK80" s="63"/>
      <c r="JL80" s="63"/>
      <c r="JM80" s="63"/>
      <c r="JN80" s="63"/>
      <c r="JO80" s="63"/>
      <c r="JP80" s="63"/>
      <c r="JQ80" s="63"/>
      <c r="JR80" s="63"/>
      <c r="JS80" s="63"/>
      <c r="JT80" s="63"/>
      <c r="JU80" s="63"/>
      <c r="JV80" s="63"/>
      <c r="JW80" s="63"/>
      <c r="JX80" s="63"/>
      <c r="JY80" s="63"/>
      <c r="JZ80" s="63"/>
      <c r="KA80" s="63"/>
      <c r="KB80" s="63"/>
      <c r="KC80" s="63"/>
      <c r="KD80" s="63"/>
      <c r="KE80" s="63"/>
      <c r="KF80" s="63"/>
      <c r="KG80" s="63"/>
      <c r="KH80" s="63"/>
      <c r="KI80" s="63"/>
      <c r="KJ80" s="63"/>
      <c r="KK80" s="63"/>
      <c r="KL80" s="63"/>
      <c r="KM80" s="63"/>
      <c r="KN80" s="63"/>
      <c r="KO80" s="63"/>
      <c r="KP80" s="63"/>
      <c r="KQ80" s="63"/>
      <c r="KR80" s="63"/>
      <c r="KS80" s="63"/>
      <c r="KT80" s="63"/>
      <c r="KU80" s="63"/>
      <c r="KV80" s="63"/>
      <c r="KW80" s="63"/>
      <c r="KX80" s="63"/>
      <c r="KY80" s="63"/>
      <c r="KZ80" s="63"/>
      <c r="LA80" s="63"/>
      <c r="LB80" s="63"/>
      <c r="LC80" s="63"/>
      <c r="LD80" s="63"/>
      <c r="LE80" s="63"/>
      <c r="LF80" s="63"/>
      <c r="LG80" s="63"/>
      <c r="LH80" s="63"/>
      <c r="LI80" s="63"/>
      <c r="LJ80" s="63"/>
      <c r="LK80" s="63"/>
      <c r="LL80" s="63"/>
      <c r="LM80" s="63"/>
      <c r="LN80" s="63"/>
      <c r="LO80" s="63"/>
      <c r="LP80" s="63"/>
      <c r="LQ80" s="63"/>
      <c r="LR80" s="63"/>
      <c r="LS80" s="63"/>
      <c r="LT80" s="63"/>
      <c r="LU80" s="63"/>
      <c r="LV80" s="63"/>
      <c r="LW80" s="63"/>
      <c r="LX80" s="63"/>
      <c r="LY80" s="63"/>
      <c r="LZ80" s="63"/>
      <c r="MA80" s="63"/>
      <c r="MB80" s="63"/>
      <c r="MC80" s="63"/>
      <c r="MD80" s="63"/>
      <c r="ME80" s="63"/>
      <c r="MF80" s="63"/>
      <c r="MG80" s="63"/>
      <c r="MH80" s="63"/>
      <c r="MI80" s="63"/>
      <c r="MJ80" s="63"/>
      <c r="MK80" s="63"/>
      <c r="ML80" s="63"/>
      <c r="MM80" s="63"/>
      <c r="MN80" s="63"/>
      <c r="MO80" s="63"/>
      <c r="MP80" s="63"/>
      <c r="MQ80" s="63"/>
      <c r="MR80" s="63"/>
      <c r="MS80" s="63"/>
      <c r="MT80" s="63"/>
      <c r="MU80" s="63"/>
      <c r="MV80" s="63"/>
      <c r="MW80" s="63"/>
      <c r="MX80" s="63"/>
      <c r="MY80" s="63"/>
      <c r="MZ80" s="63"/>
      <c r="NA80" s="63"/>
      <c r="NB80" s="63"/>
    </row>
    <row r="81" spans="2:366" ht="16" customHeight="1" x14ac:dyDescent="0.15">
      <c r="B81" s="372" t="s">
        <v>306</v>
      </c>
      <c r="C81" s="314" t="s">
        <v>150</v>
      </c>
      <c r="D81" s="315"/>
      <c r="E81" s="315"/>
      <c r="F81" s="317">
        <f>debt-F75</f>
        <v>426040</v>
      </c>
      <c r="G81" s="356">
        <f t="shared" ref="G81:AL81" si="226">F81-G75</f>
        <v>376861.29360684735</v>
      </c>
      <c r="H81" s="356">
        <f t="shared" si="226"/>
        <v>327443.20737358788</v>
      </c>
      <c r="I81" s="356">
        <f t="shared" si="226"/>
        <v>277784.57610674552</v>
      </c>
      <c r="J81" s="356">
        <f t="shared" si="226"/>
        <v>227884.22894120606</v>
      </c>
      <c r="K81" s="356">
        <f t="shared" si="226"/>
        <v>177740.98931261018</v>
      </c>
      <c r="L81" s="356">
        <f t="shared" si="226"/>
        <v>127353.674929612</v>
      </c>
      <c r="M81" s="356">
        <f t="shared" si="226"/>
        <v>76721.097746002721</v>
      </c>
      <c r="N81" s="356">
        <f t="shared" si="226"/>
        <v>25842.063932698598</v>
      </c>
      <c r="O81" s="356">
        <f t="shared" si="226"/>
        <v>25842.063932698598</v>
      </c>
      <c r="P81" s="356">
        <f t="shared" si="226"/>
        <v>25842.063932698598</v>
      </c>
      <c r="Q81" s="356">
        <f t="shared" si="226"/>
        <v>25842.063932698598</v>
      </c>
      <c r="R81" s="356">
        <f t="shared" si="226"/>
        <v>25842.063932698598</v>
      </c>
      <c r="S81" s="356">
        <f t="shared" si="226"/>
        <v>25842.063932698598</v>
      </c>
      <c r="T81" s="356">
        <f t="shared" si="226"/>
        <v>25842.063932698598</v>
      </c>
      <c r="U81" s="356">
        <f t="shared" si="226"/>
        <v>25842.063932698598</v>
      </c>
      <c r="V81" s="356">
        <f t="shared" si="226"/>
        <v>25842.063932698598</v>
      </c>
      <c r="W81" s="356">
        <f t="shared" si="226"/>
        <v>25842.063932698598</v>
      </c>
      <c r="X81" s="356">
        <f t="shared" si="226"/>
        <v>25842.063932698598</v>
      </c>
      <c r="Y81" s="356">
        <f t="shared" si="226"/>
        <v>25842.063932698598</v>
      </c>
      <c r="Z81" s="356">
        <f t="shared" si="226"/>
        <v>25842.063932698598</v>
      </c>
      <c r="AA81" s="356">
        <f t="shared" si="226"/>
        <v>25842.063932698598</v>
      </c>
      <c r="AB81" s="356">
        <f t="shared" si="226"/>
        <v>25842.063932698598</v>
      </c>
      <c r="AC81" s="356">
        <f t="shared" si="226"/>
        <v>25842.063932698598</v>
      </c>
      <c r="AD81" s="356">
        <f t="shared" si="226"/>
        <v>25842.063932698598</v>
      </c>
      <c r="AE81" s="356">
        <f t="shared" si="226"/>
        <v>25842.063932698598</v>
      </c>
      <c r="AF81" s="356">
        <f t="shared" si="226"/>
        <v>25842.063932698598</v>
      </c>
      <c r="AG81" s="356">
        <f t="shared" si="226"/>
        <v>25842.063932698598</v>
      </c>
      <c r="AH81" s="356">
        <f t="shared" si="226"/>
        <v>25842.063932698598</v>
      </c>
      <c r="AI81" s="356">
        <f t="shared" si="226"/>
        <v>25842.063932698598</v>
      </c>
      <c r="AJ81" s="356">
        <f t="shared" si="226"/>
        <v>25842.063932698598</v>
      </c>
      <c r="AK81" s="356">
        <f t="shared" si="226"/>
        <v>25842.063932698598</v>
      </c>
      <c r="AL81" s="356">
        <f t="shared" si="226"/>
        <v>25842.063932698598</v>
      </c>
      <c r="AM81" s="356">
        <f t="shared" ref="AM81:BR81" si="227">AL81-AM75</f>
        <v>25842.063932698598</v>
      </c>
      <c r="AN81" s="356">
        <f t="shared" si="227"/>
        <v>25842.063932698598</v>
      </c>
      <c r="AO81" s="356">
        <f t="shared" si="227"/>
        <v>25842.063932698598</v>
      </c>
      <c r="AP81" s="356">
        <f t="shared" si="227"/>
        <v>25842.063932698598</v>
      </c>
      <c r="AQ81" s="356">
        <f t="shared" si="227"/>
        <v>25842.063932698598</v>
      </c>
      <c r="AR81" s="356">
        <f t="shared" si="227"/>
        <v>25842.063932698598</v>
      </c>
      <c r="AS81" s="356">
        <f t="shared" si="227"/>
        <v>25842.063932698598</v>
      </c>
      <c r="AT81" s="356">
        <f t="shared" si="227"/>
        <v>25842.063932698598</v>
      </c>
      <c r="AU81" s="356">
        <f t="shared" si="227"/>
        <v>25842.063932698598</v>
      </c>
      <c r="AV81" s="356">
        <f t="shared" si="227"/>
        <v>25842.063932698598</v>
      </c>
      <c r="AW81" s="356">
        <f t="shared" si="227"/>
        <v>25842.063932698598</v>
      </c>
      <c r="AX81" s="356">
        <f t="shared" si="227"/>
        <v>25842.063932698598</v>
      </c>
      <c r="AY81" s="356">
        <f t="shared" si="227"/>
        <v>25842.063932698598</v>
      </c>
      <c r="AZ81" s="356">
        <f t="shared" si="227"/>
        <v>25842.063932698598</v>
      </c>
      <c r="BA81" s="356">
        <f t="shared" si="227"/>
        <v>25842.063932698598</v>
      </c>
      <c r="BB81" s="356">
        <f t="shared" si="227"/>
        <v>25842.063932698598</v>
      </c>
      <c r="BC81" s="356">
        <f t="shared" si="227"/>
        <v>25842.063932698598</v>
      </c>
      <c r="BD81" s="356">
        <f t="shared" si="227"/>
        <v>25842.063932698598</v>
      </c>
      <c r="BE81" s="356">
        <f t="shared" si="227"/>
        <v>25842.063932698598</v>
      </c>
      <c r="BF81" s="356">
        <f t="shared" si="227"/>
        <v>25842.063932698598</v>
      </c>
      <c r="BG81" s="356">
        <f t="shared" si="227"/>
        <v>25842.063932698598</v>
      </c>
      <c r="BH81" s="356">
        <f t="shared" si="227"/>
        <v>25842.063932698598</v>
      </c>
      <c r="BI81" s="356">
        <f t="shared" si="227"/>
        <v>25842.063932698598</v>
      </c>
      <c r="BJ81" s="356">
        <f t="shared" si="227"/>
        <v>25842.063932698598</v>
      </c>
      <c r="BK81" s="356">
        <f t="shared" si="227"/>
        <v>25842.063932698598</v>
      </c>
      <c r="BL81" s="356">
        <f t="shared" si="227"/>
        <v>25842.063932698598</v>
      </c>
      <c r="BM81" s="356">
        <f t="shared" si="227"/>
        <v>25842.063932698598</v>
      </c>
      <c r="BN81" s="356">
        <f t="shared" si="227"/>
        <v>25842.063932698598</v>
      </c>
      <c r="BO81" s="356">
        <f t="shared" si="227"/>
        <v>25842.063932698598</v>
      </c>
      <c r="BP81" s="356">
        <f t="shared" si="227"/>
        <v>25842.063932698598</v>
      </c>
      <c r="BQ81" s="356">
        <f t="shared" si="227"/>
        <v>25842.063932698598</v>
      </c>
      <c r="BR81" s="356">
        <f t="shared" si="227"/>
        <v>25842.063932698598</v>
      </c>
      <c r="BS81" s="356">
        <f t="shared" ref="BS81:CX81" si="228">BR81-BS75</f>
        <v>25842.063932698598</v>
      </c>
      <c r="BT81" s="356">
        <f t="shared" si="228"/>
        <v>25842.063932698598</v>
      </c>
      <c r="BU81" s="356">
        <f t="shared" si="228"/>
        <v>25842.063932698598</v>
      </c>
      <c r="BV81" s="356">
        <f t="shared" si="228"/>
        <v>25842.063932698598</v>
      </c>
      <c r="BW81" s="356">
        <f t="shared" si="228"/>
        <v>25842.063932698598</v>
      </c>
      <c r="BX81" s="356">
        <f t="shared" si="228"/>
        <v>25842.063932698598</v>
      </c>
      <c r="BY81" s="356">
        <f t="shared" si="228"/>
        <v>25842.063932698598</v>
      </c>
      <c r="BZ81" s="356">
        <f t="shared" si="228"/>
        <v>25842.063932698598</v>
      </c>
      <c r="CA81" s="356">
        <f t="shared" si="228"/>
        <v>25842.063932698598</v>
      </c>
      <c r="CB81" s="356">
        <f t="shared" si="228"/>
        <v>25842.063932698598</v>
      </c>
      <c r="CC81" s="356">
        <f t="shared" si="228"/>
        <v>25842.063932698598</v>
      </c>
      <c r="CD81" s="356">
        <f t="shared" si="228"/>
        <v>25842.063932698598</v>
      </c>
      <c r="CE81" s="356">
        <f t="shared" si="228"/>
        <v>25842.063932698598</v>
      </c>
      <c r="CF81" s="356">
        <f t="shared" si="228"/>
        <v>25842.063932698598</v>
      </c>
      <c r="CG81" s="356">
        <f t="shared" si="228"/>
        <v>25842.063932698598</v>
      </c>
      <c r="CH81" s="356">
        <f t="shared" si="228"/>
        <v>25842.063932698598</v>
      </c>
      <c r="CI81" s="356">
        <f t="shared" si="228"/>
        <v>25842.063932698598</v>
      </c>
      <c r="CJ81" s="356">
        <f t="shared" si="228"/>
        <v>25842.063932698598</v>
      </c>
      <c r="CK81" s="356">
        <f t="shared" si="228"/>
        <v>25842.063932698598</v>
      </c>
      <c r="CL81" s="356">
        <f t="shared" si="228"/>
        <v>25842.063932698598</v>
      </c>
      <c r="CM81" s="356">
        <f t="shared" si="228"/>
        <v>25842.063932698598</v>
      </c>
      <c r="CN81" s="356">
        <f t="shared" si="228"/>
        <v>25842.063932698598</v>
      </c>
      <c r="CO81" s="356">
        <f t="shared" si="228"/>
        <v>25842.063932698598</v>
      </c>
      <c r="CP81" s="356">
        <f t="shared" si="228"/>
        <v>25842.063932698598</v>
      </c>
      <c r="CQ81" s="356">
        <f t="shared" si="228"/>
        <v>25842.063932698598</v>
      </c>
      <c r="CR81" s="356">
        <f t="shared" si="228"/>
        <v>25842.063932698598</v>
      </c>
      <c r="CS81" s="356">
        <f t="shared" si="228"/>
        <v>25842.063932698598</v>
      </c>
      <c r="CT81" s="356">
        <f t="shared" si="228"/>
        <v>25842.063932698598</v>
      </c>
      <c r="CU81" s="356">
        <f t="shared" si="228"/>
        <v>25842.063932698598</v>
      </c>
      <c r="CV81" s="356">
        <f t="shared" si="228"/>
        <v>25842.063932698598</v>
      </c>
      <c r="CW81" s="356">
        <f t="shared" si="228"/>
        <v>25842.063932698598</v>
      </c>
      <c r="CX81" s="356">
        <f t="shared" si="228"/>
        <v>25842.063932698598</v>
      </c>
      <c r="CY81" s="356">
        <f t="shared" ref="CY81:ED81" si="229">CX81-CY75</f>
        <v>25842.063932698598</v>
      </c>
      <c r="CZ81" s="356">
        <f t="shared" si="229"/>
        <v>25842.063932698598</v>
      </c>
      <c r="DA81" s="356">
        <f t="shared" si="229"/>
        <v>25842.063932698598</v>
      </c>
      <c r="DB81" s="356">
        <f t="shared" si="229"/>
        <v>25842.063932698598</v>
      </c>
      <c r="DC81" s="356">
        <f t="shared" si="229"/>
        <v>25842.063932698598</v>
      </c>
      <c r="DD81" s="356">
        <f t="shared" si="229"/>
        <v>25842.063932698598</v>
      </c>
      <c r="DE81" s="356">
        <f t="shared" si="229"/>
        <v>25842.063932698598</v>
      </c>
      <c r="DF81" s="356">
        <f t="shared" si="229"/>
        <v>25842.063932698598</v>
      </c>
      <c r="DG81" s="356">
        <f t="shared" si="229"/>
        <v>25842.063932698598</v>
      </c>
      <c r="DH81" s="356">
        <f t="shared" si="229"/>
        <v>25842.063932698598</v>
      </c>
      <c r="DI81" s="356">
        <f t="shared" si="229"/>
        <v>25842.063932698598</v>
      </c>
      <c r="DJ81" s="356">
        <f t="shared" si="229"/>
        <v>25842.063932698598</v>
      </c>
      <c r="DK81" s="356">
        <f t="shared" si="229"/>
        <v>25842.063932698598</v>
      </c>
      <c r="DL81" s="356">
        <f t="shared" si="229"/>
        <v>25842.063932698598</v>
      </c>
      <c r="DM81" s="356">
        <f t="shared" si="229"/>
        <v>25842.063932698598</v>
      </c>
      <c r="DN81" s="356">
        <f t="shared" si="229"/>
        <v>25842.063932698598</v>
      </c>
      <c r="DO81" s="356">
        <f t="shared" si="229"/>
        <v>25842.063932698598</v>
      </c>
      <c r="DP81" s="356">
        <f t="shared" si="229"/>
        <v>25842.063932698598</v>
      </c>
      <c r="DQ81" s="356">
        <f t="shared" si="229"/>
        <v>25842.063932698598</v>
      </c>
      <c r="DR81" s="356">
        <f t="shared" si="229"/>
        <v>25842.063932698598</v>
      </c>
      <c r="DS81" s="356">
        <f t="shared" si="229"/>
        <v>25842.063932698598</v>
      </c>
      <c r="DT81" s="356">
        <f t="shared" si="229"/>
        <v>25842.063932698598</v>
      </c>
      <c r="DU81" s="356">
        <f t="shared" si="229"/>
        <v>25842.063932698598</v>
      </c>
      <c r="DV81" s="356">
        <f t="shared" si="229"/>
        <v>25842.063932698598</v>
      </c>
      <c r="DW81" s="356">
        <f t="shared" si="229"/>
        <v>25842.063932698598</v>
      </c>
      <c r="DX81" s="356">
        <f t="shared" si="229"/>
        <v>25842.063932698598</v>
      </c>
      <c r="DY81" s="356">
        <f t="shared" si="229"/>
        <v>25842.063932698598</v>
      </c>
      <c r="DZ81" s="356">
        <f t="shared" si="229"/>
        <v>25842.063932698598</v>
      </c>
      <c r="EA81" s="356">
        <f t="shared" si="229"/>
        <v>25842.063932698598</v>
      </c>
      <c r="EB81" s="356">
        <f t="shared" si="229"/>
        <v>25842.063932698598</v>
      </c>
      <c r="EC81" s="356">
        <f t="shared" si="229"/>
        <v>25842.063932698598</v>
      </c>
      <c r="ED81" s="356">
        <f t="shared" si="229"/>
        <v>25842.063932698598</v>
      </c>
      <c r="EE81" s="356">
        <f t="shared" ref="EE81:FJ81" si="230">ED81-EE75</f>
        <v>25842.063932698598</v>
      </c>
      <c r="EF81" s="356">
        <f t="shared" si="230"/>
        <v>25842.063932698598</v>
      </c>
      <c r="EG81" s="356">
        <f t="shared" si="230"/>
        <v>25842.063932698598</v>
      </c>
      <c r="EH81" s="356">
        <f t="shared" si="230"/>
        <v>25842.063932698598</v>
      </c>
      <c r="EI81" s="356">
        <f t="shared" si="230"/>
        <v>25842.063932698598</v>
      </c>
      <c r="EJ81" s="356">
        <f t="shared" si="230"/>
        <v>25842.063932698598</v>
      </c>
      <c r="EK81" s="356">
        <f t="shared" si="230"/>
        <v>25842.063932698598</v>
      </c>
      <c r="EL81" s="356">
        <f t="shared" si="230"/>
        <v>25842.063932698598</v>
      </c>
      <c r="EM81" s="356">
        <f t="shared" si="230"/>
        <v>25842.063932698598</v>
      </c>
      <c r="EN81" s="356">
        <f t="shared" si="230"/>
        <v>25842.063932698598</v>
      </c>
      <c r="EO81" s="356">
        <f t="shared" si="230"/>
        <v>25842.063932698598</v>
      </c>
      <c r="EP81" s="356">
        <f t="shared" si="230"/>
        <v>25842.063932698598</v>
      </c>
      <c r="EQ81" s="356">
        <f t="shared" si="230"/>
        <v>25842.063932698598</v>
      </c>
      <c r="ER81" s="356">
        <f t="shared" si="230"/>
        <v>25842.063932698598</v>
      </c>
      <c r="ES81" s="356">
        <f t="shared" si="230"/>
        <v>25842.063932698598</v>
      </c>
      <c r="ET81" s="356">
        <f t="shared" si="230"/>
        <v>25842.063932698598</v>
      </c>
      <c r="EU81" s="356">
        <f t="shared" si="230"/>
        <v>25842.063932698598</v>
      </c>
      <c r="EV81" s="356">
        <f t="shared" si="230"/>
        <v>25842.063932698598</v>
      </c>
      <c r="EW81" s="356">
        <f t="shared" si="230"/>
        <v>25842.063932698598</v>
      </c>
      <c r="EX81" s="356">
        <f t="shared" si="230"/>
        <v>25842.063932698598</v>
      </c>
      <c r="EY81" s="356">
        <f t="shared" si="230"/>
        <v>25842.063932698598</v>
      </c>
      <c r="EZ81" s="356">
        <f t="shared" si="230"/>
        <v>25842.063932698598</v>
      </c>
      <c r="FA81" s="356">
        <f t="shared" si="230"/>
        <v>25842.063932698598</v>
      </c>
      <c r="FB81" s="356">
        <f t="shared" si="230"/>
        <v>25842.063932698598</v>
      </c>
      <c r="FC81" s="356">
        <f t="shared" si="230"/>
        <v>25842.063932698598</v>
      </c>
      <c r="FD81" s="356">
        <f t="shared" si="230"/>
        <v>25842.063932698598</v>
      </c>
      <c r="FE81" s="356">
        <f t="shared" si="230"/>
        <v>25842.063932698598</v>
      </c>
      <c r="FF81" s="356">
        <f t="shared" si="230"/>
        <v>25842.063932698598</v>
      </c>
      <c r="FG81" s="356">
        <f t="shared" si="230"/>
        <v>25842.063932698598</v>
      </c>
      <c r="FH81" s="356">
        <f t="shared" si="230"/>
        <v>25842.063932698598</v>
      </c>
      <c r="FI81" s="356">
        <f t="shared" si="230"/>
        <v>25842.063932698598</v>
      </c>
      <c r="FJ81" s="356">
        <f t="shared" si="230"/>
        <v>25842.063932698598</v>
      </c>
      <c r="FK81" s="356">
        <f t="shared" ref="FK81:GD81" si="231">FJ81-FK75</f>
        <v>25842.063932698598</v>
      </c>
      <c r="FL81" s="356">
        <f t="shared" si="231"/>
        <v>25842.063932698598</v>
      </c>
      <c r="FM81" s="356">
        <f t="shared" si="231"/>
        <v>25842.063932698598</v>
      </c>
      <c r="FN81" s="356">
        <f t="shared" si="231"/>
        <v>25842.063932698598</v>
      </c>
      <c r="FO81" s="356">
        <f t="shared" si="231"/>
        <v>25842.063932698598</v>
      </c>
      <c r="FP81" s="356">
        <f t="shared" si="231"/>
        <v>25842.063932698598</v>
      </c>
      <c r="FQ81" s="356">
        <f t="shared" si="231"/>
        <v>25842.063932698598</v>
      </c>
      <c r="FR81" s="356">
        <f t="shared" si="231"/>
        <v>25842.063932698598</v>
      </c>
      <c r="FS81" s="356">
        <f t="shared" si="231"/>
        <v>25842.063932698598</v>
      </c>
      <c r="FT81" s="356">
        <f t="shared" si="231"/>
        <v>25842.063932698598</v>
      </c>
      <c r="FU81" s="356">
        <f t="shared" si="231"/>
        <v>25842.063932698598</v>
      </c>
      <c r="FV81" s="356">
        <f t="shared" si="231"/>
        <v>25842.063932698598</v>
      </c>
      <c r="FW81" s="356">
        <f t="shared" si="231"/>
        <v>25842.063932698598</v>
      </c>
      <c r="FX81" s="356">
        <f t="shared" si="231"/>
        <v>25842.063932698598</v>
      </c>
      <c r="FY81" s="356">
        <f t="shared" si="231"/>
        <v>25842.063932698598</v>
      </c>
      <c r="FZ81" s="356">
        <f t="shared" si="231"/>
        <v>25842.063932698598</v>
      </c>
      <c r="GA81" s="356">
        <f t="shared" si="231"/>
        <v>25842.063932698598</v>
      </c>
      <c r="GB81" s="356">
        <f t="shared" si="231"/>
        <v>25842.063932698598</v>
      </c>
      <c r="GC81" s="356">
        <f t="shared" si="231"/>
        <v>25842.063932698598</v>
      </c>
      <c r="GD81" s="356">
        <f t="shared" si="231"/>
        <v>25842.063932698598</v>
      </c>
      <c r="GE81" s="356">
        <f t="shared" ref="GE81:GM81" si="232">GD81-GE75</f>
        <v>25842.063932698598</v>
      </c>
      <c r="GF81" s="356">
        <f t="shared" si="232"/>
        <v>25842.063932698598</v>
      </c>
      <c r="GG81" s="356">
        <f t="shared" si="232"/>
        <v>25842.063932698598</v>
      </c>
      <c r="GH81" s="356">
        <f t="shared" si="232"/>
        <v>25842.063932698598</v>
      </c>
      <c r="GI81" s="356">
        <f t="shared" si="232"/>
        <v>25842.063932698598</v>
      </c>
      <c r="GJ81" s="356">
        <f t="shared" si="232"/>
        <v>25842.063932698598</v>
      </c>
      <c r="GK81" s="356">
        <f t="shared" si="232"/>
        <v>25842.063932698598</v>
      </c>
      <c r="GL81" s="356">
        <f t="shared" si="232"/>
        <v>25842.063932698598</v>
      </c>
      <c r="GM81" s="356">
        <f t="shared" si="232"/>
        <v>25842.063932698598</v>
      </c>
      <c r="GN81" s="356"/>
      <c r="GO81" s="356"/>
      <c r="GP81" s="356"/>
      <c r="GQ81" s="63"/>
      <c r="GR81" s="63"/>
      <c r="GS81" s="63"/>
      <c r="GT81" s="63"/>
      <c r="GU81" s="63"/>
      <c r="GV81" s="63"/>
      <c r="GW81" s="63"/>
      <c r="GX81" s="63"/>
      <c r="GY81" s="63"/>
      <c r="GZ81" s="63"/>
      <c r="HA81" s="63"/>
      <c r="HB81" s="63"/>
      <c r="HC81" s="63"/>
      <c r="HD81" s="63"/>
      <c r="HE81" s="63"/>
      <c r="HF81" s="63"/>
      <c r="HG81" s="63"/>
      <c r="HH81" s="63"/>
      <c r="HI81" s="63"/>
      <c r="HJ81" s="63"/>
      <c r="HK81" s="63"/>
      <c r="HL81" s="63"/>
      <c r="HM81" s="63"/>
      <c r="HN81" s="63"/>
      <c r="HO81" s="63"/>
      <c r="HP81" s="63"/>
      <c r="HQ81" s="63"/>
      <c r="HR81" s="63"/>
      <c r="HS81" s="63"/>
      <c r="HT81" s="63"/>
      <c r="HU81" s="63"/>
      <c r="HV81" s="63"/>
      <c r="HW81" s="63"/>
      <c r="HX81" s="63"/>
      <c r="HY81" s="63"/>
      <c r="HZ81" s="63"/>
      <c r="IA81" s="63"/>
      <c r="IB81" s="63"/>
      <c r="IC81" s="63"/>
      <c r="ID81" s="63"/>
      <c r="IE81" s="63"/>
      <c r="IF81" s="63"/>
      <c r="IG81" s="63"/>
      <c r="IH81" s="63"/>
      <c r="II81" s="63"/>
      <c r="IJ81" s="63"/>
      <c r="IK81" s="63"/>
      <c r="IL81" s="63"/>
      <c r="IM81" s="63"/>
      <c r="IN81" s="63"/>
      <c r="IO81" s="63"/>
      <c r="IP81" s="63"/>
      <c r="IQ81" s="63"/>
      <c r="IR81" s="63"/>
      <c r="IS81" s="63"/>
      <c r="IT81" s="63"/>
      <c r="IU81" s="63"/>
      <c r="IV81" s="63"/>
      <c r="IW81" s="63"/>
      <c r="IX81" s="63"/>
      <c r="IY81" s="63"/>
      <c r="IZ81" s="63"/>
      <c r="JA81" s="63"/>
      <c r="JB81" s="63"/>
      <c r="JC81" s="63"/>
      <c r="JD81" s="63"/>
      <c r="JE81" s="63"/>
      <c r="JF81" s="63"/>
      <c r="JG81" s="63"/>
      <c r="JH81" s="63"/>
      <c r="JI81" s="63"/>
      <c r="JJ81" s="63"/>
      <c r="JK81" s="63"/>
      <c r="JL81" s="63"/>
      <c r="JM81" s="63"/>
      <c r="JN81" s="63"/>
      <c r="JO81" s="63"/>
      <c r="JP81" s="63"/>
      <c r="JQ81" s="63"/>
      <c r="JR81" s="63"/>
      <c r="JS81" s="63"/>
      <c r="JT81" s="63"/>
      <c r="JU81" s="63"/>
      <c r="JV81" s="63"/>
      <c r="JW81" s="63"/>
      <c r="JX81" s="63"/>
      <c r="JY81" s="63"/>
      <c r="JZ81" s="63"/>
      <c r="KA81" s="63"/>
      <c r="KB81" s="63"/>
      <c r="KC81" s="63"/>
      <c r="KD81" s="63"/>
      <c r="KE81" s="63"/>
      <c r="KF81" s="63"/>
      <c r="KG81" s="63"/>
      <c r="KH81" s="63"/>
      <c r="KI81" s="63"/>
      <c r="KJ81" s="63"/>
      <c r="KK81" s="63"/>
      <c r="KL81" s="63"/>
      <c r="KM81" s="63"/>
      <c r="KN81" s="63"/>
      <c r="KO81" s="63"/>
      <c r="KP81" s="63"/>
      <c r="KQ81" s="63"/>
      <c r="KR81" s="63"/>
      <c r="KS81" s="63"/>
      <c r="KT81" s="63"/>
      <c r="KU81" s="63"/>
      <c r="KV81" s="63"/>
      <c r="KW81" s="63"/>
      <c r="KX81" s="63"/>
      <c r="KY81" s="63"/>
      <c r="KZ81" s="63"/>
      <c r="LA81" s="63"/>
      <c r="LB81" s="63"/>
      <c r="LC81" s="63"/>
      <c r="LD81" s="63"/>
      <c r="LE81" s="63"/>
      <c r="LF81" s="63"/>
      <c r="LG81" s="63"/>
      <c r="LH81" s="63"/>
      <c r="LI81" s="63"/>
      <c r="LJ81" s="63"/>
      <c r="LK81" s="63"/>
      <c r="LL81" s="63"/>
      <c r="LM81" s="63"/>
      <c r="LN81" s="63"/>
      <c r="LO81" s="63"/>
      <c r="LP81" s="63"/>
      <c r="LQ81" s="63"/>
      <c r="LR81" s="63"/>
      <c r="LS81" s="63"/>
      <c r="LT81" s="63"/>
      <c r="LU81" s="63"/>
      <c r="LV81" s="63"/>
      <c r="LW81" s="63"/>
      <c r="LX81" s="63"/>
      <c r="LY81" s="63"/>
      <c r="LZ81" s="63"/>
      <c r="MA81" s="63"/>
      <c r="MB81" s="63"/>
      <c r="MC81" s="63"/>
      <c r="MD81" s="63"/>
      <c r="ME81" s="63"/>
      <c r="MF81" s="63"/>
      <c r="MG81" s="63"/>
      <c r="MH81" s="63"/>
      <c r="MI81" s="63"/>
      <c r="MJ81" s="63"/>
      <c r="MK81" s="63"/>
      <c r="ML81" s="63"/>
      <c r="MM81" s="63"/>
      <c r="MN81" s="63"/>
      <c r="MO81" s="63"/>
      <c r="MP81" s="63"/>
      <c r="MQ81" s="63"/>
      <c r="MR81" s="63"/>
      <c r="MS81" s="63"/>
      <c r="MT81" s="63"/>
      <c r="MU81" s="63"/>
      <c r="MV81" s="63"/>
      <c r="MW81" s="63"/>
      <c r="MX81" s="63"/>
      <c r="MY81" s="63"/>
      <c r="MZ81" s="63"/>
      <c r="NA81" s="63"/>
      <c r="NB81" s="63"/>
    </row>
    <row r="82" spans="2:366" ht="16" customHeight="1" x14ac:dyDescent="0.15">
      <c r="B82" t="s">
        <v>288</v>
      </c>
      <c r="C82" s="376" t="s">
        <v>150</v>
      </c>
      <c r="E82"/>
      <c r="F82" s="27">
        <f>SUM(F80:F81)</f>
        <v>426040</v>
      </c>
      <c r="G82" s="27">
        <f>SUM(G80:G81)</f>
        <v>376861.29360684735</v>
      </c>
      <c r="H82" s="27">
        <f t="shared" ref="H82:BS82" si="233">SUM(H80:H81)</f>
        <v>327443.20737358788</v>
      </c>
      <c r="I82" s="27">
        <f t="shared" si="233"/>
        <v>277784.57610674552</v>
      </c>
      <c r="J82" s="27">
        <f t="shared" si="233"/>
        <v>227884.22894120606</v>
      </c>
      <c r="K82" s="27">
        <f t="shared" si="233"/>
        <v>177740.98931261018</v>
      </c>
      <c r="L82" s="27">
        <f t="shared" si="233"/>
        <v>127353.674929612</v>
      </c>
      <c r="M82" s="27">
        <f t="shared" si="233"/>
        <v>76721.097746002721</v>
      </c>
      <c r="N82" s="27">
        <f t="shared" si="233"/>
        <v>25842.063932698598</v>
      </c>
      <c r="O82" s="27">
        <f t="shared" si="233"/>
        <v>25842.063932698598</v>
      </c>
      <c r="P82" s="27">
        <f t="shared" si="233"/>
        <v>25842.063932698598</v>
      </c>
      <c r="Q82" s="27">
        <f t="shared" si="233"/>
        <v>25842.063932698598</v>
      </c>
      <c r="R82" s="27">
        <f t="shared" si="233"/>
        <v>25842.063932698598</v>
      </c>
      <c r="S82" s="27">
        <f t="shared" si="233"/>
        <v>25842.063932698598</v>
      </c>
      <c r="T82" s="27">
        <f t="shared" si="233"/>
        <v>25842.063932698598</v>
      </c>
      <c r="U82" s="27">
        <f t="shared" si="233"/>
        <v>25842.063932698598</v>
      </c>
      <c r="V82" s="27">
        <f t="shared" si="233"/>
        <v>25842.063932698598</v>
      </c>
      <c r="W82" s="27">
        <f t="shared" si="233"/>
        <v>25842.063932698598</v>
      </c>
      <c r="X82" s="27">
        <f t="shared" si="233"/>
        <v>25842.063932698598</v>
      </c>
      <c r="Y82" s="27">
        <f t="shared" si="233"/>
        <v>25842.063932698598</v>
      </c>
      <c r="Z82" s="27">
        <f t="shared" si="233"/>
        <v>25842.063932698598</v>
      </c>
      <c r="AA82" s="27">
        <f t="shared" si="233"/>
        <v>25842.063932698598</v>
      </c>
      <c r="AB82" s="27">
        <f t="shared" si="233"/>
        <v>25842.063932698598</v>
      </c>
      <c r="AC82" s="27">
        <f t="shared" si="233"/>
        <v>25842.063932698598</v>
      </c>
      <c r="AD82" s="27">
        <f t="shared" si="233"/>
        <v>25842.063932698598</v>
      </c>
      <c r="AE82" s="27">
        <f t="shared" si="233"/>
        <v>25842.063932698598</v>
      </c>
      <c r="AF82" s="27">
        <f t="shared" si="233"/>
        <v>25842.063932698598</v>
      </c>
      <c r="AG82" s="27">
        <f t="shared" si="233"/>
        <v>25842.063932698598</v>
      </c>
      <c r="AH82" s="27">
        <f t="shared" si="233"/>
        <v>25842.063932698598</v>
      </c>
      <c r="AI82" s="27">
        <f t="shared" si="233"/>
        <v>25842.063932698598</v>
      </c>
      <c r="AJ82" s="27">
        <f t="shared" si="233"/>
        <v>25842.063932698598</v>
      </c>
      <c r="AK82" s="27">
        <f t="shared" si="233"/>
        <v>25842.063932698598</v>
      </c>
      <c r="AL82" s="27">
        <f t="shared" si="233"/>
        <v>25842.063932698598</v>
      </c>
      <c r="AM82" s="27">
        <f t="shared" si="233"/>
        <v>25842.063932698598</v>
      </c>
      <c r="AN82" s="27">
        <f t="shared" si="233"/>
        <v>25842.063932698598</v>
      </c>
      <c r="AO82" s="27">
        <f t="shared" si="233"/>
        <v>25842.063932698598</v>
      </c>
      <c r="AP82" s="27">
        <f t="shared" si="233"/>
        <v>25842.063932698598</v>
      </c>
      <c r="AQ82" s="27">
        <f t="shared" si="233"/>
        <v>25842.063932698598</v>
      </c>
      <c r="AR82" s="27">
        <f t="shared" si="233"/>
        <v>25842.063932698598</v>
      </c>
      <c r="AS82" s="27">
        <f t="shared" si="233"/>
        <v>25842.063932698598</v>
      </c>
      <c r="AT82" s="27">
        <f t="shared" si="233"/>
        <v>25842.063932698598</v>
      </c>
      <c r="AU82" s="27">
        <f t="shared" si="233"/>
        <v>25842.063932698598</v>
      </c>
      <c r="AV82" s="27">
        <f t="shared" si="233"/>
        <v>25842.063932698598</v>
      </c>
      <c r="AW82" s="27">
        <f t="shared" si="233"/>
        <v>25842.063932698598</v>
      </c>
      <c r="AX82" s="27">
        <f t="shared" si="233"/>
        <v>25842.063932698598</v>
      </c>
      <c r="AY82" s="27">
        <f t="shared" si="233"/>
        <v>25842.063932698598</v>
      </c>
      <c r="AZ82" s="27">
        <f t="shared" si="233"/>
        <v>25842.063932698598</v>
      </c>
      <c r="BA82" s="27">
        <f t="shared" si="233"/>
        <v>25842.063932698598</v>
      </c>
      <c r="BB82" s="27">
        <f t="shared" si="233"/>
        <v>25842.063932698598</v>
      </c>
      <c r="BC82" s="27">
        <f t="shared" si="233"/>
        <v>25842.063932698598</v>
      </c>
      <c r="BD82" s="27">
        <f t="shared" si="233"/>
        <v>25842.063932698598</v>
      </c>
      <c r="BE82" s="27">
        <f t="shared" si="233"/>
        <v>25842.063932698598</v>
      </c>
      <c r="BF82" s="27">
        <f t="shared" si="233"/>
        <v>25842.063932698598</v>
      </c>
      <c r="BG82" s="27">
        <f t="shared" si="233"/>
        <v>25842.063932698598</v>
      </c>
      <c r="BH82" s="27">
        <f t="shared" si="233"/>
        <v>25842.063932698598</v>
      </c>
      <c r="BI82" s="27">
        <f t="shared" si="233"/>
        <v>25842.063932698598</v>
      </c>
      <c r="BJ82" s="27">
        <f t="shared" si="233"/>
        <v>25842.063932698598</v>
      </c>
      <c r="BK82" s="27">
        <f t="shared" si="233"/>
        <v>25842.063932698598</v>
      </c>
      <c r="BL82" s="27">
        <f t="shared" si="233"/>
        <v>25842.063932698598</v>
      </c>
      <c r="BM82" s="27">
        <f t="shared" si="233"/>
        <v>25842.063932698598</v>
      </c>
      <c r="BN82" s="27">
        <f t="shared" si="233"/>
        <v>25842.063932698598</v>
      </c>
      <c r="BO82" s="27">
        <f t="shared" si="233"/>
        <v>25842.063932698598</v>
      </c>
      <c r="BP82" s="27">
        <f t="shared" si="233"/>
        <v>25842.063932698598</v>
      </c>
      <c r="BQ82" s="27">
        <f t="shared" si="233"/>
        <v>25842.063932698598</v>
      </c>
      <c r="BR82" s="27">
        <f t="shared" si="233"/>
        <v>25842.063932698598</v>
      </c>
      <c r="BS82" s="27">
        <f t="shared" si="233"/>
        <v>25842.063932698598</v>
      </c>
      <c r="BT82" s="27">
        <f t="shared" ref="BT82:EE82" si="234">SUM(BT80:BT81)</f>
        <v>25842.063932698598</v>
      </c>
      <c r="BU82" s="27">
        <f t="shared" si="234"/>
        <v>25842.063932698598</v>
      </c>
      <c r="BV82" s="27">
        <f t="shared" si="234"/>
        <v>25842.063932698598</v>
      </c>
      <c r="BW82" s="27">
        <f t="shared" si="234"/>
        <v>25842.063932698598</v>
      </c>
      <c r="BX82" s="27">
        <f t="shared" si="234"/>
        <v>25842.063932698598</v>
      </c>
      <c r="BY82" s="27">
        <f t="shared" si="234"/>
        <v>25842.063932698598</v>
      </c>
      <c r="BZ82" s="27">
        <f t="shared" si="234"/>
        <v>25842.063932698598</v>
      </c>
      <c r="CA82" s="27">
        <f t="shared" si="234"/>
        <v>25842.063932698598</v>
      </c>
      <c r="CB82" s="27">
        <f t="shared" si="234"/>
        <v>25842.063932698598</v>
      </c>
      <c r="CC82" s="27">
        <f t="shared" si="234"/>
        <v>25842.063932698598</v>
      </c>
      <c r="CD82" s="27">
        <f t="shared" si="234"/>
        <v>25842.063932698598</v>
      </c>
      <c r="CE82" s="27">
        <f t="shared" si="234"/>
        <v>25842.063932698598</v>
      </c>
      <c r="CF82" s="27">
        <f t="shared" si="234"/>
        <v>25842.063932698598</v>
      </c>
      <c r="CG82" s="27">
        <f t="shared" si="234"/>
        <v>25842.063932698598</v>
      </c>
      <c r="CH82" s="27">
        <f t="shared" si="234"/>
        <v>25842.063932698598</v>
      </c>
      <c r="CI82" s="27">
        <f t="shared" si="234"/>
        <v>25842.063932698598</v>
      </c>
      <c r="CJ82" s="27">
        <f t="shared" si="234"/>
        <v>25842.063932698598</v>
      </c>
      <c r="CK82" s="27">
        <f t="shared" si="234"/>
        <v>25842.063932698598</v>
      </c>
      <c r="CL82" s="27">
        <f t="shared" si="234"/>
        <v>25842.063932698598</v>
      </c>
      <c r="CM82" s="27">
        <f t="shared" si="234"/>
        <v>25842.063932698598</v>
      </c>
      <c r="CN82" s="27">
        <f t="shared" si="234"/>
        <v>25842.063932698598</v>
      </c>
      <c r="CO82" s="27">
        <f t="shared" si="234"/>
        <v>25842.063932698598</v>
      </c>
      <c r="CP82" s="27">
        <f t="shared" si="234"/>
        <v>25842.063932698598</v>
      </c>
      <c r="CQ82" s="27">
        <f t="shared" si="234"/>
        <v>25842.063932698598</v>
      </c>
      <c r="CR82" s="27">
        <f t="shared" si="234"/>
        <v>25842.063932698598</v>
      </c>
      <c r="CS82" s="27">
        <f t="shared" si="234"/>
        <v>25842.063932698598</v>
      </c>
      <c r="CT82" s="27">
        <f t="shared" si="234"/>
        <v>25842.063932698598</v>
      </c>
      <c r="CU82" s="27">
        <f t="shared" si="234"/>
        <v>25842.063932698598</v>
      </c>
      <c r="CV82" s="27">
        <f t="shared" si="234"/>
        <v>25842.063932698598</v>
      </c>
      <c r="CW82" s="27">
        <f t="shared" si="234"/>
        <v>25842.063932698598</v>
      </c>
      <c r="CX82" s="27">
        <f t="shared" si="234"/>
        <v>25842.063932698598</v>
      </c>
      <c r="CY82" s="27">
        <f t="shared" si="234"/>
        <v>25842.063932698598</v>
      </c>
      <c r="CZ82" s="27">
        <f t="shared" si="234"/>
        <v>25842.063932698598</v>
      </c>
      <c r="DA82" s="27">
        <f t="shared" si="234"/>
        <v>25842.063932698598</v>
      </c>
      <c r="DB82" s="27">
        <f t="shared" si="234"/>
        <v>25842.063932698598</v>
      </c>
      <c r="DC82" s="27">
        <f t="shared" si="234"/>
        <v>25842.063932698598</v>
      </c>
      <c r="DD82" s="27">
        <f t="shared" si="234"/>
        <v>25842.063932698598</v>
      </c>
      <c r="DE82" s="27">
        <f t="shared" si="234"/>
        <v>25842.063932698598</v>
      </c>
      <c r="DF82" s="27">
        <f t="shared" si="234"/>
        <v>25842.063932698598</v>
      </c>
      <c r="DG82" s="27">
        <f t="shared" si="234"/>
        <v>25842.063932698598</v>
      </c>
      <c r="DH82" s="27">
        <f t="shared" si="234"/>
        <v>25842.063932698598</v>
      </c>
      <c r="DI82" s="27">
        <f t="shared" si="234"/>
        <v>25842.063932698598</v>
      </c>
      <c r="DJ82" s="27">
        <f t="shared" si="234"/>
        <v>25842.063932698598</v>
      </c>
      <c r="DK82" s="27">
        <f t="shared" si="234"/>
        <v>25842.063932698598</v>
      </c>
      <c r="DL82" s="27">
        <f t="shared" si="234"/>
        <v>25842.063932698598</v>
      </c>
      <c r="DM82" s="27">
        <f t="shared" si="234"/>
        <v>25842.063932698598</v>
      </c>
      <c r="DN82" s="27">
        <f t="shared" si="234"/>
        <v>25842.063932698598</v>
      </c>
      <c r="DO82" s="27">
        <f t="shared" si="234"/>
        <v>25842.063932698598</v>
      </c>
      <c r="DP82" s="27">
        <f t="shared" si="234"/>
        <v>25842.063932698598</v>
      </c>
      <c r="DQ82" s="27">
        <f t="shared" si="234"/>
        <v>25842.063932698598</v>
      </c>
      <c r="DR82" s="27">
        <f t="shared" si="234"/>
        <v>25842.063932698598</v>
      </c>
      <c r="DS82" s="27">
        <f t="shared" si="234"/>
        <v>25842.063932698598</v>
      </c>
      <c r="DT82" s="27">
        <f t="shared" si="234"/>
        <v>25842.063932698598</v>
      </c>
      <c r="DU82" s="27">
        <f t="shared" si="234"/>
        <v>25842.063932698598</v>
      </c>
      <c r="DV82" s="27">
        <f t="shared" si="234"/>
        <v>25842.063932698598</v>
      </c>
      <c r="DW82" s="27">
        <f t="shared" si="234"/>
        <v>25842.063932698598</v>
      </c>
      <c r="DX82" s="27">
        <f t="shared" si="234"/>
        <v>25842.063932698598</v>
      </c>
      <c r="DY82" s="27">
        <f t="shared" si="234"/>
        <v>25842.063932698598</v>
      </c>
      <c r="DZ82" s="27">
        <f t="shared" si="234"/>
        <v>25842.063932698598</v>
      </c>
      <c r="EA82" s="27">
        <f t="shared" si="234"/>
        <v>25842.063932698598</v>
      </c>
      <c r="EB82" s="27">
        <f t="shared" si="234"/>
        <v>25842.063932698598</v>
      </c>
      <c r="EC82" s="27">
        <f t="shared" si="234"/>
        <v>25842.063932698598</v>
      </c>
      <c r="ED82" s="27">
        <f t="shared" si="234"/>
        <v>25842.063932698598</v>
      </c>
      <c r="EE82" s="27">
        <f t="shared" si="234"/>
        <v>25842.063932698598</v>
      </c>
      <c r="EF82" s="27">
        <f t="shared" ref="EF82:GD82" si="235">SUM(EF80:EF81)</f>
        <v>25842.063932698598</v>
      </c>
      <c r="EG82" s="27">
        <f t="shared" si="235"/>
        <v>25842.063932698598</v>
      </c>
      <c r="EH82" s="27">
        <f t="shared" si="235"/>
        <v>25842.063932698598</v>
      </c>
      <c r="EI82" s="27">
        <f t="shared" si="235"/>
        <v>25842.063932698598</v>
      </c>
      <c r="EJ82" s="27">
        <f t="shared" si="235"/>
        <v>25842.063932698598</v>
      </c>
      <c r="EK82" s="27">
        <f t="shared" si="235"/>
        <v>25842.063932698598</v>
      </c>
      <c r="EL82" s="27">
        <f t="shared" si="235"/>
        <v>25842.063932698598</v>
      </c>
      <c r="EM82" s="27">
        <f t="shared" si="235"/>
        <v>25842.063932698598</v>
      </c>
      <c r="EN82" s="27">
        <f t="shared" si="235"/>
        <v>25842.063932698598</v>
      </c>
      <c r="EO82" s="27">
        <f t="shared" si="235"/>
        <v>25842.063932698598</v>
      </c>
      <c r="EP82" s="27">
        <f t="shared" si="235"/>
        <v>25842.063932698598</v>
      </c>
      <c r="EQ82" s="27">
        <f t="shared" si="235"/>
        <v>25842.063932698598</v>
      </c>
      <c r="ER82" s="27">
        <f t="shared" si="235"/>
        <v>25842.063932698598</v>
      </c>
      <c r="ES82" s="27">
        <f t="shared" si="235"/>
        <v>25842.063932698598</v>
      </c>
      <c r="ET82" s="27">
        <f t="shared" si="235"/>
        <v>25842.063932698598</v>
      </c>
      <c r="EU82" s="27">
        <f t="shared" si="235"/>
        <v>25842.063932698598</v>
      </c>
      <c r="EV82" s="27">
        <f t="shared" si="235"/>
        <v>25842.063932698598</v>
      </c>
      <c r="EW82" s="27">
        <f t="shared" si="235"/>
        <v>25842.063932698598</v>
      </c>
      <c r="EX82" s="27">
        <f t="shared" si="235"/>
        <v>25842.063932698598</v>
      </c>
      <c r="EY82" s="27">
        <f t="shared" si="235"/>
        <v>25842.063932698598</v>
      </c>
      <c r="EZ82" s="27">
        <f t="shared" si="235"/>
        <v>25842.063932698598</v>
      </c>
      <c r="FA82" s="27">
        <f t="shared" si="235"/>
        <v>25842.063932698598</v>
      </c>
      <c r="FB82" s="27">
        <f t="shared" si="235"/>
        <v>25842.063932698598</v>
      </c>
      <c r="FC82" s="27">
        <f t="shared" si="235"/>
        <v>25842.063932698598</v>
      </c>
      <c r="FD82" s="27">
        <f t="shared" si="235"/>
        <v>25842.063932698598</v>
      </c>
      <c r="FE82" s="27">
        <f t="shared" si="235"/>
        <v>25842.063932698598</v>
      </c>
      <c r="FF82" s="27">
        <f t="shared" si="235"/>
        <v>25842.063932698598</v>
      </c>
      <c r="FG82" s="27">
        <f t="shared" si="235"/>
        <v>25842.063932698598</v>
      </c>
      <c r="FH82" s="27">
        <f t="shared" si="235"/>
        <v>25842.063932698598</v>
      </c>
      <c r="FI82" s="27">
        <f t="shared" si="235"/>
        <v>25842.063932698598</v>
      </c>
      <c r="FJ82" s="27">
        <f t="shared" si="235"/>
        <v>25842.063932698598</v>
      </c>
      <c r="FK82" s="27">
        <f t="shared" si="235"/>
        <v>25842.063932698598</v>
      </c>
      <c r="FL82" s="27">
        <f t="shared" si="235"/>
        <v>25842.063932698598</v>
      </c>
      <c r="FM82" s="27">
        <f t="shared" si="235"/>
        <v>25842.063932698598</v>
      </c>
      <c r="FN82" s="27">
        <f t="shared" si="235"/>
        <v>25842.063932698598</v>
      </c>
      <c r="FO82" s="27">
        <f t="shared" si="235"/>
        <v>25842.063932698598</v>
      </c>
      <c r="FP82" s="27">
        <f t="shared" si="235"/>
        <v>25842.063932698598</v>
      </c>
      <c r="FQ82" s="27">
        <f t="shared" si="235"/>
        <v>25842.063932698598</v>
      </c>
      <c r="FR82" s="27">
        <f t="shared" si="235"/>
        <v>25842.063932698598</v>
      </c>
      <c r="FS82" s="27">
        <f t="shared" si="235"/>
        <v>25842.063932698598</v>
      </c>
      <c r="FT82" s="27">
        <f t="shared" si="235"/>
        <v>25842.063932698598</v>
      </c>
      <c r="FU82" s="27">
        <f t="shared" si="235"/>
        <v>25842.063932698598</v>
      </c>
      <c r="FV82" s="27">
        <f t="shared" si="235"/>
        <v>25842.063932698598</v>
      </c>
      <c r="FW82" s="27">
        <f t="shared" si="235"/>
        <v>25842.063932698598</v>
      </c>
      <c r="FX82" s="27">
        <f t="shared" si="235"/>
        <v>25842.063932698598</v>
      </c>
      <c r="FY82" s="27">
        <f t="shared" si="235"/>
        <v>25842.063932698598</v>
      </c>
      <c r="FZ82" s="27">
        <f t="shared" si="235"/>
        <v>25842.063932698598</v>
      </c>
      <c r="GA82" s="27">
        <f t="shared" si="235"/>
        <v>25842.063932698598</v>
      </c>
      <c r="GB82" s="27">
        <f t="shared" si="235"/>
        <v>25842.063932698598</v>
      </c>
      <c r="GC82" s="27">
        <f t="shared" si="235"/>
        <v>25842.063932698598</v>
      </c>
      <c r="GD82" s="27">
        <f t="shared" si="235"/>
        <v>25842.063932698598</v>
      </c>
      <c r="GE82" s="27">
        <f t="shared" ref="GE82" si="236">SUM(GE80:GE81)</f>
        <v>25842.063932698598</v>
      </c>
      <c r="GF82" s="27">
        <f t="shared" ref="GF82" si="237">SUM(GF80:GF81)</f>
        <v>25842.063932698598</v>
      </c>
      <c r="GG82" s="27">
        <f t="shared" ref="GG82" si="238">SUM(GG80:GG81)</f>
        <v>25842.063932698598</v>
      </c>
      <c r="GH82" s="27">
        <f t="shared" ref="GH82" si="239">SUM(GH80:GH81)</f>
        <v>25842.063932698598</v>
      </c>
      <c r="GI82" s="27">
        <f t="shared" ref="GI82" si="240">SUM(GI80:GI81)</f>
        <v>25842.063932698598</v>
      </c>
      <c r="GJ82" s="27">
        <f t="shared" ref="GJ82" si="241">SUM(GJ80:GJ81)</f>
        <v>25842.063932698598</v>
      </c>
      <c r="GK82" s="27">
        <f t="shared" ref="GK82" si="242">SUM(GK80:GK81)</f>
        <v>25842.063932698598</v>
      </c>
      <c r="GL82" s="27">
        <f t="shared" ref="GL82" si="243">SUM(GL80:GL81)</f>
        <v>25842.063932698598</v>
      </c>
      <c r="GM82" s="27">
        <f t="shared" ref="GM82" si="244">SUM(GM80:GM81)</f>
        <v>25842.063932698598</v>
      </c>
      <c r="GN82" s="27"/>
      <c r="GO82" s="27"/>
      <c r="GP82" s="27"/>
      <c r="GQ82" s="63"/>
      <c r="GR82" s="63"/>
      <c r="GS82" s="63"/>
      <c r="GT82" s="63"/>
      <c r="GU82" s="63"/>
      <c r="GV82" s="63"/>
      <c r="GW82" s="63"/>
      <c r="GX82" s="63"/>
      <c r="GY82" s="63"/>
      <c r="GZ82" s="63"/>
      <c r="HA82" s="63"/>
      <c r="HB82" s="63"/>
      <c r="HC82" s="63"/>
      <c r="HD82" s="63"/>
      <c r="HE82" s="63"/>
      <c r="HF82" s="63"/>
      <c r="HG82" s="63"/>
      <c r="HH82" s="63"/>
      <c r="HI82" s="63"/>
      <c r="HJ82" s="63"/>
      <c r="HK82" s="63"/>
      <c r="HL82" s="63"/>
      <c r="HM82" s="63"/>
      <c r="HN82" s="63"/>
      <c r="HO82" s="63"/>
      <c r="HP82" s="63"/>
      <c r="HQ82" s="63"/>
      <c r="HR82" s="63"/>
      <c r="HS82" s="63"/>
      <c r="HT82" s="63"/>
      <c r="HU82" s="63"/>
      <c r="HV82" s="63"/>
      <c r="HW82" s="63"/>
      <c r="HX82" s="63"/>
      <c r="HY82" s="63"/>
      <c r="HZ82" s="63"/>
      <c r="IA82" s="63"/>
      <c r="IB82" s="63"/>
      <c r="IC82" s="63"/>
      <c r="ID82" s="63"/>
      <c r="IE82" s="63"/>
      <c r="IF82" s="63"/>
      <c r="IG82" s="63"/>
      <c r="IH82" s="63"/>
      <c r="II82" s="63"/>
      <c r="IJ82" s="63"/>
      <c r="IK82" s="63"/>
      <c r="IL82" s="63"/>
      <c r="IM82" s="63"/>
      <c r="IN82" s="63"/>
      <c r="IO82" s="63"/>
      <c r="IP82" s="63"/>
      <c r="IQ82" s="63"/>
      <c r="IR82" s="63"/>
      <c r="IS82" s="63"/>
      <c r="IT82" s="63"/>
      <c r="IU82" s="63"/>
      <c r="IV82" s="63"/>
      <c r="IW82" s="63"/>
      <c r="IX82" s="63"/>
      <c r="IY82" s="63"/>
      <c r="IZ82" s="63"/>
      <c r="JA82" s="63"/>
      <c r="JB82" s="63"/>
      <c r="JC82" s="63"/>
      <c r="JD82" s="63"/>
      <c r="JE82" s="63"/>
      <c r="JF82" s="63"/>
      <c r="JG82" s="63"/>
      <c r="JH82" s="63"/>
      <c r="JI82" s="63"/>
      <c r="JJ82" s="63"/>
      <c r="JK82" s="63"/>
      <c r="JL82" s="63"/>
      <c r="JM82" s="63"/>
      <c r="JN82" s="63"/>
      <c r="JO82" s="63"/>
      <c r="JP82" s="63"/>
      <c r="JQ82" s="63"/>
      <c r="JR82" s="63"/>
      <c r="JS82" s="63"/>
      <c r="JT82" s="63"/>
      <c r="JU82" s="63"/>
      <c r="JV82" s="63"/>
      <c r="JW82" s="63"/>
      <c r="JX82" s="63"/>
      <c r="JY82" s="63"/>
      <c r="JZ82" s="63"/>
      <c r="KA82" s="63"/>
      <c r="KB82" s="63"/>
      <c r="KC82" s="63"/>
      <c r="KD82" s="63"/>
      <c r="KE82" s="63"/>
      <c r="KF82" s="63"/>
      <c r="KG82" s="63"/>
      <c r="KH82" s="63"/>
      <c r="KI82" s="63"/>
      <c r="KJ82" s="63"/>
      <c r="KK82" s="63"/>
      <c r="KL82" s="63"/>
      <c r="KM82" s="63"/>
      <c r="KN82" s="63"/>
      <c r="KO82" s="63"/>
      <c r="KP82" s="63"/>
      <c r="KQ82" s="63"/>
      <c r="KR82" s="63"/>
      <c r="KS82" s="63"/>
      <c r="KT82" s="63"/>
      <c r="KU82" s="63"/>
      <c r="KV82" s="63"/>
      <c r="KW82" s="63"/>
      <c r="KX82" s="63"/>
      <c r="KY82" s="63"/>
      <c r="KZ82" s="63"/>
      <c r="LA82" s="63"/>
      <c r="LB82" s="63"/>
      <c r="LC82" s="63"/>
      <c r="LD82" s="63"/>
      <c r="LE82" s="63"/>
      <c r="LF82" s="63"/>
      <c r="LG82" s="63"/>
      <c r="LH82" s="63"/>
      <c r="LI82" s="63"/>
      <c r="LJ82" s="63"/>
      <c r="LK82" s="63"/>
      <c r="LL82" s="63"/>
      <c r="LM82" s="63"/>
      <c r="LN82" s="63"/>
      <c r="LO82" s="63"/>
      <c r="LP82" s="63"/>
      <c r="LQ82" s="63"/>
      <c r="LR82" s="63"/>
      <c r="LS82" s="63"/>
      <c r="LT82" s="63"/>
      <c r="LU82" s="63"/>
      <c r="LV82" s="63"/>
      <c r="LW82" s="63"/>
      <c r="LX82" s="63"/>
      <c r="LY82" s="63"/>
      <c r="LZ82" s="63"/>
      <c r="MA82" s="63"/>
      <c r="MB82" s="63"/>
      <c r="MC82" s="63"/>
      <c r="MD82" s="63"/>
      <c r="ME82" s="63"/>
      <c r="MF82" s="63"/>
      <c r="MG82" s="63"/>
      <c r="MH82" s="63"/>
      <c r="MI82" s="63"/>
      <c r="MJ82" s="63"/>
      <c r="MK82" s="63"/>
      <c r="ML82" s="63"/>
      <c r="MM82" s="63"/>
      <c r="MN82" s="63"/>
      <c r="MO82" s="63"/>
      <c r="MP82" s="63"/>
      <c r="MQ82" s="63"/>
      <c r="MR82" s="63"/>
      <c r="MS82" s="63"/>
      <c r="MT82" s="63"/>
      <c r="MU82" s="63"/>
      <c r="MV82" s="63"/>
      <c r="MW82" s="63"/>
      <c r="MX82" s="63"/>
      <c r="MY82" s="63"/>
      <c r="MZ82" s="63"/>
      <c r="NA82" s="63"/>
      <c r="NB82" s="63"/>
    </row>
    <row r="83" spans="2:366" ht="16" customHeight="1" x14ac:dyDescent="0.15">
      <c r="E83"/>
      <c r="GQ83" s="63"/>
      <c r="GR83" s="63"/>
      <c r="GS83" s="63"/>
      <c r="GT83" s="63"/>
      <c r="GU83" s="63"/>
      <c r="GV83" s="63"/>
      <c r="GW83" s="63"/>
      <c r="GX83" s="63"/>
      <c r="GY83" s="63"/>
      <c r="GZ83" s="63"/>
      <c r="HA83" s="63"/>
      <c r="HB83" s="63"/>
      <c r="HC83" s="63"/>
      <c r="HD83" s="63"/>
      <c r="HE83" s="63"/>
      <c r="HF83" s="63"/>
      <c r="HG83" s="63"/>
      <c r="HH83" s="63"/>
      <c r="HI83" s="63"/>
      <c r="HJ83" s="63"/>
      <c r="HK83" s="63"/>
      <c r="HL83" s="63"/>
      <c r="HM83" s="63"/>
      <c r="HN83" s="63"/>
      <c r="HO83" s="63"/>
      <c r="HP83" s="63"/>
      <c r="HQ83" s="63"/>
      <c r="HR83" s="63"/>
      <c r="HS83" s="63"/>
      <c r="HT83" s="63"/>
      <c r="HU83" s="63"/>
      <c r="HV83" s="63"/>
      <c r="HW83" s="63"/>
      <c r="HX83" s="63"/>
      <c r="HY83" s="63"/>
      <c r="HZ83" s="63"/>
      <c r="IA83" s="63"/>
      <c r="IB83" s="63"/>
      <c r="IC83" s="63"/>
      <c r="ID83" s="63"/>
      <c r="IE83" s="63"/>
      <c r="IF83" s="63"/>
      <c r="IG83" s="63"/>
      <c r="IH83" s="63"/>
      <c r="II83" s="63"/>
      <c r="IJ83" s="63"/>
      <c r="IK83" s="63"/>
      <c r="IL83" s="63"/>
      <c r="IM83" s="63"/>
      <c r="IN83" s="63"/>
      <c r="IO83" s="63"/>
      <c r="IP83" s="63"/>
      <c r="IQ83" s="63"/>
      <c r="IR83" s="63"/>
      <c r="IS83" s="63"/>
      <c r="IT83" s="63"/>
      <c r="IU83" s="63"/>
      <c r="IV83" s="63"/>
      <c r="IW83" s="63"/>
      <c r="IX83" s="63"/>
      <c r="IY83" s="63"/>
      <c r="IZ83" s="63"/>
      <c r="JA83" s="63"/>
      <c r="JB83" s="63"/>
      <c r="JC83" s="63"/>
      <c r="JD83" s="63"/>
      <c r="JE83" s="63"/>
      <c r="JF83" s="63"/>
      <c r="JG83" s="63"/>
      <c r="JH83" s="63"/>
      <c r="JI83" s="63"/>
      <c r="JJ83" s="63"/>
      <c r="JK83" s="63"/>
      <c r="JL83" s="63"/>
      <c r="JM83" s="63"/>
      <c r="JN83" s="63"/>
      <c r="JO83" s="63"/>
      <c r="JP83" s="63"/>
      <c r="JQ83" s="63"/>
      <c r="JR83" s="63"/>
      <c r="JS83" s="63"/>
      <c r="JT83" s="63"/>
      <c r="JU83" s="63"/>
      <c r="JV83" s="63"/>
      <c r="JW83" s="63"/>
      <c r="JX83" s="63"/>
      <c r="JY83" s="63"/>
      <c r="JZ83" s="63"/>
      <c r="KA83" s="63"/>
      <c r="KB83" s="63"/>
      <c r="KC83" s="63"/>
      <c r="KD83" s="63"/>
      <c r="KE83" s="63"/>
      <c r="KF83" s="63"/>
      <c r="KG83" s="63"/>
      <c r="KH83" s="63"/>
      <c r="KI83" s="63"/>
      <c r="KJ83" s="63"/>
      <c r="KK83" s="63"/>
      <c r="KL83" s="63"/>
      <c r="KM83" s="63"/>
      <c r="KN83" s="63"/>
      <c r="KO83" s="63"/>
      <c r="KP83" s="63"/>
      <c r="KQ83" s="63"/>
      <c r="KR83" s="63"/>
      <c r="KS83" s="63"/>
      <c r="KT83" s="63"/>
      <c r="KU83" s="63"/>
      <c r="KV83" s="63"/>
      <c r="KW83" s="63"/>
      <c r="KX83" s="63"/>
      <c r="KY83" s="63"/>
      <c r="KZ83" s="63"/>
      <c r="LA83" s="63"/>
      <c r="LB83" s="63"/>
      <c r="LC83" s="63"/>
      <c r="LD83" s="63"/>
      <c r="LE83" s="63"/>
      <c r="LF83" s="63"/>
      <c r="LG83" s="63"/>
      <c r="LH83" s="63"/>
      <c r="LI83" s="63"/>
      <c r="LJ83" s="63"/>
      <c r="LK83" s="63"/>
      <c r="LL83" s="63"/>
      <c r="LM83" s="63"/>
      <c r="LN83" s="63"/>
      <c r="LO83" s="63"/>
      <c r="LP83" s="63"/>
      <c r="LQ83" s="63"/>
      <c r="LR83" s="63"/>
      <c r="LS83" s="63"/>
      <c r="LT83" s="63"/>
      <c r="LU83" s="63"/>
      <c r="LV83" s="63"/>
      <c r="LW83" s="63"/>
      <c r="LX83" s="63"/>
      <c r="LY83" s="63"/>
      <c r="LZ83" s="63"/>
      <c r="MA83" s="63"/>
      <c r="MB83" s="63"/>
      <c r="MC83" s="63"/>
      <c r="MD83" s="63"/>
      <c r="ME83" s="63"/>
      <c r="MF83" s="63"/>
      <c r="MG83" s="63"/>
      <c r="MH83" s="63"/>
      <c r="MI83" s="63"/>
      <c r="MJ83" s="63"/>
      <c r="MK83" s="63"/>
      <c r="ML83" s="63"/>
      <c r="MM83" s="63"/>
      <c r="MN83" s="63"/>
      <c r="MO83" s="63"/>
      <c r="MP83" s="63"/>
      <c r="MQ83" s="63"/>
      <c r="MR83" s="63"/>
      <c r="MS83" s="63"/>
      <c r="MT83" s="63"/>
      <c r="MU83" s="63"/>
      <c r="MV83" s="63"/>
      <c r="MW83" s="63"/>
      <c r="MX83" s="63"/>
      <c r="MY83" s="63"/>
      <c r="MZ83" s="63"/>
      <c r="NA83" s="63"/>
      <c r="NB83" s="63"/>
    </row>
    <row r="84" spans="2:366" ht="16" customHeight="1" x14ac:dyDescent="0.15">
      <c r="B84" s="3" t="s">
        <v>205</v>
      </c>
      <c r="C84" s="26"/>
      <c r="D84" s="12"/>
      <c r="E84" s="100"/>
      <c r="F84" s="25"/>
      <c r="G84" s="67"/>
      <c r="H84" s="67"/>
      <c r="I84" s="67"/>
      <c r="J84" s="25"/>
      <c r="K84" s="25"/>
      <c r="L84" s="34"/>
      <c r="M84" s="25"/>
      <c r="N84" s="25"/>
      <c r="O84" s="25"/>
      <c r="P84" s="25"/>
      <c r="Q84" s="25"/>
      <c r="R84" s="104"/>
      <c r="S84" s="1"/>
      <c r="T84" s="25"/>
      <c r="U84" s="25"/>
      <c r="V84" s="25"/>
      <c r="W84" s="25"/>
      <c r="X84" s="25"/>
      <c r="Y84" s="25"/>
      <c r="Z84" s="25"/>
      <c r="AA84" s="25"/>
      <c r="AB84" s="25"/>
      <c r="AC84" s="25"/>
      <c r="AD84" s="34"/>
      <c r="AE84" s="25"/>
      <c r="AF84" s="25"/>
      <c r="AG84" s="25"/>
      <c r="AH84" s="25"/>
      <c r="AI84" s="25"/>
      <c r="AJ84" s="25"/>
      <c r="AK84" s="25"/>
      <c r="AL84" s="25"/>
      <c r="AM84" s="25"/>
      <c r="AN84" s="25"/>
      <c r="AO84" s="25"/>
      <c r="AP84" s="25"/>
      <c r="AQ84" s="25"/>
      <c r="AR84" s="25"/>
      <c r="AS84" s="25"/>
      <c r="AT84" s="25"/>
      <c r="AU84" s="25"/>
      <c r="AV84" s="25"/>
      <c r="AW84" s="25"/>
      <c r="AX84" s="25"/>
      <c r="AY84" s="25"/>
      <c r="AZ84" s="25"/>
      <c r="BA84" s="25"/>
      <c r="BB84" s="25"/>
      <c r="BC84" s="25"/>
      <c r="BD84" s="25"/>
      <c r="BE84" s="25"/>
      <c r="BF84" s="25"/>
      <c r="BG84" s="25"/>
      <c r="BH84" s="25"/>
      <c r="BI84" s="25"/>
      <c r="BJ84" s="25"/>
      <c r="BK84" s="25"/>
      <c r="BL84" s="25"/>
      <c r="BM84" s="25"/>
      <c r="BN84" s="25"/>
      <c r="BO84" s="25"/>
      <c r="BP84" s="25"/>
      <c r="BQ84" s="25"/>
      <c r="BR84" s="25"/>
      <c r="BS84" s="25"/>
      <c r="BT84" s="25"/>
      <c r="BU84" s="25"/>
      <c r="BV84" s="25"/>
      <c r="BW84" s="25"/>
      <c r="BX84" s="25"/>
      <c r="BY84" s="25"/>
      <c r="BZ84" s="25"/>
      <c r="CA84" s="25"/>
      <c r="CB84" s="25"/>
      <c r="CC84" s="25"/>
      <c r="CD84" s="25"/>
      <c r="CE84" s="25"/>
      <c r="CF84" s="25"/>
      <c r="CG84" s="25"/>
      <c r="CH84" s="25"/>
      <c r="CI84" s="25"/>
      <c r="CJ84" s="25"/>
      <c r="CK84" s="25"/>
      <c r="CL84" s="25"/>
      <c r="CM84" s="25"/>
      <c r="CN84" s="25"/>
      <c r="CO84" s="25"/>
      <c r="CP84" s="25"/>
      <c r="CQ84" s="25"/>
      <c r="CR84" s="25"/>
      <c r="CS84" s="25"/>
      <c r="CT84" s="25"/>
      <c r="CU84" s="25"/>
      <c r="CV84" s="25"/>
      <c r="CW84" s="25"/>
      <c r="CX84" s="25"/>
      <c r="CY84" s="25"/>
      <c r="CZ84" s="25"/>
      <c r="DA84" s="25"/>
      <c r="DB84" s="25"/>
      <c r="DC84" s="25"/>
      <c r="DD84" s="25"/>
      <c r="DE84" s="25"/>
      <c r="DF84" s="25"/>
      <c r="DG84" s="25"/>
      <c r="DH84" s="25"/>
      <c r="DI84" s="25"/>
      <c r="DJ84" s="25"/>
      <c r="DK84" s="25"/>
      <c r="DL84" s="25"/>
      <c r="DM84" s="25"/>
      <c r="DN84" s="25"/>
      <c r="DO84" s="25"/>
      <c r="DP84" s="25"/>
      <c r="DQ84" s="25"/>
      <c r="DR84" s="25"/>
      <c r="DS84" s="25"/>
      <c r="DT84" s="25"/>
      <c r="DU84" s="25"/>
      <c r="DV84" s="25"/>
      <c r="DW84" s="25"/>
      <c r="DX84" s="25"/>
      <c r="DY84" s="25"/>
      <c r="DZ84" s="25"/>
      <c r="EA84" s="25"/>
      <c r="EB84" s="25"/>
      <c r="EC84" s="25"/>
      <c r="ED84" s="25"/>
      <c r="EE84" s="25"/>
      <c r="EF84" s="25"/>
      <c r="EG84" s="25"/>
      <c r="EH84" s="25"/>
      <c r="EI84" s="25"/>
      <c r="EJ84" s="25"/>
      <c r="EK84" s="25"/>
      <c r="EL84" s="25"/>
      <c r="EM84" s="25"/>
      <c r="EN84" s="25"/>
      <c r="EO84" s="25"/>
      <c r="EP84" s="25"/>
      <c r="EQ84" s="25"/>
      <c r="ER84" s="25"/>
      <c r="ES84" s="25"/>
      <c r="ET84" s="25"/>
      <c r="EU84" s="25"/>
      <c r="EV84" s="25"/>
      <c r="EW84" s="25"/>
      <c r="EX84" s="25"/>
      <c r="EY84" s="25"/>
      <c r="EZ84" s="25"/>
      <c r="FA84" s="25"/>
      <c r="FB84" s="25"/>
      <c r="FC84" s="25"/>
      <c r="FD84" s="25"/>
      <c r="FE84" s="25"/>
      <c r="FF84" s="25"/>
      <c r="FG84" s="25"/>
      <c r="FH84" s="25"/>
      <c r="FI84" s="25"/>
      <c r="FJ84" s="25"/>
      <c r="FK84" s="25"/>
      <c r="FL84" s="25"/>
      <c r="FM84" s="25"/>
      <c r="FN84" s="25"/>
      <c r="FO84" s="25"/>
      <c r="FP84" s="25"/>
      <c r="FQ84" s="25"/>
      <c r="FR84" s="25"/>
      <c r="FS84" s="25"/>
      <c r="FT84" s="25"/>
      <c r="FU84" s="25"/>
      <c r="FV84" s="25"/>
      <c r="FW84" s="25"/>
      <c r="FX84" s="25"/>
      <c r="FY84" s="25"/>
      <c r="FZ84" s="25"/>
      <c r="GA84" s="25"/>
      <c r="GB84" s="25"/>
      <c r="GC84" s="25"/>
      <c r="GD84" s="25"/>
      <c r="GE84" s="25"/>
      <c r="GF84" s="25"/>
      <c r="GG84" s="25"/>
      <c r="GH84" s="25"/>
      <c r="GI84" s="25"/>
      <c r="GJ84" s="25"/>
      <c r="GK84" s="25"/>
      <c r="GL84" s="25"/>
      <c r="GM84" s="25"/>
      <c r="GN84" s="608"/>
      <c r="GO84" s="608"/>
      <c r="GP84" s="608"/>
      <c r="GQ84" s="63"/>
      <c r="GR84" s="63"/>
      <c r="GS84" s="63"/>
      <c r="GT84" s="63"/>
      <c r="GU84" s="63"/>
      <c r="GV84" s="63"/>
      <c r="GW84" s="63"/>
      <c r="GX84" s="63"/>
      <c r="GY84" s="63"/>
      <c r="GZ84" s="63"/>
      <c r="HA84" s="63"/>
      <c r="HB84" s="63"/>
      <c r="HC84" s="63"/>
      <c r="HD84" s="63"/>
      <c r="HE84" s="63"/>
      <c r="HF84" s="63"/>
      <c r="HG84" s="63"/>
      <c r="HH84" s="63"/>
      <c r="HI84" s="63"/>
      <c r="HJ84" s="63"/>
      <c r="HK84" s="63"/>
      <c r="HL84" s="63"/>
      <c r="HM84" s="63"/>
      <c r="HN84" s="63"/>
      <c r="HO84" s="63"/>
      <c r="HP84" s="63"/>
      <c r="HQ84" s="63"/>
      <c r="HR84" s="63"/>
      <c r="HS84" s="63"/>
      <c r="HT84" s="63"/>
      <c r="HU84" s="63"/>
      <c r="HV84" s="63"/>
      <c r="HW84" s="63"/>
      <c r="HX84" s="63"/>
      <c r="HY84" s="63"/>
      <c r="HZ84" s="63"/>
      <c r="IA84" s="63"/>
      <c r="IB84" s="63"/>
      <c r="IC84" s="63"/>
      <c r="ID84" s="63"/>
      <c r="IE84" s="63"/>
      <c r="IF84" s="63"/>
      <c r="IG84" s="63"/>
      <c r="IH84" s="63"/>
      <c r="II84" s="63"/>
      <c r="IJ84" s="63"/>
      <c r="IK84" s="63"/>
      <c r="IL84" s="63"/>
      <c r="IM84" s="63"/>
      <c r="IN84" s="63"/>
      <c r="IO84" s="63"/>
      <c r="IP84" s="63"/>
      <c r="IQ84" s="63"/>
      <c r="IR84" s="63"/>
      <c r="IS84" s="63"/>
      <c r="IT84" s="63"/>
      <c r="IU84" s="63"/>
      <c r="IV84" s="63"/>
      <c r="IW84" s="63"/>
      <c r="IX84" s="63"/>
      <c r="IY84" s="63"/>
      <c r="IZ84" s="63"/>
      <c r="JA84" s="63"/>
      <c r="JB84" s="63"/>
      <c r="JC84" s="63"/>
      <c r="JD84" s="63"/>
      <c r="JE84" s="63"/>
      <c r="JF84" s="63"/>
      <c r="JG84" s="63"/>
      <c r="JH84" s="63"/>
      <c r="JI84" s="63"/>
      <c r="JJ84" s="63"/>
      <c r="JK84" s="63"/>
      <c r="JL84" s="63"/>
      <c r="JM84" s="63"/>
      <c r="JN84" s="63"/>
      <c r="JO84" s="63"/>
      <c r="JP84" s="63"/>
      <c r="JQ84" s="63"/>
      <c r="JR84" s="63"/>
      <c r="JS84" s="63"/>
      <c r="JT84" s="63"/>
      <c r="JU84" s="63"/>
      <c r="JV84" s="63"/>
      <c r="JW84" s="63"/>
      <c r="JX84" s="63"/>
      <c r="JY84" s="63"/>
      <c r="JZ84" s="63"/>
      <c r="KA84" s="63"/>
      <c r="KB84" s="63"/>
      <c r="KC84" s="63"/>
      <c r="KD84" s="63"/>
      <c r="KE84" s="63"/>
      <c r="KF84" s="63"/>
      <c r="KG84" s="63"/>
      <c r="KH84" s="63"/>
      <c r="KI84" s="63"/>
      <c r="KJ84" s="63"/>
      <c r="KK84" s="63"/>
      <c r="KL84" s="63"/>
      <c r="KM84" s="63"/>
      <c r="KN84" s="63"/>
      <c r="KO84" s="63"/>
      <c r="KP84" s="63"/>
      <c r="KQ84" s="63"/>
      <c r="KR84" s="63"/>
      <c r="KS84" s="63"/>
      <c r="KT84" s="63"/>
      <c r="KU84" s="63"/>
      <c r="KV84" s="63"/>
      <c r="KW84" s="63"/>
      <c r="KX84" s="63"/>
      <c r="KY84" s="63"/>
      <c r="KZ84" s="63"/>
      <c r="LA84" s="63"/>
      <c r="LB84" s="63"/>
      <c r="LC84" s="63"/>
      <c r="LD84" s="63"/>
      <c r="LE84" s="63"/>
      <c r="LF84" s="63"/>
      <c r="LG84" s="63"/>
      <c r="LH84" s="63"/>
      <c r="LI84" s="63"/>
      <c r="LJ84" s="63"/>
      <c r="LK84" s="63"/>
      <c r="LL84" s="63"/>
      <c r="LM84" s="63"/>
      <c r="LN84" s="63"/>
      <c r="LO84" s="63"/>
      <c r="LP84" s="63"/>
      <c r="LQ84" s="63"/>
      <c r="LR84" s="63"/>
      <c r="LS84" s="63"/>
      <c r="LT84" s="63"/>
      <c r="LU84" s="63"/>
      <c r="LV84" s="63"/>
      <c r="LW84" s="63"/>
      <c r="LX84" s="63"/>
      <c r="LY84" s="63"/>
      <c r="LZ84" s="63"/>
      <c r="MA84" s="63"/>
      <c r="MB84" s="63"/>
      <c r="MC84" s="63"/>
      <c r="MD84" s="63"/>
      <c r="ME84" s="63"/>
      <c r="MF84" s="63"/>
      <c r="MG84" s="63"/>
      <c r="MH84" s="63"/>
      <c r="MI84" s="63"/>
      <c r="MJ84" s="63"/>
      <c r="MK84" s="63"/>
      <c r="ML84" s="63"/>
      <c r="MM84" s="63"/>
      <c r="MN84" s="63"/>
      <c r="MO84" s="63"/>
      <c r="MP84" s="63"/>
      <c r="MQ84" s="63"/>
      <c r="MR84" s="63"/>
      <c r="MS84" s="63"/>
      <c r="MT84" s="63"/>
      <c r="MU84" s="63"/>
      <c r="MV84" s="63"/>
      <c r="MW84" s="63"/>
      <c r="MX84" s="63"/>
      <c r="MY84" s="63"/>
      <c r="MZ84" s="63"/>
      <c r="NA84" s="63"/>
      <c r="NB84" s="63"/>
    </row>
    <row r="85" spans="2:366" ht="16" customHeight="1" x14ac:dyDescent="0.15">
      <c r="B85" s="31" t="s">
        <v>108</v>
      </c>
      <c r="C85" s="312" t="s">
        <v>150</v>
      </c>
      <c r="D85" s="97"/>
      <c r="F85" s="37">
        <f>E89</f>
        <v>0</v>
      </c>
      <c r="G85" s="37">
        <f t="shared" ref="G85:BR85" si="245">F89</f>
        <v>3588310.1006036219</v>
      </c>
      <c r="H85" s="37">
        <f t="shared" si="245"/>
        <v>3637488.8069967744</v>
      </c>
      <c r="I85" s="37">
        <f t="shared" si="245"/>
        <v>3686906.893230034</v>
      </c>
      <c r="J85" s="37">
        <f t="shared" si="245"/>
        <v>3736565.5244968766</v>
      </c>
      <c r="K85" s="37">
        <f t="shared" si="245"/>
        <v>3786465.871662416</v>
      </c>
      <c r="L85" s="37">
        <f t="shared" si="245"/>
        <v>3836609.1112910118</v>
      </c>
      <c r="M85" s="37">
        <f t="shared" si="245"/>
        <v>3886996.4256740101</v>
      </c>
      <c r="N85" s="37">
        <f t="shared" si="245"/>
        <v>3937629.0028576194</v>
      </c>
      <c r="O85" s="37">
        <f t="shared" si="245"/>
        <v>3988508.0366709237</v>
      </c>
      <c r="P85" s="37">
        <f t="shared" si="245"/>
        <v>3988508.0366709237</v>
      </c>
      <c r="Q85" s="37">
        <f t="shared" si="245"/>
        <v>3988508.0366709237</v>
      </c>
      <c r="R85" s="37">
        <f t="shared" si="245"/>
        <v>3988508.0366709237</v>
      </c>
      <c r="S85" s="37">
        <f t="shared" si="245"/>
        <v>3988508.0366709237</v>
      </c>
      <c r="T85" s="37">
        <f t="shared" si="245"/>
        <v>3988508.0366709237</v>
      </c>
      <c r="U85" s="37">
        <f t="shared" si="245"/>
        <v>3988508.0366709237</v>
      </c>
      <c r="V85" s="37">
        <f t="shared" si="245"/>
        <v>3988508.0366709237</v>
      </c>
      <c r="W85" s="37">
        <f t="shared" si="245"/>
        <v>3988508.0366709237</v>
      </c>
      <c r="X85" s="37">
        <f t="shared" si="245"/>
        <v>3988508.0366709237</v>
      </c>
      <c r="Y85" s="37">
        <f t="shared" si="245"/>
        <v>0</v>
      </c>
      <c r="Z85" s="37">
        <f t="shared" si="245"/>
        <v>0</v>
      </c>
      <c r="AA85" s="37">
        <f t="shared" si="245"/>
        <v>0</v>
      </c>
      <c r="AB85" s="37">
        <f t="shared" si="245"/>
        <v>0</v>
      </c>
      <c r="AC85" s="37">
        <f t="shared" si="245"/>
        <v>0</v>
      </c>
      <c r="AD85" s="37">
        <f t="shared" si="245"/>
        <v>0</v>
      </c>
      <c r="AE85" s="37">
        <f t="shared" si="245"/>
        <v>0</v>
      </c>
      <c r="AF85" s="37">
        <f t="shared" si="245"/>
        <v>0</v>
      </c>
      <c r="AG85" s="37">
        <f t="shared" si="245"/>
        <v>0</v>
      </c>
      <c r="AH85" s="37">
        <f t="shared" si="245"/>
        <v>0</v>
      </c>
      <c r="AI85" s="37">
        <f t="shared" si="245"/>
        <v>0</v>
      </c>
      <c r="AJ85" s="37">
        <f t="shared" si="245"/>
        <v>0</v>
      </c>
      <c r="AK85" s="37">
        <f t="shared" si="245"/>
        <v>0</v>
      </c>
      <c r="AL85" s="37">
        <f t="shared" si="245"/>
        <v>0</v>
      </c>
      <c r="AM85" s="37">
        <f t="shared" si="245"/>
        <v>0</v>
      </c>
      <c r="AN85" s="37">
        <f t="shared" si="245"/>
        <v>0</v>
      </c>
      <c r="AO85" s="37">
        <f t="shared" si="245"/>
        <v>0</v>
      </c>
      <c r="AP85" s="37">
        <f t="shared" si="245"/>
        <v>0</v>
      </c>
      <c r="AQ85" s="37">
        <f t="shared" si="245"/>
        <v>0</v>
      </c>
      <c r="AR85" s="37">
        <f t="shared" si="245"/>
        <v>0</v>
      </c>
      <c r="AS85" s="37">
        <f t="shared" si="245"/>
        <v>0</v>
      </c>
      <c r="AT85" s="37">
        <f t="shared" si="245"/>
        <v>0</v>
      </c>
      <c r="AU85" s="37">
        <f t="shared" si="245"/>
        <v>0</v>
      </c>
      <c r="AV85" s="37">
        <f t="shared" si="245"/>
        <v>0</v>
      </c>
      <c r="AW85" s="37">
        <f t="shared" si="245"/>
        <v>0</v>
      </c>
      <c r="AX85" s="37">
        <f t="shared" si="245"/>
        <v>0</v>
      </c>
      <c r="AY85" s="37">
        <f t="shared" si="245"/>
        <v>0</v>
      </c>
      <c r="AZ85" s="37">
        <f t="shared" si="245"/>
        <v>0</v>
      </c>
      <c r="BA85" s="37">
        <f t="shared" si="245"/>
        <v>0</v>
      </c>
      <c r="BB85" s="37">
        <f t="shared" si="245"/>
        <v>0</v>
      </c>
      <c r="BC85" s="37">
        <f t="shared" si="245"/>
        <v>0</v>
      </c>
      <c r="BD85" s="37">
        <f t="shared" si="245"/>
        <v>0</v>
      </c>
      <c r="BE85" s="37">
        <f t="shared" si="245"/>
        <v>0</v>
      </c>
      <c r="BF85" s="37">
        <f t="shared" si="245"/>
        <v>0</v>
      </c>
      <c r="BG85" s="37">
        <f t="shared" si="245"/>
        <v>0</v>
      </c>
      <c r="BH85" s="37">
        <f t="shared" si="245"/>
        <v>0</v>
      </c>
      <c r="BI85" s="37">
        <f t="shared" si="245"/>
        <v>0</v>
      </c>
      <c r="BJ85" s="37">
        <f t="shared" si="245"/>
        <v>0</v>
      </c>
      <c r="BK85" s="37">
        <f t="shared" si="245"/>
        <v>0</v>
      </c>
      <c r="BL85" s="37">
        <f t="shared" si="245"/>
        <v>0</v>
      </c>
      <c r="BM85" s="37">
        <f t="shared" si="245"/>
        <v>0</v>
      </c>
      <c r="BN85" s="37">
        <f t="shared" si="245"/>
        <v>0</v>
      </c>
      <c r="BO85" s="37">
        <f t="shared" si="245"/>
        <v>0</v>
      </c>
      <c r="BP85" s="37">
        <f t="shared" si="245"/>
        <v>0</v>
      </c>
      <c r="BQ85" s="37">
        <f t="shared" si="245"/>
        <v>0</v>
      </c>
      <c r="BR85" s="37">
        <f t="shared" si="245"/>
        <v>0</v>
      </c>
      <c r="BS85" s="37">
        <f t="shared" ref="BS85:ED85" si="246">BR89</f>
        <v>0</v>
      </c>
      <c r="BT85" s="37">
        <f t="shared" si="246"/>
        <v>0</v>
      </c>
      <c r="BU85" s="37">
        <f t="shared" si="246"/>
        <v>0</v>
      </c>
      <c r="BV85" s="37">
        <f t="shared" si="246"/>
        <v>0</v>
      </c>
      <c r="BW85" s="37">
        <f t="shared" si="246"/>
        <v>0</v>
      </c>
      <c r="BX85" s="37">
        <f t="shared" si="246"/>
        <v>0</v>
      </c>
      <c r="BY85" s="37">
        <f t="shared" si="246"/>
        <v>0</v>
      </c>
      <c r="BZ85" s="37">
        <f t="shared" si="246"/>
        <v>0</v>
      </c>
      <c r="CA85" s="37">
        <f t="shared" si="246"/>
        <v>0</v>
      </c>
      <c r="CB85" s="37">
        <f t="shared" si="246"/>
        <v>0</v>
      </c>
      <c r="CC85" s="37">
        <f t="shared" si="246"/>
        <v>0</v>
      </c>
      <c r="CD85" s="37">
        <f t="shared" si="246"/>
        <v>0</v>
      </c>
      <c r="CE85" s="37">
        <f t="shared" si="246"/>
        <v>0</v>
      </c>
      <c r="CF85" s="37">
        <f t="shared" si="246"/>
        <v>0</v>
      </c>
      <c r="CG85" s="37">
        <f t="shared" si="246"/>
        <v>0</v>
      </c>
      <c r="CH85" s="37">
        <f t="shared" si="246"/>
        <v>0</v>
      </c>
      <c r="CI85" s="37">
        <f t="shared" si="246"/>
        <v>0</v>
      </c>
      <c r="CJ85" s="37">
        <f t="shared" si="246"/>
        <v>0</v>
      </c>
      <c r="CK85" s="37">
        <f t="shared" si="246"/>
        <v>0</v>
      </c>
      <c r="CL85" s="37">
        <f t="shared" si="246"/>
        <v>0</v>
      </c>
      <c r="CM85" s="37">
        <f t="shared" si="246"/>
        <v>0</v>
      </c>
      <c r="CN85" s="37">
        <f t="shared" si="246"/>
        <v>0</v>
      </c>
      <c r="CO85" s="37">
        <f t="shared" si="246"/>
        <v>0</v>
      </c>
      <c r="CP85" s="37">
        <f t="shared" si="246"/>
        <v>0</v>
      </c>
      <c r="CQ85" s="37">
        <f t="shared" si="246"/>
        <v>0</v>
      </c>
      <c r="CR85" s="37">
        <f t="shared" si="246"/>
        <v>0</v>
      </c>
      <c r="CS85" s="37">
        <f t="shared" si="246"/>
        <v>0</v>
      </c>
      <c r="CT85" s="37">
        <f t="shared" si="246"/>
        <v>0</v>
      </c>
      <c r="CU85" s="37">
        <f t="shared" si="246"/>
        <v>0</v>
      </c>
      <c r="CV85" s="37">
        <f t="shared" si="246"/>
        <v>0</v>
      </c>
      <c r="CW85" s="37">
        <f t="shared" si="246"/>
        <v>0</v>
      </c>
      <c r="CX85" s="37">
        <f t="shared" si="246"/>
        <v>0</v>
      </c>
      <c r="CY85" s="37">
        <f t="shared" si="246"/>
        <v>0</v>
      </c>
      <c r="CZ85" s="37">
        <f t="shared" si="246"/>
        <v>0</v>
      </c>
      <c r="DA85" s="37">
        <f t="shared" si="246"/>
        <v>0</v>
      </c>
      <c r="DB85" s="37">
        <f t="shared" si="246"/>
        <v>0</v>
      </c>
      <c r="DC85" s="37">
        <f t="shared" si="246"/>
        <v>0</v>
      </c>
      <c r="DD85" s="37">
        <f t="shared" si="246"/>
        <v>0</v>
      </c>
      <c r="DE85" s="37">
        <f t="shared" si="246"/>
        <v>0</v>
      </c>
      <c r="DF85" s="37">
        <f t="shared" si="246"/>
        <v>0</v>
      </c>
      <c r="DG85" s="37">
        <f t="shared" si="246"/>
        <v>0</v>
      </c>
      <c r="DH85" s="37">
        <f t="shared" si="246"/>
        <v>0</v>
      </c>
      <c r="DI85" s="37">
        <f t="shared" si="246"/>
        <v>0</v>
      </c>
      <c r="DJ85" s="37">
        <f t="shared" si="246"/>
        <v>0</v>
      </c>
      <c r="DK85" s="37">
        <f t="shared" si="246"/>
        <v>0</v>
      </c>
      <c r="DL85" s="37">
        <f t="shared" si="246"/>
        <v>0</v>
      </c>
      <c r="DM85" s="37">
        <f t="shared" si="246"/>
        <v>0</v>
      </c>
      <c r="DN85" s="37">
        <f t="shared" si="246"/>
        <v>0</v>
      </c>
      <c r="DO85" s="37">
        <f t="shared" si="246"/>
        <v>0</v>
      </c>
      <c r="DP85" s="37">
        <f t="shared" si="246"/>
        <v>0</v>
      </c>
      <c r="DQ85" s="37">
        <f t="shared" si="246"/>
        <v>0</v>
      </c>
      <c r="DR85" s="37">
        <f t="shared" si="246"/>
        <v>0</v>
      </c>
      <c r="DS85" s="37">
        <f t="shared" si="246"/>
        <v>0</v>
      </c>
      <c r="DT85" s="37">
        <f t="shared" si="246"/>
        <v>0</v>
      </c>
      <c r="DU85" s="37">
        <f t="shared" si="246"/>
        <v>0</v>
      </c>
      <c r="DV85" s="37">
        <f t="shared" si="246"/>
        <v>0</v>
      </c>
      <c r="DW85" s="37">
        <f t="shared" si="246"/>
        <v>0</v>
      </c>
      <c r="DX85" s="37">
        <f t="shared" si="246"/>
        <v>0</v>
      </c>
      <c r="DY85" s="37">
        <f t="shared" si="246"/>
        <v>0</v>
      </c>
      <c r="DZ85" s="37">
        <f t="shared" si="246"/>
        <v>0</v>
      </c>
      <c r="EA85" s="37">
        <f t="shared" si="246"/>
        <v>0</v>
      </c>
      <c r="EB85" s="37">
        <f t="shared" si="246"/>
        <v>0</v>
      </c>
      <c r="EC85" s="37">
        <f t="shared" si="246"/>
        <v>0</v>
      </c>
      <c r="ED85" s="37">
        <f t="shared" si="246"/>
        <v>0</v>
      </c>
      <c r="EE85" s="37">
        <f t="shared" ref="EE85:GD85" si="247">ED89</f>
        <v>0</v>
      </c>
      <c r="EF85" s="37">
        <f t="shared" si="247"/>
        <v>0</v>
      </c>
      <c r="EG85" s="37">
        <f t="shared" si="247"/>
        <v>0</v>
      </c>
      <c r="EH85" s="37">
        <f t="shared" si="247"/>
        <v>0</v>
      </c>
      <c r="EI85" s="37">
        <f t="shared" si="247"/>
        <v>0</v>
      </c>
      <c r="EJ85" s="37">
        <f t="shared" si="247"/>
        <v>0</v>
      </c>
      <c r="EK85" s="37">
        <f t="shared" si="247"/>
        <v>0</v>
      </c>
      <c r="EL85" s="37">
        <f t="shared" si="247"/>
        <v>0</v>
      </c>
      <c r="EM85" s="37">
        <f t="shared" si="247"/>
        <v>0</v>
      </c>
      <c r="EN85" s="37">
        <f t="shared" si="247"/>
        <v>0</v>
      </c>
      <c r="EO85" s="37">
        <f t="shared" si="247"/>
        <v>0</v>
      </c>
      <c r="EP85" s="37">
        <f t="shared" si="247"/>
        <v>0</v>
      </c>
      <c r="EQ85" s="37">
        <f t="shared" si="247"/>
        <v>0</v>
      </c>
      <c r="ER85" s="37">
        <f t="shared" si="247"/>
        <v>0</v>
      </c>
      <c r="ES85" s="37">
        <f t="shared" si="247"/>
        <v>0</v>
      </c>
      <c r="ET85" s="37">
        <f t="shared" si="247"/>
        <v>0</v>
      </c>
      <c r="EU85" s="37">
        <f t="shared" si="247"/>
        <v>0</v>
      </c>
      <c r="EV85" s="37">
        <f t="shared" si="247"/>
        <v>0</v>
      </c>
      <c r="EW85" s="37">
        <f t="shared" si="247"/>
        <v>0</v>
      </c>
      <c r="EX85" s="37">
        <f t="shared" si="247"/>
        <v>0</v>
      </c>
      <c r="EY85" s="37">
        <f t="shared" si="247"/>
        <v>0</v>
      </c>
      <c r="EZ85" s="37">
        <f t="shared" si="247"/>
        <v>0</v>
      </c>
      <c r="FA85" s="37">
        <f t="shared" si="247"/>
        <v>0</v>
      </c>
      <c r="FB85" s="37">
        <f t="shared" si="247"/>
        <v>0</v>
      </c>
      <c r="FC85" s="37">
        <f t="shared" si="247"/>
        <v>0</v>
      </c>
      <c r="FD85" s="37">
        <f t="shared" si="247"/>
        <v>0</v>
      </c>
      <c r="FE85" s="37">
        <f t="shared" si="247"/>
        <v>0</v>
      </c>
      <c r="FF85" s="37">
        <f t="shared" si="247"/>
        <v>0</v>
      </c>
      <c r="FG85" s="37">
        <f t="shared" si="247"/>
        <v>0</v>
      </c>
      <c r="FH85" s="37">
        <f t="shared" si="247"/>
        <v>0</v>
      </c>
      <c r="FI85" s="37">
        <f t="shared" si="247"/>
        <v>0</v>
      </c>
      <c r="FJ85" s="37">
        <f t="shared" si="247"/>
        <v>0</v>
      </c>
      <c r="FK85" s="37">
        <f t="shared" si="247"/>
        <v>0</v>
      </c>
      <c r="FL85" s="37">
        <f t="shared" si="247"/>
        <v>0</v>
      </c>
      <c r="FM85" s="37">
        <f t="shared" si="247"/>
        <v>0</v>
      </c>
      <c r="FN85" s="37">
        <f t="shared" si="247"/>
        <v>0</v>
      </c>
      <c r="FO85" s="37">
        <f t="shared" si="247"/>
        <v>0</v>
      </c>
      <c r="FP85" s="37">
        <f t="shared" si="247"/>
        <v>0</v>
      </c>
      <c r="FQ85" s="37">
        <f t="shared" si="247"/>
        <v>0</v>
      </c>
      <c r="FR85" s="37">
        <f t="shared" si="247"/>
        <v>0</v>
      </c>
      <c r="FS85" s="37">
        <f t="shared" si="247"/>
        <v>0</v>
      </c>
      <c r="FT85" s="37">
        <f t="shared" si="247"/>
        <v>0</v>
      </c>
      <c r="FU85" s="37">
        <f t="shared" si="247"/>
        <v>0</v>
      </c>
      <c r="FV85" s="37">
        <f t="shared" si="247"/>
        <v>0</v>
      </c>
      <c r="FW85" s="37">
        <f t="shared" si="247"/>
        <v>0</v>
      </c>
      <c r="FX85" s="37">
        <f t="shared" si="247"/>
        <v>0</v>
      </c>
      <c r="FY85" s="37">
        <f t="shared" si="247"/>
        <v>0</v>
      </c>
      <c r="FZ85" s="37">
        <f t="shared" si="247"/>
        <v>0</v>
      </c>
      <c r="GA85" s="37">
        <f t="shared" si="247"/>
        <v>0</v>
      </c>
      <c r="GB85" s="37">
        <f t="shared" si="247"/>
        <v>0</v>
      </c>
      <c r="GC85" s="37">
        <f t="shared" si="247"/>
        <v>0</v>
      </c>
      <c r="GD85" s="37">
        <f t="shared" si="247"/>
        <v>0</v>
      </c>
      <c r="GE85" s="37">
        <f t="shared" ref="GE85:GM85" si="248">GD89</f>
        <v>0</v>
      </c>
      <c r="GF85" s="37">
        <f t="shared" si="248"/>
        <v>0</v>
      </c>
      <c r="GG85" s="37">
        <f t="shared" si="248"/>
        <v>0</v>
      </c>
      <c r="GH85" s="37">
        <f t="shared" si="248"/>
        <v>0</v>
      </c>
      <c r="GI85" s="37">
        <f t="shared" si="248"/>
        <v>0</v>
      </c>
      <c r="GJ85" s="37">
        <f t="shared" si="248"/>
        <v>0</v>
      </c>
      <c r="GK85" s="37">
        <f t="shared" si="248"/>
        <v>0</v>
      </c>
      <c r="GL85" s="37">
        <f t="shared" si="248"/>
        <v>0</v>
      </c>
      <c r="GM85" s="37">
        <f t="shared" si="248"/>
        <v>0</v>
      </c>
      <c r="GN85" s="63"/>
      <c r="GO85" s="63"/>
      <c r="GP85" s="63"/>
      <c r="GQ85" s="63"/>
      <c r="GR85" s="63"/>
      <c r="GS85" s="63"/>
      <c r="GT85" s="63"/>
      <c r="GU85" s="63"/>
      <c r="GV85" s="63"/>
      <c r="GW85" s="63"/>
      <c r="GX85" s="63"/>
      <c r="GY85" s="63"/>
      <c r="GZ85" s="63"/>
      <c r="HA85" s="63"/>
      <c r="HB85" s="63"/>
      <c r="HC85" s="63"/>
      <c r="HD85" s="63"/>
      <c r="HE85" s="63"/>
      <c r="HF85" s="63"/>
      <c r="HG85" s="63"/>
      <c r="HH85" s="63"/>
      <c r="HI85" s="63"/>
      <c r="HJ85" s="63"/>
      <c r="HK85" s="63"/>
      <c r="HL85" s="63"/>
      <c r="HM85" s="63"/>
      <c r="HN85" s="63"/>
      <c r="HO85" s="63"/>
      <c r="HP85" s="63"/>
      <c r="HQ85" s="63"/>
      <c r="HR85" s="63"/>
      <c r="HS85" s="63"/>
      <c r="HT85" s="63"/>
      <c r="HU85" s="63"/>
      <c r="HV85" s="63"/>
      <c r="HW85" s="63"/>
      <c r="HX85" s="63"/>
      <c r="HY85" s="63"/>
      <c r="HZ85" s="63"/>
      <c r="IA85" s="63"/>
      <c r="IB85" s="63"/>
      <c r="IC85" s="63"/>
      <c r="ID85" s="63"/>
      <c r="IE85" s="63"/>
      <c r="IF85" s="63"/>
      <c r="IG85" s="63"/>
      <c r="IH85" s="63"/>
      <c r="II85" s="63"/>
      <c r="IJ85" s="63"/>
      <c r="IK85" s="63"/>
      <c r="IL85" s="63"/>
      <c r="IM85" s="63"/>
      <c r="IN85" s="63"/>
      <c r="IO85" s="63"/>
      <c r="IP85" s="63"/>
      <c r="IQ85" s="63"/>
      <c r="IR85" s="63"/>
      <c r="IS85" s="63"/>
      <c r="IT85" s="63"/>
      <c r="IU85" s="63"/>
      <c r="IV85" s="63"/>
      <c r="IW85" s="63"/>
      <c r="IX85" s="63"/>
      <c r="IY85" s="63"/>
      <c r="IZ85" s="63"/>
      <c r="JA85" s="63"/>
      <c r="JB85" s="63"/>
      <c r="JC85" s="63"/>
      <c r="JD85" s="63"/>
      <c r="JE85" s="63"/>
      <c r="JF85" s="63"/>
      <c r="JG85" s="63"/>
      <c r="JH85" s="63"/>
      <c r="JI85" s="63"/>
      <c r="JJ85" s="63"/>
      <c r="JK85" s="63"/>
      <c r="JL85" s="63"/>
      <c r="JM85" s="63"/>
      <c r="JN85" s="63"/>
      <c r="JO85" s="63"/>
      <c r="JP85" s="63"/>
      <c r="JQ85" s="63"/>
      <c r="JR85" s="63"/>
      <c r="JS85" s="63"/>
      <c r="JT85" s="63"/>
      <c r="JU85" s="63"/>
      <c r="JV85" s="63"/>
      <c r="JW85" s="63"/>
      <c r="JX85" s="63"/>
      <c r="JY85" s="63"/>
      <c r="JZ85" s="63"/>
      <c r="KA85" s="63"/>
      <c r="KB85" s="63"/>
      <c r="KC85" s="63"/>
      <c r="KD85" s="63"/>
      <c r="KE85" s="63"/>
      <c r="KF85" s="63"/>
      <c r="KG85" s="63"/>
      <c r="KH85" s="63"/>
      <c r="KI85" s="63"/>
      <c r="KJ85" s="63"/>
      <c r="KK85" s="63"/>
      <c r="KL85" s="63"/>
      <c r="KM85" s="63"/>
      <c r="KN85" s="63"/>
      <c r="KO85" s="63"/>
      <c r="KP85" s="63"/>
      <c r="KQ85" s="63"/>
      <c r="KR85" s="63"/>
      <c r="KS85" s="63"/>
      <c r="KT85" s="63"/>
      <c r="KU85" s="63"/>
      <c r="KV85" s="63"/>
      <c r="KW85" s="63"/>
      <c r="KX85" s="63"/>
      <c r="KY85" s="63"/>
      <c r="KZ85" s="63"/>
      <c r="LA85" s="63"/>
      <c r="LB85" s="63"/>
      <c r="LC85" s="63"/>
      <c r="LD85" s="63"/>
      <c r="LE85" s="63"/>
      <c r="LF85" s="63"/>
      <c r="LG85" s="63"/>
      <c r="LH85" s="63"/>
      <c r="LI85" s="63"/>
      <c r="LJ85" s="63"/>
      <c r="LK85" s="63"/>
      <c r="LL85" s="63"/>
      <c r="LM85" s="63"/>
      <c r="LN85" s="63"/>
      <c r="LO85" s="63"/>
      <c r="LP85" s="63"/>
      <c r="LQ85" s="63"/>
      <c r="LR85" s="63"/>
      <c r="LS85" s="63"/>
      <c r="LT85" s="63"/>
      <c r="LU85" s="63"/>
      <c r="LV85" s="63"/>
      <c r="LW85" s="63"/>
      <c r="LX85" s="63"/>
      <c r="LY85" s="63"/>
      <c r="LZ85" s="63"/>
      <c r="MA85" s="63"/>
      <c r="MB85" s="63"/>
      <c r="MC85" s="63"/>
      <c r="MD85" s="63"/>
      <c r="ME85" s="63"/>
      <c r="MF85" s="63"/>
      <c r="MG85" s="63"/>
      <c r="MH85" s="63"/>
      <c r="MI85" s="63"/>
      <c r="MJ85" s="63"/>
      <c r="MK85" s="63"/>
      <c r="ML85" s="63"/>
      <c r="MM85" s="63"/>
      <c r="MN85" s="63"/>
      <c r="MO85" s="63"/>
      <c r="MP85" s="63"/>
      <c r="MQ85" s="63"/>
      <c r="MR85" s="63"/>
      <c r="MS85" s="63"/>
      <c r="MT85" s="63"/>
      <c r="MU85" s="63"/>
      <c r="MV85" s="63"/>
      <c r="MW85" s="63"/>
      <c r="MX85" s="63"/>
      <c r="MY85" s="63"/>
      <c r="MZ85" s="63"/>
      <c r="NA85" s="63"/>
      <c r="NB85" s="63"/>
    </row>
    <row r="86" spans="2:366" ht="16" customHeight="1" x14ac:dyDescent="0.15">
      <c r="B86" s="31" t="s">
        <v>257</v>
      </c>
      <c r="C86" s="312" t="s">
        <v>150</v>
      </c>
      <c r="D86" s="97"/>
      <c r="F86" s="37">
        <f>IF(AND(F$7&gt;=1,F$7&lt;='Assumptions_&amp;_Inputs'!$E$83),-F$85*'Assumptions_&amp;_Inputs'!$E$80,0)</f>
        <v>0</v>
      </c>
      <c r="G86" s="37">
        <f>IF(AND(G$7&gt;=1,G$7&lt;='Assumptions_&amp;_Inputs'!$E$83),-G$85*'Assumptions_&amp;_Inputs'!$E$80,0)</f>
        <v>-17466.280858819329</v>
      </c>
      <c r="H86" s="37">
        <f>IF(AND(H$7&gt;=1,H$7&lt;='Assumptions_&amp;_Inputs'!$E$83),-H$85*'Assumptions_&amp;_Inputs'!$E$80,0)</f>
        <v>-17705.66069892616</v>
      </c>
      <c r="I86" s="37">
        <f>IF(AND(I$7&gt;=1,I$7&lt;='Assumptions_&amp;_Inputs'!$E$83),-I$85*'Assumptions_&amp;_Inputs'!$E$80,0)</f>
        <v>-17946.205732509035</v>
      </c>
      <c r="J86" s="37">
        <f>IF(AND(J$7&gt;=1,J$7&lt;='Assumptions_&amp;_Inputs'!$E$83),-J$85*'Assumptions_&amp;_Inputs'!$E$80,0)</f>
        <v>-18187.921631206114</v>
      </c>
      <c r="K86" s="37">
        <f>IF(AND(K$7&gt;=1,K$7&lt;='Assumptions_&amp;_Inputs'!$E$83),-K$85*'Assumptions_&amp;_Inputs'!$E$80,0)</f>
        <v>-18430.81409426255</v>
      </c>
      <c r="L86" s="37">
        <f>IF(AND(L$7&gt;=1,L$7&lt;='Assumptions_&amp;_Inputs'!$E$83),-L$85*'Assumptions_&amp;_Inputs'!$E$80,0)</f>
        <v>-18674.888848664854</v>
      </c>
      <c r="M86" s="37">
        <f>IF(AND(M$7&gt;=1,M$7&lt;='Assumptions_&amp;_Inputs'!$E$83),-M$85*'Assumptions_&amp;_Inputs'!$E$80,0)</f>
        <v>-18920.151649275937</v>
      </c>
      <c r="N86" s="37">
        <f>IF(AND(N$7&gt;=1,N$7&lt;='Assumptions_&amp;_Inputs'!$E$83),-N$85*'Assumptions_&amp;_Inputs'!$E$80,0)</f>
        <v>-19166.608278970791</v>
      </c>
      <c r="O86" s="37">
        <f>IF(AND(O$7&gt;=1,O$7&lt;='Assumptions_&amp;_Inputs'!$E$83),-O$85*'Assumptions_&amp;_Inputs'!$E$80,0)</f>
        <v>-19414.264548772848</v>
      </c>
      <c r="P86" s="37">
        <f>IF(AND(P$7&gt;=1,P$7&lt;='Assumptions_&amp;_Inputs'!$E$83),-P$85*'Assumptions_&amp;_Inputs'!$E$80,0)</f>
        <v>-19414.264548772848</v>
      </c>
      <c r="Q86" s="37">
        <f>IF(AND(Q$7&gt;=1,Q$7&lt;='Assumptions_&amp;_Inputs'!$E$83),-Q$85*'Assumptions_&amp;_Inputs'!$E$80,0)</f>
        <v>-19414.264548772848</v>
      </c>
      <c r="R86" s="37">
        <f>IF(AND(R$7&gt;=1,R$7&lt;='Assumptions_&amp;_Inputs'!$E$83),-R$85*'Assumptions_&amp;_Inputs'!$E$80,0)</f>
        <v>-19414.264548772848</v>
      </c>
      <c r="S86" s="37">
        <f>IF(AND(S$7&gt;=1,S$7&lt;='Assumptions_&amp;_Inputs'!$E$83),-S$85*'Assumptions_&amp;_Inputs'!$E$80,0)</f>
        <v>-19414.264548772848</v>
      </c>
      <c r="T86" s="37">
        <f>IF(AND(T$7&gt;=1,T$7&lt;='Assumptions_&amp;_Inputs'!$E$83),-T$85*'Assumptions_&amp;_Inputs'!$E$80,0)</f>
        <v>-19414.264548772848</v>
      </c>
      <c r="U86" s="37">
        <f>IF(AND(U$7&gt;=1,U$7&lt;='Assumptions_&amp;_Inputs'!$E$83),-U$85*'Assumptions_&amp;_Inputs'!$E$80,0)</f>
        <v>-19414.264548772848</v>
      </c>
      <c r="V86" s="37">
        <f>IF(AND(V$7&gt;=1,V$7&lt;='Assumptions_&amp;_Inputs'!$E$83),-V$85*'Assumptions_&amp;_Inputs'!$E$80,0)</f>
        <v>-19414.264548772848</v>
      </c>
      <c r="W86" s="37">
        <f>IF(AND(W$7&gt;=1,W$7&lt;='Assumptions_&amp;_Inputs'!$E$83),-W$85*'Assumptions_&amp;_Inputs'!$E$80,0)</f>
        <v>-19414.264548772848</v>
      </c>
      <c r="X86" s="37">
        <f>IF(AND(X$7&gt;=1,X$7&lt;='Assumptions_&amp;_Inputs'!$E$83),-X$85*'Assumptions_&amp;_Inputs'!$E$80,0)</f>
        <v>-19414.264548772848</v>
      </c>
      <c r="Y86" s="37">
        <f>IF(AND(Y$7&gt;=1,Y$7&lt;='Assumptions_&amp;_Inputs'!$E$83),-Y$85*'Assumptions_&amp;_Inputs'!$E$80,0)</f>
        <v>0</v>
      </c>
      <c r="Z86" s="37">
        <f>IF(AND(Z$7&gt;=1,Z$7&lt;='Assumptions_&amp;_Inputs'!$E$83),-Z$85*'Assumptions_&amp;_Inputs'!$E$80,0)</f>
        <v>0</v>
      </c>
      <c r="AA86" s="37">
        <f>IF(AND(AA$7&gt;=1,AA$7&lt;='Assumptions_&amp;_Inputs'!$E$83),-AA$85*'Assumptions_&amp;_Inputs'!$E$80,0)</f>
        <v>0</v>
      </c>
      <c r="AB86" s="37">
        <f>IF(AND(AB$7&gt;=1,AB$7&lt;='Assumptions_&amp;_Inputs'!$E$83),-AB$85*'Assumptions_&amp;_Inputs'!$E$80,0)</f>
        <v>0</v>
      </c>
      <c r="AC86" s="37">
        <f>IF(AND(AC$7&gt;=1,AC$7&lt;='Assumptions_&amp;_Inputs'!$E$83),-AC$85*'Assumptions_&amp;_Inputs'!$E$80,0)</f>
        <v>0</v>
      </c>
      <c r="AD86" s="37">
        <f>IF(AND(AD$7&gt;=1,AD$7&lt;='Assumptions_&amp;_Inputs'!$E$83),-AD$85*'Assumptions_&amp;_Inputs'!$E$80,0)</f>
        <v>0</v>
      </c>
      <c r="AE86" s="37">
        <f>IF(AND(AE$7&gt;=1,AE$7&lt;='Assumptions_&amp;_Inputs'!$E$83),-AE$85*'Assumptions_&amp;_Inputs'!$E$80,0)</f>
        <v>0</v>
      </c>
      <c r="AF86" s="37">
        <f>IF(AND(AF$7&gt;=1,AF$7&lt;='Assumptions_&amp;_Inputs'!$E$83),-AF$85*'Assumptions_&amp;_Inputs'!$E$80,0)</f>
        <v>0</v>
      </c>
      <c r="AG86" s="37">
        <f>IF(AND(AG$7&gt;=1,AG$7&lt;='Assumptions_&amp;_Inputs'!$E$83),-AG$85*'Assumptions_&amp;_Inputs'!$E$80,0)</f>
        <v>0</v>
      </c>
      <c r="AH86" s="37">
        <f>IF(AND(AH$7&gt;=1,AH$7&lt;='Assumptions_&amp;_Inputs'!$E$83),-AH$85*'Assumptions_&amp;_Inputs'!$E$80,0)</f>
        <v>0</v>
      </c>
      <c r="AI86" s="37">
        <f>IF(AND(AI$7&gt;=1,AI$7&lt;='Assumptions_&amp;_Inputs'!$E$83),-AI$85*'Assumptions_&amp;_Inputs'!$E$80,0)</f>
        <v>0</v>
      </c>
      <c r="AJ86" s="37">
        <f>IF(AND(AJ$7&gt;=1,AJ$7&lt;='Assumptions_&amp;_Inputs'!$E$83),-AJ$85*'Assumptions_&amp;_Inputs'!$E$80,0)</f>
        <v>0</v>
      </c>
      <c r="AK86" s="37">
        <f>IF(AND(AK$7&gt;=1,AK$7&lt;='Assumptions_&amp;_Inputs'!$E$83),-AK$85*'Assumptions_&amp;_Inputs'!$E$80,0)</f>
        <v>0</v>
      </c>
      <c r="AL86" s="37">
        <f>IF(AND(AL$7&gt;=1,AL$7&lt;='Assumptions_&amp;_Inputs'!$E$83),-AL$85*'Assumptions_&amp;_Inputs'!$E$80,0)</f>
        <v>0</v>
      </c>
      <c r="AM86" s="37">
        <f>IF(AND(AM$7&gt;=1,AM$7&lt;='Assumptions_&amp;_Inputs'!$E$83),-AM$85*'Assumptions_&amp;_Inputs'!$E$80,0)</f>
        <v>0</v>
      </c>
      <c r="AN86" s="37">
        <f>IF(AND(AN$7&gt;=1,AN$7&lt;='Assumptions_&amp;_Inputs'!$E$83),-AN$85*'Assumptions_&amp;_Inputs'!$E$80,0)</f>
        <v>0</v>
      </c>
      <c r="AO86" s="37">
        <f>IF(AND(AO$7&gt;=1,AO$7&lt;='Assumptions_&amp;_Inputs'!$E$83),-AO$85*'Assumptions_&amp;_Inputs'!$E$80,0)</f>
        <v>0</v>
      </c>
      <c r="AP86" s="37">
        <f>IF(AND(AP$7&gt;=1,AP$7&lt;='Assumptions_&amp;_Inputs'!$E$83),-AP$85*'Assumptions_&amp;_Inputs'!$E$80,0)</f>
        <v>0</v>
      </c>
      <c r="AQ86" s="37">
        <f>IF(AND(AQ$7&gt;=1,AQ$7&lt;='Assumptions_&amp;_Inputs'!$E$83),-AQ$85*'Assumptions_&amp;_Inputs'!$E$80,0)</f>
        <v>0</v>
      </c>
      <c r="AR86" s="37">
        <f>IF(AND(AR$7&gt;=1,AR$7&lt;='Assumptions_&amp;_Inputs'!$E$83),-AR$85*'Assumptions_&amp;_Inputs'!$E$80,0)</f>
        <v>0</v>
      </c>
      <c r="AS86" s="37">
        <f>IF(AND(AS$7&gt;=1,AS$7&lt;='Assumptions_&amp;_Inputs'!$E$83),-AS$85*'Assumptions_&amp;_Inputs'!$E$80,0)</f>
        <v>0</v>
      </c>
      <c r="AT86" s="37">
        <f>IF(AND(AT$7&gt;=1,AT$7&lt;='Assumptions_&amp;_Inputs'!$E$83),-AT$85*'Assumptions_&amp;_Inputs'!$E$80,0)</f>
        <v>0</v>
      </c>
      <c r="AU86" s="37">
        <f>IF(AND(AU$7&gt;=1,AU$7&lt;='Assumptions_&amp;_Inputs'!$E$83),-AU$85*'Assumptions_&amp;_Inputs'!$E$80,0)</f>
        <v>0</v>
      </c>
      <c r="AV86" s="37">
        <f>IF(AND(AV$7&gt;=1,AV$7&lt;='Assumptions_&amp;_Inputs'!$E$83),-AV$85*'Assumptions_&amp;_Inputs'!$E$80,0)</f>
        <v>0</v>
      </c>
      <c r="AW86" s="37">
        <f>IF(AND(AW$7&gt;=1,AW$7&lt;='Assumptions_&amp;_Inputs'!$E$83),-AW$85*'Assumptions_&amp;_Inputs'!$E$80,0)</f>
        <v>0</v>
      </c>
      <c r="AX86" s="37">
        <f>IF(AND(AX$7&gt;=1,AX$7&lt;='Assumptions_&amp;_Inputs'!$E$83),-AX$85*'Assumptions_&amp;_Inputs'!$E$80,0)</f>
        <v>0</v>
      </c>
      <c r="AY86" s="37">
        <f>IF(AND(AY$7&gt;=1,AY$7&lt;='Assumptions_&amp;_Inputs'!$E$83),-AY$85*'Assumptions_&amp;_Inputs'!$E$80,0)</f>
        <v>0</v>
      </c>
      <c r="AZ86" s="37">
        <f>IF(AND(AZ$7&gt;=1,AZ$7&lt;='Assumptions_&amp;_Inputs'!$E$83),-AZ$85*'Assumptions_&amp;_Inputs'!$E$80,0)</f>
        <v>0</v>
      </c>
      <c r="BA86" s="37">
        <f>IF(AND(BA$7&gt;=1,BA$7&lt;='Assumptions_&amp;_Inputs'!$E$83),-BA$85*'Assumptions_&amp;_Inputs'!$E$80,0)</f>
        <v>0</v>
      </c>
      <c r="BB86" s="37">
        <f>IF(AND(BB$7&gt;=1,BB$7&lt;='Assumptions_&amp;_Inputs'!$E$83),-BB$85*'Assumptions_&amp;_Inputs'!$E$80,0)</f>
        <v>0</v>
      </c>
      <c r="BC86" s="37">
        <f>IF(AND(BC$7&gt;=1,BC$7&lt;='Assumptions_&amp;_Inputs'!$E$83),-BC$85*'Assumptions_&amp;_Inputs'!$E$80,0)</f>
        <v>0</v>
      </c>
      <c r="BD86" s="37">
        <f>IF(AND(BD$7&gt;=1,BD$7&lt;='Assumptions_&amp;_Inputs'!$E$83),-BD$85*'Assumptions_&amp;_Inputs'!$E$80,0)</f>
        <v>0</v>
      </c>
      <c r="BE86" s="37">
        <f>IF(AND(BE$7&gt;=1,BE$7&lt;='Assumptions_&amp;_Inputs'!$E$83),-BE$85*'Assumptions_&amp;_Inputs'!$E$80,0)</f>
        <v>0</v>
      </c>
      <c r="BF86" s="37">
        <f>IF(AND(BF$7&gt;=1,BF$7&lt;='Assumptions_&amp;_Inputs'!$E$83),-BF$85*'Assumptions_&amp;_Inputs'!$E$80,0)</f>
        <v>0</v>
      </c>
      <c r="BG86" s="37">
        <f>IF(AND(BG$7&gt;=1,BG$7&lt;='Assumptions_&amp;_Inputs'!$E$83),-BG$85*'Assumptions_&amp;_Inputs'!$E$80,0)</f>
        <v>0</v>
      </c>
      <c r="BH86" s="37">
        <f>IF(AND(BH$7&gt;=1,BH$7&lt;='Assumptions_&amp;_Inputs'!$E$83),-BH$85*'Assumptions_&amp;_Inputs'!$E$80,0)</f>
        <v>0</v>
      </c>
      <c r="BI86" s="37">
        <f>IF(AND(BI$7&gt;=1,BI$7&lt;='Assumptions_&amp;_Inputs'!$E$83),-BI$85*'Assumptions_&amp;_Inputs'!$E$80,0)</f>
        <v>0</v>
      </c>
      <c r="BJ86" s="37">
        <f>IF(AND(BJ$7&gt;=1,BJ$7&lt;='Assumptions_&amp;_Inputs'!$E$83),-BJ$85*'Assumptions_&amp;_Inputs'!$E$80,0)</f>
        <v>0</v>
      </c>
      <c r="BK86" s="37">
        <f>IF(AND(BK$7&gt;=1,BK$7&lt;='Assumptions_&amp;_Inputs'!$E$83),-BK$85*'Assumptions_&amp;_Inputs'!$E$80,0)</f>
        <v>0</v>
      </c>
      <c r="BL86" s="37">
        <f>IF(AND(BL$7&gt;=1,BL$7&lt;='Assumptions_&amp;_Inputs'!$E$83),-BL$85*'Assumptions_&amp;_Inputs'!$E$80,0)</f>
        <v>0</v>
      </c>
      <c r="BM86" s="37">
        <f>IF(AND(BM$7&gt;=1,BM$7&lt;='Assumptions_&amp;_Inputs'!$E$83),-BM$85*'Assumptions_&amp;_Inputs'!$E$80,0)</f>
        <v>0</v>
      </c>
      <c r="BN86" s="37">
        <f>IF(AND(BN$7&gt;=1,BN$7&lt;='Assumptions_&amp;_Inputs'!$E$83),-BN$85*'Assumptions_&amp;_Inputs'!$E$80,0)</f>
        <v>0</v>
      </c>
      <c r="BO86" s="37">
        <f>IF(AND(BO$7&gt;=1,BO$7&lt;='Assumptions_&amp;_Inputs'!$E$83),-BO$85*'Assumptions_&amp;_Inputs'!$E$80,0)</f>
        <v>0</v>
      </c>
      <c r="BP86" s="37">
        <f>IF(AND(BP$7&gt;=1,BP$7&lt;='Assumptions_&amp;_Inputs'!$E$83),-BP$85*'Assumptions_&amp;_Inputs'!$E$80,0)</f>
        <v>0</v>
      </c>
      <c r="BQ86" s="37">
        <f>IF(AND(BQ$7&gt;=1,BQ$7&lt;='Assumptions_&amp;_Inputs'!$E$83),-BQ$85*'Assumptions_&amp;_Inputs'!$E$80,0)</f>
        <v>0</v>
      </c>
      <c r="BR86" s="37">
        <f>IF(AND(BR$7&gt;=1,BR$7&lt;='Assumptions_&amp;_Inputs'!$E$83),-BR$85*'Assumptions_&amp;_Inputs'!$E$80,0)</f>
        <v>0</v>
      </c>
      <c r="BS86" s="37">
        <f>IF(AND(BS$7&gt;=1,BS$7&lt;='Assumptions_&amp;_Inputs'!$E$83),-BS$85*'Assumptions_&amp;_Inputs'!$E$80,0)</f>
        <v>0</v>
      </c>
      <c r="BT86" s="37">
        <f>IF(AND(BT$7&gt;=1,BT$7&lt;='Assumptions_&amp;_Inputs'!$E$83),-BT$85*'Assumptions_&amp;_Inputs'!$E$80,0)</f>
        <v>0</v>
      </c>
      <c r="BU86" s="37">
        <f>IF(AND(BU$7&gt;=1,BU$7&lt;='Assumptions_&amp;_Inputs'!$E$83),-BU$85*'Assumptions_&amp;_Inputs'!$E$80,0)</f>
        <v>0</v>
      </c>
      <c r="BV86" s="37">
        <f>IF(AND(BV$7&gt;=1,BV$7&lt;='Assumptions_&amp;_Inputs'!$E$83),-BV$85*'Assumptions_&amp;_Inputs'!$E$80,0)</f>
        <v>0</v>
      </c>
      <c r="BW86" s="37">
        <f>IF(AND(BW$7&gt;=1,BW$7&lt;='Assumptions_&amp;_Inputs'!$E$83),-BW$85*'Assumptions_&amp;_Inputs'!$E$80,0)</f>
        <v>0</v>
      </c>
      <c r="BX86" s="37">
        <f>IF(AND(BX$7&gt;=1,BX$7&lt;='Assumptions_&amp;_Inputs'!$E$83),-BX$85*'Assumptions_&amp;_Inputs'!$E$80,0)</f>
        <v>0</v>
      </c>
      <c r="BY86" s="37">
        <f>IF(AND(BY$7&gt;=1,BY$7&lt;='Assumptions_&amp;_Inputs'!$E$83),-BY$85*'Assumptions_&amp;_Inputs'!$E$80,0)</f>
        <v>0</v>
      </c>
      <c r="BZ86" s="37">
        <f>IF(AND(BZ$7&gt;=1,BZ$7&lt;='Assumptions_&amp;_Inputs'!$E$83),-BZ$85*'Assumptions_&amp;_Inputs'!$E$80,0)</f>
        <v>0</v>
      </c>
      <c r="CA86" s="37">
        <f>IF(AND(CA$7&gt;=1,CA$7&lt;='Assumptions_&amp;_Inputs'!$E$83),-CA$85*'Assumptions_&amp;_Inputs'!$E$80,0)</f>
        <v>0</v>
      </c>
      <c r="CB86" s="37">
        <f>IF(AND(CB$7&gt;=1,CB$7&lt;='Assumptions_&amp;_Inputs'!$E$83),-CB$85*'Assumptions_&amp;_Inputs'!$E$80,0)</f>
        <v>0</v>
      </c>
      <c r="CC86" s="37">
        <f>IF(AND(CC$7&gt;=1,CC$7&lt;='Assumptions_&amp;_Inputs'!$E$83),-CC$85*'Assumptions_&amp;_Inputs'!$E$80,0)</f>
        <v>0</v>
      </c>
      <c r="CD86" s="37">
        <f>IF(AND(CD$7&gt;=1,CD$7&lt;='Assumptions_&amp;_Inputs'!$E$83),-CD$85*'Assumptions_&amp;_Inputs'!$E$80,0)</f>
        <v>0</v>
      </c>
      <c r="CE86" s="37">
        <f>IF(AND(CE$7&gt;=1,CE$7&lt;='Assumptions_&amp;_Inputs'!$E$83),-CE$85*'Assumptions_&amp;_Inputs'!$E$80,0)</f>
        <v>0</v>
      </c>
      <c r="CF86" s="37">
        <f>IF(AND(CF$7&gt;=1,CF$7&lt;='Assumptions_&amp;_Inputs'!$E$83),-CF$85*'Assumptions_&amp;_Inputs'!$E$80,0)</f>
        <v>0</v>
      </c>
      <c r="CG86" s="37">
        <f>IF(AND(CG$7&gt;=1,CG$7&lt;='Assumptions_&amp;_Inputs'!$E$83),-CG$85*'Assumptions_&amp;_Inputs'!$E$80,0)</f>
        <v>0</v>
      </c>
      <c r="CH86" s="37">
        <f>IF(AND(CH$7&gt;=1,CH$7&lt;='Assumptions_&amp;_Inputs'!$E$83),-CH$85*'Assumptions_&amp;_Inputs'!$E$80,0)</f>
        <v>0</v>
      </c>
      <c r="CI86" s="37">
        <f>IF(AND(CI$7&gt;=1,CI$7&lt;='Assumptions_&amp;_Inputs'!$E$83),-CI$85*'Assumptions_&amp;_Inputs'!$E$80,0)</f>
        <v>0</v>
      </c>
      <c r="CJ86" s="37">
        <f>IF(AND(CJ$7&gt;=1,CJ$7&lt;='Assumptions_&amp;_Inputs'!$E$83),-CJ$85*'Assumptions_&amp;_Inputs'!$E$80,0)</f>
        <v>0</v>
      </c>
      <c r="CK86" s="37">
        <f>IF(AND(CK$7&gt;=1,CK$7&lt;='Assumptions_&amp;_Inputs'!$E$83),-CK$85*'Assumptions_&amp;_Inputs'!$E$80,0)</f>
        <v>0</v>
      </c>
      <c r="CL86" s="37">
        <f>IF(AND(CL$7&gt;=1,CL$7&lt;='Assumptions_&amp;_Inputs'!$E$83),-CL$85*'Assumptions_&amp;_Inputs'!$E$80,0)</f>
        <v>0</v>
      </c>
      <c r="CM86" s="37">
        <f>IF(AND(CM$7&gt;=1,CM$7&lt;='Assumptions_&amp;_Inputs'!$E$83),-CM$85*'Assumptions_&amp;_Inputs'!$E$80,0)</f>
        <v>0</v>
      </c>
      <c r="CN86" s="37">
        <f>IF(AND(CN$7&gt;=1,CN$7&lt;='Assumptions_&amp;_Inputs'!$E$83),-CN$85*'Assumptions_&amp;_Inputs'!$E$80,0)</f>
        <v>0</v>
      </c>
      <c r="CO86" s="37">
        <f>IF(AND(CO$7&gt;=1,CO$7&lt;='Assumptions_&amp;_Inputs'!$E$83),-CO$85*'Assumptions_&amp;_Inputs'!$E$80,0)</f>
        <v>0</v>
      </c>
      <c r="CP86" s="37">
        <f>IF(AND(CP$7&gt;=1,CP$7&lt;='Assumptions_&amp;_Inputs'!$E$83),-CP$85*'Assumptions_&amp;_Inputs'!$E$80,0)</f>
        <v>0</v>
      </c>
      <c r="CQ86" s="37">
        <f>IF(AND(CQ$7&gt;=1,CQ$7&lt;='Assumptions_&amp;_Inputs'!$E$83),-CQ$85*'Assumptions_&amp;_Inputs'!$E$80,0)</f>
        <v>0</v>
      </c>
      <c r="CR86" s="37">
        <f>IF(AND(CR$7&gt;=1,CR$7&lt;='Assumptions_&amp;_Inputs'!$E$83),-CR$85*'Assumptions_&amp;_Inputs'!$E$80,0)</f>
        <v>0</v>
      </c>
      <c r="CS86" s="37">
        <f>IF(AND(CS$7&gt;=1,CS$7&lt;='Assumptions_&amp;_Inputs'!$E$83),-CS$85*'Assumptions_&amp;_Inputs'!$E$80,0)</f>
        <v>0</v>
      </c>
      <c r="CT86" s="37">
        <f>IF(AND(CT$7&gt;=1,CT$7&lt;='Assumptions_&amp;_Inputs'!$E$83),-CT$85*'Assumptions_&amp;_Inputs'!$E$80,0)</f>
        <v>0</v>
      </c>
      <c r="CU86" s="37">
        <f>IF(AND(CU$7&gt;=1,CU$7&lt;='Assumptions_&amp;_Inputs'!$E$83),-CU$85*'Assumptions_&amp;_Inputs'!$E$80,0)</f>
        <v>0</v>
      </c>
      <c r="CV86" s="37">
        <f>IF(AND(CV$7&gt;=1,CV$7&lt;='Assumptions_&amp;_Inputs'!$E$83),-CV$85*'Assumptions_&amp;_Inputs'!$E$80,0)</f>
        <v>0</v>
      </c>
      <c r="CW86" s="37">
        <f>IF(AND(CW$7&gt;=1,CW$7&lt;='Assumptions_&amp;_Inputs'!$E$83),-CW$85*'Assumptions_&amp;_Inputs'!$E$80,0)</f>
        <v>0</v>
      </c>
      <c r="CX86" s="37">
        <f>IF(AND(CX$7&gt;=1,CX$7&lt;='Assumptions_&amp;_Inputs'!$E$83),-CX$85*'Assumptions_&amp;_Inputs'!$E$80,0)</f>
        <v>0</v>
      </c>
      <c r="CY86" s="37">
        <f>IF(AND(CY$7&gt;=1,CY$7&lt;='Assumptions_&amp;_Inputs'!$E$83),-CY$85*'Assumptions_&amp;_Inputs'!$E$80,0)</f>
        <v>0</v>
      </c>
      <c r="CZ86" s="37">
        <f>IF(AND(CZ$7&gt;=1,CZ$7&lt;='Assumptions_&amp;_Inputs'!$E$83),-CZ$85*'Assumptions_&amp;_Inputs'!$E$80,0)</f>
        <v>0</v>
      </c>
      <c r="DA86" s="37">
        <f>IF(AND(DA$7&gt;=1,DA$7&lt;='Assumptions_&amp;_Inputs'!$E$83),-DA$85*'Assumptions_&amp;_Inputs'!$E$80,0)</f>
        <v>0</v>
      </c>
      <c r="DB86" s="37">
        <f>IF(AND(DB$7&gt;=1,DB$7&lt;='Assumptions_&amp;_Inputs'!$E$83),-DB$85*'Assumptions_&amp;_Inputs'!$E$80,0)</f>
        <v>0</v>
      </c>
      <c r="DC86" s="37">
        <f>IF(AND(DC$7&gt;=1,DC$7&lt;='Assumptions_&amp;_Inputs'!$E$83),-DC$85*'Assumptions_&amp;_Inputs'!$E$80,0)</f>
        <v>0</v>
      </c>
      <c r="DD86" s="37">
        <f>IF(AND(DD$7&gt;=1,DD$7&lt;='Assumptions_&amp;_Inputs'!$E$83),-DD$85*'Assumptions_&amp;_Inputs'!$E$80,0)</f>
        <v>0</v>
      </c>
      <c r="DE86" s="37">
        <f>IF(AND(DE$7&gt;=1,DE$7&lt;='Assumptions_&amp;_Inputs'!$E$83),-DE$85*'Assumptions_&amp;_Inputs'!$E$80,0)</f>
        <v>0</v>
      </c>
      <c r="DF86" s="37">
        <f>IF(AND(DF$7&gt;=1,DF$7&lt;='Assumptions_&amp;_Inputs'!$E$83),-DF$85*'Assumptions_&amp;_Inputs'!$E$80,0)</f>
        <v>0</v>
      </c>
      <c r="DG86" s="37">
        <f>IF(AND(DG$7&gt;=1,DG$7&lt;='Assumptions_&amp;_Inputs'!$E$83),-DG$85*'Assumptions_&amp;_Inputs'!$E$80,0)</f>
        <v>0</v>
      </c>
      <c r="DH86" s="37">
        <f>IF(AND(DH$7&gt;=1,DH$7&lt;='Assumptions_&amp;_Inputs'!$E$83),-DH$85*'Assumptions_&amp;_Inputs'!$E$80,0)</f>
        <v>0</v>
      </c>
      <c r="DI86" s="37">
        <f>IF(AND(DI$7&gt;=1,DI$7&lt;='Assumptions_&amp;_Inputs'!$E$83),-DI$85*'Assumptions_&amp;_Inputs'!$E$80,0)</f>
        <v>0</v>
      </c>
      <c r="DJ86" s="37">
        <f>IF(AND(DJ$7&gt;=1,DJ$7&lt;='Assumptions_&amp;_Inputs'!$E$83),-DJ$85*'Assumptions_&amp;_Inputs'!$E$80,0)</f>
        <v>0</v>
      </c>
      <c r="DK86" s="37">
        <f>IF(AND(DK$7&gt;=1,DK$7&lt;='Assumptions_&amp;_Inputs'!$E$83),-DK$85*'Assumptions_&amp;_Inputs'!$E$80,0)</f>
        <v>0</v>
      </c>
      <c r="DL86" s="37">
        <f>IF(AND(DL$7&gt;=1,DL$7&lt;='Assumptions_&amp;_Inputs'!$E$83),-DL$85*'Assumptions_&amp;_Inputs'!$E$80,0)</f>
        <v>0</v>
      </c>
      <c r="DM86" s="37">
        <f>IF(AND(DM$7&gt;=1,DM$7&lt;='Assumptions_&amp;_Inputs'!$E$83),-DM$85*'Assumptions_&amp;_Inputs'!$E$80,0)</f>
        <v>0</v>
      </c>
      <c r="DN86" s="37">
        <f>IF(AND(DN$7&gt;=1,DN$7&lt;='Assumptions_&amp;_Inputs'!$E$83),-DN$85*'Assumptions_&amp;_Inputs'!$E$80,0)</f>
        <v>0</v>
      </c>
      <c r="DO86" s="37">
        <f>IF(AND(DO$7&gt;=1,DO$7&lt;='Assumptions_&amp;_Inputs'!$E$83),-DO$85*'Assumptions_&amp;_Inputs'!$E$80,0)</f>
        <v>0</v>
      </c>
      <c r="DP86" s="37">
        <f>IF(AND(DP$7&gt;=1,DP$7&lt;='Assumptions_&amp;_Inputs'!$E$83),-DP$85*'Assumptions_&amp;_Inputs'!$E$80,0)</f>
        <v>0</v>
      </c>
      <c r="DQ86" s="37">
        <f>IF(AND(DQ$7&gt;=1,DQ$7&lt;='Assumptions_&amp;_Inputs'!$E$83),-DQ$85*'Assumptions_&amp;_Inputs'!$E$80,0)</f>
        <v>0</v>
      </c>
      <c r="DR86" s="37">
        <f>IF(AND(DR$7&gt;=1,DR$7&lt;='Assumptions_&amp;_Inputs'!$E$83),-DR$85*'Assumptions_&amp;_Inputs'!$E$80,0)</f>
        <v>0</v>
      </c>
      <c r="DS86" s="37">
        <f>IF(AND(DS$7&gt;=1,DS$7&lt;='Assumptions_&amp;_Inputs'!$E$83),-DS$85*'Assumptions_&amp;_Inputs'!$E$80,0)</f>
        <v>0</v>
      </c>
      <c r="DT86" s="37">
        <f>IF(AND(DT$7&gt;=1,DT$7&lt;='Assumptions_&amp;_Inputs'!$E$83),-DT$85*'Assumptions_&amp;_Inputs'!$E$80,0)</f>
        <v>0</v>
      </c>
      <c r="DU86" s="37">
        <f>IF(AND(DU$7&gt;=1,DU$7&lt;='Assumptions_&amp;_Inputs'!$E$83),-DU$85*'Assumptions_&amp;_Inputs'!$E$80,0)</f>
        <v>0</v>
      </c>
      <c r="DV86" s="37">
        <f>IF(AND(DV$7&gt;=1,DV$7&lt;='Assumptions_&amp;_Inputs'!$E$83),-DV$85*'Assumptions_&amp;_Inputs'!$E$80,0)</f>
        <v>0</v>
      </c>
      <c r="DW86" s="37">
        <f>IF(AND(DW$7&gt;=1,DW$7&lt;='Assumptions_&amp;_Inputs'!$E$83),-DW$85*'Assumptions_&amp;_Inputs'!$E$80,0)</f>
        <v>0</v>
      </c>
      <c r="DX86" s="37">
        <f>IF(AND(DX$7&gt;=1,DX$7&lt;='Assumptions_&amp;_Inputs'!$E$83),-DX$85*'Assumptions_&amp;_Inputs'!$E$80,0)</f>
        <v>0</v>
      </c>
      <c r="DY86" s="37">
        <f>IF(AND(DY$7&gt;=1,DY$7&lt;='Assumptions_&amp;_Inputs'!$E$83),-DY$85*'Assumptions_&amp;_Inputs'!$E$80,0)</f>
        <v>0</v>
      </c>
      <c r="DZ86" s="37">
        <f>IF(AND(DZ$7&gt;=1,DZ$7&lt;='Assumptions_&amp;_Inputs'!$E$83),-DZ$85*'Assumptions_&amp;_Inputs'!$E$80,0)</f>
        <v>0</v>
      </c>
      <c r="EA86" s="37">
        <f>IF(AND(EA$7&gt;=1,EA$7&lt;='Assumptions_&amp;_Inputs'!$E$83),-EA$85*'Assumptions_&amp;_Inputs'!$E$80,0)</f>
        <v>0</v>
      </c>
      <c r="EB86" s="37">
        <f>IF(AND(EB$7&gt;=1,EB$7&lt;='Assumptions_&amp;_Inputs'!$E$83),-EB$85*'Assumptions_&amp;_Inputs'!$E$80,0)</f>
        <v>0</v>
      </c>
      <c r="EC86" s="37">
        <f>IF(AND(EC$7&gt;=1,EC$7&lt;='Assumptions_&amp;_Inputs'!$E$83),-EC$85*'Assumptions_&amp;_Inputs'!$E$80,0)</f>
        <v>0</v>
      </c>
      <c r="ED86" s="37">
        <f>IF(AND(ED$7&gt;=1,ED$7&lt;='Assumptions_&amp;_Inputs'!$E$83),-ED$85*'Assumptions_&amp;_Inputs'!$E$80,0)</f>
        <v>0</v>
      </c>
      <c r="EE86" s="37">
        <f>IF(AND(EE$7&gt;=1,EE$7&lt;='Assumptions_&amp;_Inputs'!$E$83),-EE$85*'Assumptions_&amp;_Inputs'!$E$80,0)</f>
        <v>0</v>
      </c>
      <c r="EF86" s="37">
        <f>IF(AND(EF$7&gt;=1,EF$7&lt;='Assumptions_&amp;_Inputs'!$E$83),-EF$85*'Assumptions_&amp;_Inputs'!$E$80,0)</f>
        <v>0</v>
      </c>
      <c r="EG86" s="37">
        <f>IF(AND(EG$7&gt;=1,EG$7&lt;='Assumptions_&amp;_Inputs'!$E$83),-EG$85*'Assumptions_&amp;_Inputs'!$E$80,0)</f>
        <v>0</v>
      </c>
      <c r="EH86" s="37">
        <f>IF(AND(EH$7&gt;=1,EH$7&lt;='Assumptions_&amp;_Inputs'!$E$83),-EH$85*'Assumptions_&amp;_Inputs'!$E$80,0)</f>
        <v>0</v>
      </c>
      <c r="EI86" s="37">
        <f>IF(AND(EI$7&gt;=1,EI$7&lt;='Assumptions_&amp;_Inputs'!$E$83),-EI$85*'Assumptions_&amp;_Inputs'!$E$80,0)</f>
        <v>0</v>
      </c>
      <c r="EJ86" s="37">
        <f>IF(AND(EJ$7&gt;=1,EJ$7&lt;='Assumptions_&amp;_Inputs'!$E$83),-EJ$85*'Assumptions_&amp;_Inputs'!$E$80,0)</f>
        <v>0</v>
      </c>
      <c r="EK86" s="37">
        <f>IF(AND(EK$7&gt;=1,EK$7&lt;='Assumptions_&amp;_Inputs'!$E$83),-EK$85*'Assumptions_&amp;_Inputs'!$E$80,0)</f>
        <v>0</v>
      </c>
      <c r="EL86" s="37">
        <f>IF(AND(EL$7&gt;=1,EL$7&lt;='Assumptions_&amp;_Inputs'!$E$83),-EL$85*'Assumptions_&amp;_Inputs'!$E$80,0)</f>
        <v>0</v>
      </c>
      <c r="EM86" s="37">
        <f>IF(AND(EM$7&gt;=1,EM$7&lt;='Assumptions_&amp;_Inputs'!$E$83),-EM$85*'Assumptions_&amp;_Inputs'!$E$80,0)</f>
        <v>0</v>
      </c>
      <c r="EN86" s="37">
        <f>IF(AND(EN$7&gt;=1,EN$7&lt;='Assumptions_&amp;_Inputs'!$E$83),-EN$85*'Assumptions_&amp;_Inputs'!$E$80,0)</f>
        <v>0</v>
      </c>
      <c r="EO86" s="37">
        <f>IF(AND(EO$7&gt;=1,EO$7&lt;='Assumptions_&amp;_Inputs'!$E$83),-EO$85*'Assumptions_&amp;_Inputs'!$E$80,0)</f>
        <v>0</v>
      </c>
      <c r="EP86" s="37">
        <f>IF(AND(EP$7&gt;=1,EP$7&lt;='Assumptions_&amp;_Inputs'!$E$83),-EP$85*'Assumptions_&amp;_Inputs'!$E$80,0)</f>
        <v>0</v>
      </c>
      <c r="EQ86" s="37">
        <f>IF(AND(EQ$7&gt;=1,EQ$7&lt;='Assumptions_&amp;_Inputs'!$E$83),-EQ$85*'Assumptions_&amp;_Inputs'!$E$80,0)</f>
        <v>0</v>
      </c>
      <c r="ER86" s="37">
        <f>IF(AND(ER$7&gt;=1,ER$7&lt;='Assumptions_&amp;_Inputs'!$E$83),-ER$85*'Assumptions_&amp;_Inputs'!$E$80,0)</f>
        <v>0</v>
      </c>
      <c r="ES86" s="37">
        <f>IF(AND(ES$7&gt;=1,ES$7&lt;='Assumptions_&amp;_Inputs'!$E$83),-ES$85*'Assumptions_&amp;_Inputs'!$E$80,0)</f>
        <v>0</v>
      </c>
      <c r="ET86" s="37">
        <f>IF(AND(ET$7&gt;=1,ET$7&lt;='Assumptions_&amp;_Inputs'!$E$83),-ET$85*'Assumptions_&amp;_Inputs'!$E$80,0)</f>
        <v>0</v>
      </c>
      <c r="EU86" s="37">
        <f>IF(AND(EU$7&gt;=1,EU$7&lt;='Assumptions_&amp;_Inputs'!$E$83),-EU$85*'Assumptions_&amp;_Inputs'!$E$80,0)</f>
        <v>0</v>
      </c>
      <c r="EV86" s="37">
        <f>IF(AND(EV$7&gt;=1,EV$7&lt;='Assumptions_&amp;_Inputs'!$E$83),-EV$85*'Assumptions_&amp;_Inputs'!$E$80,0)</f>
        <v>0</v>
      </c>
      <c r="EW86" s="37">
        <f>IF(AND(EW$7&gt;=1,EW$7&lt;='Assumptions_&amp;_Inputs'!$E$83),-EW$85*'Assumptions_&amp;_Inputs'!$E$80,0)</f>
        <v>0</v>
      </c>
      <c r="EX86" s="37">
        <f>IF(AND(EX$7&gt;=1,EX$7&lt;='Assumptions_&amp;_Inputs'!$E$83),-EX$85*'Assumptions_&amp;_Inputs'!$E$80,0)</f>
        <v>0</v>
      </c>
      <c r="EY86" s="37">
        <f>IF(AND(EY$7&gt;=1,EY$7&lt;='Assumptions_&amp;_Inputs'!$E$83),-EY$85*'Assumptions_&amp;_Inputs'!$E$80,0)</f>
        <v>0</v>
      </c>
      <c r="EZ86" s="37">
        <f>IF(AND(EZ$7&gt;=1,EZ$7&lt;='Assumptions_&amp;_Inputs'!$E$83),-EZ$85*'Assumptions_&amp;_Inputs'!$E$80,0)</f>
        <v>0</v>
      </c>
      <c r="FA86" s="37">
        <f>IF(AND(FA$7&gt;=1,FA$7&lt;='Assumptions_&amp;_Inputs'!$E$83),-FA$85*'Assumptions_&amp;_Inputs'!$E$80,0)</f>
        <v>0</v>
      </c>
      <c r="FB86" s="37">
        <f>IF(AND(FB$7&gt;=1,FB$7&lt;='Assumptions_&amp;_Inputs'!$E$83),-FB$85*'Assumptions_&amp;_Inputs'!$E$80,0)</f>
        <v>0</v>
      </c>
      <c r="FC86" s="37">
        <f>IF(AND(FC$7&gt;=1,FC$7&lt;='Assumptions_&amp;_Inputs'!$E$83),-FC$85*'Assumptions_&amp;_Inputs'!$E$80,0)</f>
        <v>0</v>
      </c>
      <c r="FD86" s="37">
        <f>IF(AND(FD$7&gt;=1,FD$7&lt;='Assumptions_&amp;_Inputs'!$E$83),-FD$85*'Assumptions_&amp;_Inputs'!$E$80,0)</f>
        <v>0</v>
      </c>
      <c r="FE86" s="37">
        <f>IF(AND(FE$7&gt;=1,FE$7&lt;='Assumptions_&amp;_Inputs'!$E$83),-FE$85*'Assumptions_&amp;_Inputs'!$E$80,0)</f>
        <v>0</v>
      </c>
      <c r="FF86" s="37">
        <f>IF(AND(FF$7&gt;=1,FF$7&lt;='Assumptions_&amp;_Inputs'!$E$83),-FF$85*'Assumptions_&amp;_Inputs'!$E$80,0)</f>
        <v>0</v>
      </c>
      <c r="FG86" s="37">
        <f>IF(AND(FG$7&gt;=1,FG$7&lt;='Assumptions_&amp;_Inputs'!$E$83),-FG$85*'Assumptions_&amp;_Inputs'!$E$80,0)</f>
        <v>0</v>
      </c>
      <c r="FH86" s="37">
        <f>IF(AND(FH$7&gt;=1,FH$7&lt;='Assumptions_&amp;_Inputs'!$E$83),-FH$85*'Assumptions_&amp;_Inputs'!$E$80,0)</f>
        <v>0</v>
      </c>
      <c r="FI86" s="37">
        <f>IF(AND(FI$7&gt;=1,FI$7&lt;='Assumptions_&amp;_Inputs'!$E$83),-FI$85*'Assumptions_&amp;_Inputs'!$E$80,0)</f>
        <v>0</v>
      </c>
      <c r="FJ86" s="37">
        <f>IF(AND(FJ$7&gt;=1,FJ$7&lt;='Assumptions_&amp;_Inputs'!$E$83),-FJ$85*'Assumptions_&amp;_Inputs'!$E$80,0)</f>
        <v>0</v>
      </c>
      <c r="FK86" s="37">
        <f>IF(AND(FK$7&gt;=1,FK$7&lt;='Assumptions_&amp;_Inputs'!$E$83),-FK$85*'Assumptions_&amp;_Inputs'!$E$80,0)</f>
        <v>0</v>
      </c>
      <c r="FL86" s="37">
        <f>IF(AND(FL$7&gt;=1,FL$7&lt;='Assumptions_&amp;_Inputs'!$E$83),-FL$85*'Assumptions_&amp;_Inputs'!$E$80,0)</f>
        <v>0</v>
      </c>
      <c r="FM86" s="37">
        <f>IF(AND(FM$7&gt;=1,FM$7&lt;='Assumptions_&amp;_Inputs'!$E$83),-FM$85*'Assumptions_&amp;_Inputs'!$E$80,0)</f>
        <v>0</v>
      </c>
      <c r="FN86" s="37">
        <f>IF(AND(FN$7&gt;=1,FN$7&lt;='Assumptions_&amp;_Inputs'!$E$83),-FN$85*'Assumptions_&amp;_Inputs'!$E$80,0)</f>
        <v>0</v>
      </c>
      <c r="FO86" s="37">
        <f>IF(AND(FO$7&gt;=1,FO$7&lt;='Assumptions_&amp;_Inputs'!$E$83),-FO$85*'Assumptions_&amp;_Inputs'!$E$80,0)</f>
        <v>0</v>
      </c>
      <c r="FP86" s="37">
        <f>IF(AND(FP$7&gt;=1,FP$7&lt;='Assumptions_&amp;_Inputs'!$E$83),-FP$85*'Assumptions_&amp;_Inputs'!$E$80,0)</f>
        <v>0</v>
      </c>
      <c r="FQ86" s="37">
        <f>IF(AND(FQ$7&gt;=1,FQ$7&lt;='Assumptions_&amp;_Inputs'!$E$83),-FQ$85*'Assumptions_&amp;_Inputs'!$E$80,0)</f>
        <v>0</v>
      </c>
      <c r="FR86" s="37">
        <f>IF(AND(FR$7&gt;=1,FR$7&lt;='Assumptions_&amp;_Inputs'!$E$83),-FR$85*'Assumptions_&amp;_Inputs'!$E$80,0)</f>
        <v>0</v>
      </c>
      <c r="FS86" s="37">
        <f>IF(AND(FS$7&gt;=1,FS$7&lt;='Assumptions_&amp;_Inputs'!$E$83),-FS$85*'Assumptions_&amp;_Inputs'!$E$80,0)</f>
        <v>0</v>
      </c>
      <c r="FT86" s="37">
        <f>IF(AND(FT$7&gt;=1,FT$7&lt;='Assumptions_&amp;_Inputs'!$E$83),-FT$85*'Assumptions_&amp;_Inputs'!$E$80,0)</f>
        <v>0</v>
      </c>
      <c r="FU86" s="37">
        <f>IF(AND(FU$7&gt;=1,FU$7&lt;='Assumptions_&amp;_Inputs'!$E$83),-FU$85*'Assumptions_&amp;_Inputs'!$E$80,0)</f>
        <v>0</v>
      </c>
      <c r="FV86" s="37">
        <f>IF(AND(FV$7&gt;=1,FV$7&lt;='Assumptions_&amp;_Inputs'!$E$83),-FV$85*'Assumptions_&amp;_Inputs'!$E$80,0)</f>
        <v>0</v>
      </c>
      <c r="FW86" s="37">
        <f>IF(AND(FW$7&gt;=1,FW$7&lt;='Assumptions_&amp;_Inputs'!$E$83),-FW$85*'Assumptions_&amp;_Inputs'!$E$80,0)</f>
        <v>0</v>
      </c>
      <c r="FX86" s="37">
        <f>IF(AND(FX$7&gt;=1,FX$7&lt;='Assumptions_&amp;_Inputs'!$E$83),-FX$85*'Assumptions_&amp;_Inputs'!$E$80,0)</f>
        <v>0</v>
      </c>
      <c r="FY86" s="37">
        <f>IF(AND(FY$7&gt;=1,FY$7&lt;='Assumptions_&amp;_Inputs'!$E$83),-FY$85*'Assumptions_&amp;_Inputs'!$E$80,0)</f>
        <v>0</v>
      </c>
      <c r="FZ86" s="37">
        <f>IF(AND(FZ$7&gt;=1,FZ$7&lt;='Assumptions_&amp;_Inputs'!$E$83),-FZ$85*'Assumptions_&amp;_Inputs'!$E$80,0)</f>
        <v>0</v>
      </c>
      <c r="GA86" s="37">
        <f>IF(AND(GA$7&gt;=1,GA$7&lt;='Assumptions_&amp;_Inputs'!$E$83),-GA$85*'Assumptions_&amp;_Inputs'!$E$80,0)</f>
        <v>0</v>
      </c>
      <c r="GB86" s="37">
        <f>IF(AND(GB$7&gt;=1,GB$7&lt;='Assumptions_&amp;_Inputs'!$E$83),-GB$85*'Assumptions_&amp;_Inputs'!$E$80,0)</f>
        <v>0</v>
      </c>
      <c r="GC86" s="37">
        <f>IF(AND(GC$7&gt;=1,GC$7&lt;='Assumptions_&amp;_Inputs'!$E$83),-GC$85*'Assumptions_&amp;_Inputs'!$E$80,0)</f>
        <v>0</v>
      </c>
      <c r="GD86" s="37">
        <f>IF(AND(GD$7&gt;=1,GD$7&lt;='Assumptions_&amp;_Inputs'!$E$83),-GD$85*'Assumptions_&amp;_Inputs'!$E$80,0)</f>
        <v>0</v>
      </c>
      <c r="GE86" s="37">
        <f>IF(AND(GE$7&gt;=1,GE$7&lt;='Assumptions_&amp;_Inputs'!$E$83),-GE$85*'Assumptions_&amp;_Inputs'!$E$80,0)</f>
        <v>0</v>
      </c>
      <c r="GF86" s="37">
        <f>IF(AND(GF$7&gt;=1,GF$7&lt;='Assumptions_&amp;_Inputs'!$E$83),-GF$85*'Assumptions_&amp;_Inputs'!$E$80,0)</f>
        <v>0</v>
      </c>
      <c r="GG86" s="37">
        <f>IF(AND(GG$7&gt;=1,GG$7&lt;='Assumptions_&amp;_Inputs'!$E$83),-GG$85*'Assumptions_&amp;_Inputs'!$E$80,0)</f>
        <v>0</v>
      </c>
      <c r="GH86" s="37">
        <f>IF(AND(GH$7&gt;=1,GH$7&lt;='Assumptions_&amp;_Inputs'!$E$83),-GH$85*'Assumptions_&amp;_Inputs'!$E$80,0)</f>
        <v>0</v>
      </c>
      <c r="GI86" s="37">
        <f>IF(AND(GI$7&gt;=1,GI$7&lt;='Assumptions_&amp;_Inputs'!$E$83),-GI$85*'Assumptions_&amp;_Inputs'!$E$80,0)</f>
        <v>0</v>
      </c>
      <c r="GJ86" s="37">
        <f>IF(AND(GJ$7&gt;=1,GJ$7&lt;='Assumptions_&amp;_Inputs'!$E$83),-GJ$85*'Assumptions_&amp;_Inputs'!$E$80,0)</f>
        <v>0</v>
      </c>
      <c r="GK86" s="37">
        <f>IF(AND(GK$7&gt;=1,GK$7&lt;='Assumptions_&amp;_Inputs'!$E$83),-GK$85*'Assumptions_&amp;_Inputs'!$E$80,0)</f>
        <v>0</v>
      </c>
      <c r="GL86" s="37">
        <f>IF(AND(GL$7&gt;=1,GL$7&lt;='Assumptions_&amp;_Inputs'!$E$83),-GL$85*'Assumptions_&amp;_Inputs'!$E$80,0)</f>
        <v>0</v>
      </c>
      <c r="GM86" s="37">
        <f>IF(AND(GM$7&gt;=1,GM$7&lt;='Assumptions_&amp;_Inputs'!$E$83),-GM$85*'Assumptions_&amp;_Inputs'!$E$80,0)</f>
        <v>0</v>
      </c>
      <c r="GN86" s="63"/>
      <c r="GO86" s="63"/>
      <c r="GP86" s="63"/>
      <c r="GQ86" s="63"/>
      <c r="GR86" s="63"/>
      <c r="GS86" s="63"/>
      <c r="GT86" s="63"/>
      <c r="GU86" s="63"/>
      <c r="GV86" s="63"/>
      <c r="GW86" s="63"/>
      <c r="GX86" s="63"/>
      <c r="GY86" s="63"/>
      <c r="GZ86" s="63"/>
      <c r="HA86" s="63"/>
      <c r="HB86" s="63"/>
      <c r="HC86" s="63"/>
      <c r="HD86" s="63"/>
      <c r="HE86" s="63"/>
      <c r="HF86" s="63"/>
      <c r="HG86" s="63"/>
      <c r="HH86" s="63"/>
      <c r="HI86" s="63"/>
      <c r="HJ86" s="63"/>
      <c r="HK86" s="63"/>
      <c r="HL86" s="63"/>
      <c r="HM86" s="63"/>
      <c r="HN86" s="63"/>
      <c r="HO86" s="63"/>
      <c r="HP86" s="63"/>
      <c r="HQ86" s="63"/>
      <c r="HR86" s="63"/>
      <c r="HS86" s="63"/>
      <c r="HT86" s="63"/>
      <c r="HU86" s="63"/>
      <c r="HV86" s="63"/>
      <c r="HW86" s="63"/>
      <c r="HX86" s="63"/>
      <c r="HY86" s="63"/>
      <c r="HZ86" s="63"/>
      <c r="IA86" s="63"/>
      <c r="IB86" s="63"/>
      <c r="IC86" s="63"/>
      <c r="ID86" s="63"/>
      <c r="IE86" s="63"/>
      <c r="IF86" s="63"/>
      <c r="IG86" s="63"/>
      <c r="IH86" s="63"/>
      <c r="II86" s="63"/>
      <c r="IJ86" s="63"/>
      <c r="IK86" s="63"/>
      <c r="IL86" s="63"/>
      <c r="IM86" s="63"/>
      <c r="IN86" s="63"/>
      <c r="IO86" s="63"/>
      <c r="IP86" s="63"/>
      <c r="IQ86" s="63"/>
      <c r="IR86" s="63"/>
      <c r="IS86" s="63"/>
      <c r="IT86" s="63"/>
      <c r="IU86" s="63"/>
      <c r="IV86" s="63"/>
      <c r="IW86" s="63"/>
      <c r="IX86" s="63"/>
      <c r="IY86" s="63"/>
      <c r="IZ86" s="63"/>
      <c r="JA86" s="63"/>
      <c r="JB86" s="63"/>
      <c r="JC86" s="63"/>
      <c r="JD86" s="63"/>
      <c r="JE86" s="63"/>
      <c r="JF86" s="63"/>
      <c r="JG86" s="63"/>
      <c r="JH86" s="63"/>
      <c r="JI86" s="63"/>
      <c r="JJ86" s="63"/>
      <c r="JK86" s="63"/>
      <c r="JL86" s="63"/>
      <c r="JM86" s="63"/>
      <c r="JN86" s="63"/>
      <c r="JO86" s="63"/>
      <c r="JP86" s="63"/>
      <c r="JQ86" s="63"/>
      <c r="JR86" s="63"/>
      <c r="JS86" s="63"/>
      <c r="JT86" s="63"/>
      <c r="JU86" s="63"/>
      <c r="JV86" s="63"/>
      <c r="JW86" s="63"/>
      <c r="JX86" s="63"/>
      <c r="JY86" s="63"/>
      <c r="JZ86" s="63"/>
      <c r="KA86" s="63"/>
      <c r="KB86" s="63"/>
      <c r="KC86" s="63"/>
      <c r="KD86" s="63"/>
      <c r="KE86" s="63"/>
      <c r="KF86" s="63"/>
      <c r="KG86" s="63"/>
      <c r="KH86" s="63"/>
      <c r="KI86" s="63"/>
      <c r="KJ86" s="63"/>
      <c r="KK86" s="63"/>
      <c r="KL86" s="63"/>
      <c r="KM86" s="63"/>
      <c r="KN86" s="63"/>
      <c r="KO86" s="63"/>
      <c r="KP86" s="63"/>
      <c r="KQ86" s="63"/>
      <c r="KR86" s="63"/>
      <c r="KS86" s="63"/>
      <c r="KT86" s="63"/>
      <c r="KU86" s="63"/>
      <c r="KV86" s="63"/>
      <c r="KW86" s="63"/>
      <c r="KX86" s="63"/>
      <c r="KY86" s="63"/>
      <c r="KZ86" s="63"/>
      <c r="LA86" s="63"/>
      <c r="LB86" s="63"/>
      <c r="LC86" s="63"/>
      <c r="LD86" s="63"/>
      <c r="LE86" s="63"/>
      <c r="LF86" s="63"/>
      <c r="LG86" s="63"/>
      <c r="LH86" s="63"/>
      <c r="LI86" s="63"/>
      <c r="LJ86" s="63"/>
      <c r="LK86" s="63"/>
      <c r="LL86" s="63"/>
      <c r="LM86" s="63"/>
      <c r="LN86" s="63"/>
      <c r="LO86" s="63"/>
      <c r="LP86" s="63"/>
      <c r="LQ86" s="63"/>
      <c r="LR86" s="63"/>
      <c r="LS86" s="63"/>
      <c r="LT86" s="63"/>
      <c r="LU86" s="63"/>
      <c r="LV86" s="63"/>
      <c r="LW86" s="63"/>
      <c r="LX86" s="63"/>
      <c r="LY86" s="63"/>
      <c r="LZ86" s="63"/>
      <c r="MA86" s="63"/>
      <c r="MB86" s="63"/>
      <c r="MC86" s="63"/>
      <c r="MD86" s="63"/>
      <c r="ME86" s="63"/>
      <c r="MF86" s="63"/>
      <c r="MG86" s="63"/>
      <c r="MH86" s="63"/>
      <c r="MI86" s="63"/>
      <c r="MJ86" s="63"/>
      <c r="MK86" s="63"/>
      <c r="ML86" s="63"/>
      <c r="MM86" s="63"/>
      <c r="MN86" s="63"/>
      <c r="MO86" s="63"/>
      <c r="MP86" s="63"/>
      <c r="MQ86" s="63"/>
      <c r="MR86" s="63"/>
      <c r="MS86" s="63"/>
      <c r="MT86" s="63"/>
      <c r="MU86" s="63"/>
      <c r="MV86" s="63"/>
      <c r="MW86" s="63"/>
      <c r="MX86" s="63"/>
      <c r="MY86" s="63"/>
      <c r="MZ86" s="63"/>
      <c r="NA86" s="63"/>
      <c r="NB86" s="63"/>
    </row>
    <row r="87" spans="2:366" ht="16" customHeight="1" x14ac:dyDescent="0.15">
      <c r="B87" s="31" t="s">
        <v>55</v>
      </c>
      <c r="C87" s="312" t="s">
        <v>150</v>
      </c>
      <c r="D87" s="97"/>
      <c r="E87" s="134"/>
      <c r="F87" s="37">
        <f>IF('Assumptions_&amp;_Inputs'!$E$81="Interest-only",0,IF(F$7&lt;='Assumptions_&amp;_Inputs'!$E$83,PPMT('Assumptions_&amp;_Inputs'!$E$80,'Monthly_P&amp;L'!F$7,'Assumptions_&amp;_Inputs'!$E$82*12,'Assumptions_&amp;_Inputs'!$E$78),0))</f>
        <v>0</v>
      </c>
      <c r="G87" s="37">
        <f>IF('Assumptions_&amp;_Inputs'!$E$81="Interest-only",0,IF(G$7&lt;='Assumptions_&amp;_Inputs'!$E$83,PPMT('Assumptions_&amp;_Inputs'!$E$80,'Monthly_P&amp;L'!G$7,'Assumptions_&amp;_Inputs'!$E$82*12,'Assumptions_&amp;_Inputs'!$E$78),0))</f>
        <v>0</v>
      </c>
      <c r="H87" s="37">
        <f>IF('Assumptions_&amp;_Inputs'!$E$81="Interest-only",0,IF(H$7&lt;='Assumptions_&amp;_Inputs'!$E$83,PPMT('Assumptions_&amp;_Inputs'!$E$80,'Monthly_P&amp;L'!H$7,'Assumptions_&amp;_Inputs'!$E$82*12,'Assumptions_&amp;_Inputs'!$E$78),0))</f>
        <v>0</v>
      </c>
      <c r="I87" s="37">
        <f>IF('Assumptions_&amp;_Inputs'!$E$81="Interest-only",0,IF(I$7&lt;='Assumptions_&amp;_Inputs'!$E$83,PPMT('Assumptions_&amp;_Inputs'!$E$80,'Monthly_P&amp;L'!I$7,'Assumptions_&amp;_Inputs'!$E$82*12,'Assumptions_&amp;_Inputs'!$E$78),0))</f>
        <v>0</v>
      </c>
      <c r="J87" s="37">
        <f>IF('Assumptions_&amp;_Inputs'!$E$81="Interest-only",0,IF(J$7&lt;='Assumptions_&amp;_Inputs'!$E$83,PPMT('Assumptions_&amp;_Inputs'!$E$80,'Monthly_P&amp;L'!J$7,'Assumptions_&amp;_Inputs'!$E$82*12,'Assumptions_&amp;_Inputs'!$E$78),0))</f>
        <v>0</v>
      </c>
      <c r="K87" s="37">
        <f>IF('Assumptions_&amp;_Inputs'!$E$81="Interest-only",0,IF(K$7&lt;='Assumptions_&amp;_Inputs'!$E$83,PPMT('Assumptions_&amp;_Inputs'!$E$80,'Monthly_P&amp;L'!K$7,'Assumptions_&amp;_Inputs'!$E$82*12,'Assumptions_&amp;_Inputs'!$E$78),0))</f>
        <v>0</v>
      </c>
      <c r="L87" s="37">
        <f>IF('Assumptions_&amp;_Inputs'!$E$81="Interest-only",0,IF(L$7&lt;='Assumptions_&amp;_Inputs'!$E$83,PPMT('Assumptions_&amp;_Inputs'!$E$80,'Monthly_P&amp;L'!L$7,'Assumptions_&amp;_Inputs'!$E$82*12,'Assumptions_&amp;_Inputs'!$E$78),0))</f>
        <v>0</v>
      </c>
      <c r="M87" s="37">
        <f>IF('Assumptions_&amp;_Inputs'!$E$81="Interest-only",0,IF(M$7&lt;='Assumptions_&amp;_Inputs'!$E$83,PPMT('Assumptions_&amp;_Inputs'!$E$80,'Monthly_P&amp;L'!M$7,'Assumptions_&amp;_Inputs'!$E$82*12,'Assumptions_&amp;_Inputs'!$E$78),0))</f>
        <v>0</v>
      </c>
      <c r="N87" s="37">
        <f>IF('Assumptions_&amp;_Inputs'!$E$81="Interest-only",0,IF(N$7&lt;='Assumptions_&amp;_Inputs'!$E$83,PPMT('Assumptions_&amp;_Inputs'!$E$80,'Monthly_P&amp;L'!N$7,'Assumptions_&amp;_Inputs'!$E$82*12,'Assumptions_&amp;_Inputs'!$E$78),0))</f>
        <v>0</v>
      </c>
      <c r="O87" s="37">
        <f>IF('Assumptions_&amp;_Inputs'!$E$81="Interest-only",0,IF(O$7&lt;='Assumptions_&amp;_Inputs'!$E$83,PPMT('Assumptions_&amp;_Inputs'!$E$80,'Monthly_P&amp;L'!O$7,'Assumptions_&amp;_Inputs'!$E$82*12,'Assumptions_&amp;_Inputs'!$E$78),0))</f>
        <v>0</v>
      </c>
      <c r="P87" s="37">
        <f>IF('Assumptions_&amp;_Inputs'!$E$81="Interest-only",0,IF(P$7&lt;='Assumptions_&amp;_Inputs'!$E$83,PPMT('Assumptions_&amp;_Inputs'!$E$80,'Monthly_P&amp;L'!P$7,'Assumptions_&amp;_Inputs'!$E$82*12,'Assumptions_&amp;_Inputs'!$E$78),0))</f>
        <v>0</v>
      </c>
      <c r="Q87" s="37">
        <f>IF('Assumptions_&amp;_Inputs'!$E$81="Interest-only",0,IF(Q$7&lt;='Assumptions_&amp;_Inputs'!$E$83,PPMT('Assumptions_&amp;_Inputs'!$E$80,'Monthly_P&amp;L'!Q$7,'Assumptions_&amp;_Inputs'!$E$82*12,'Assumptions_&amp;_Inputs'!$E$78),0))</f>
        <v>0</v>
      </c>
      <c r="R87" s="37">
        <f>IF('Assumptions_&amp;_Inputs'!$E$81="Interest-only",0,IF(R$7&lt;='Assumptions_&amp;_Inputs'!$E$83,PPMT('Assumptions_&amp;_Inputs'!$E$80,'Monthly_P&amp;L'!R$7,'Assumptions_&amp;_Inputs'!$E$82*12,'Assumptions_&amp;_Inputs'!$E$78),0))</f>
        <v>0</v>
      </c>
      <c r="S87" s="37">
        <f>IF('Assumptions_&amp;_Inputs'!$E$81="Interest-only",0,IF(S$7&lt;='Assumptions_&amp;_Inputs'!$E$83,PPMT('Assumptions_&amp;_Inputs'!$E$80,'Monthly_P&amp;L'!S$7,'Assumptions_&amp;_Inputs'!$E$82*12,'Assumptions_&amp;_Inputs'!$E$78),0))</f>
        <v>0</v>
      </c>
      <c r="T87" s="37">
        <f>IF('Assumptions_&amp;_Inputs'!$E$81="Interest-only",0,IF(T$7&lt;='Assumptions_&amp;_Inputs'!$E$83,PPMT('Assumptions_&amp;_Inputs'!$E$80,'Monthly_P&amp;L'!T$7,'Assumptions_&amp;_Inputs'!$E$82*12,'Assumptions_&amp;_Inputs'!$E$78),0))</f>
        <v>0</v>
      </c>
      <c r="U87" s="37">
        <f>IF('Assumptions_&amp;_Inputs'!$E$81="Interest-only",0,IF(U$7&lt;='Assumptions_&amp;_Inputs'!$E$83,PPMT('Assumptions_&amp;_Inputs'!$E$80,'Monthly_P&amp;L'!U$7,'Assumptions_&amp;_Inputs'!$E$82*12,'Assumptions_&amp;_Inputs'!$E$78),0))</f>
        <v>0</v>
      </c>
      <c r="V87" s="37">
        <f>IF('Assumptions_&amp;_Inputs'!$E$81="Interest-only",0,IF(V$7&lt;='Assumptions_&amp;_Inputs'!$E$83,PPMT('Assumptions_&amp;_Inputs'!$E$80,'Monthly_P&amp;L'!V$7,'Assumptions_&amp;_Inputs'!$E$82*12,'Assumptions_&amp;_Inputs'!$E$78),0))</f>
        <v>0</v>
      </c>
      <c r="W87" s="37">
        <f>IF('Assumptions_&amp;_Inputs'!$E$81="Interest-only",0,IF(W$7&lt;='Assumptions_&amp;_Inputs'!$E$83,PPMT('Assumptions_&amp;_Inputs'!$E$80,'Monthly_P&amp;L'!W$7,'Assumptions_&amp;_Inputs'!$E$82*12,'Assumptions_&amp;_Inputs'!$E$78),0))</f>
        <v>0</v>
      </c>
      <c r="X87" s="37">
        <f>IF('Assumptions_&amp;_Inputs'!$E$81="Interest-only",0,IF(X$7&lt;='Assumptions_&amp;_Inputs'!$E$83,PPMT('Assumptions_&amp;_Inputs'!$E$80,'Monthly_P&amp;L'!X$7,'Assumptions_&amp;_Inputs'!$E$82*12,'Assumptions_&amp;_Inputs'!$E$78),0))</f>
        <v>0</v>
      </c>
      <c r="Y87" s="37">
        <f>IF('Assumptions_&amp;_Inputs'!$E$81="Interest-only",0,IF(Y$7&lt;='Assumptions_&amp;_Inputs'!$E$83,PPMT('Assumptions_&amp;_Inputs'!$E$80,'Monthly_P&amp;L'!Y$7,'Assumptions_&amp;_Inputs'!$E$82*12,'Assumptions_&amp;_Inputs'!$E$78),0))</f>
        <v>0</v>
      </c>
      <c r="Z87" s="37">
        <f>IF('Assumptions_&amp;_Inputs'!$E$81="Interest-only",0,IF(Z$7&lt;='Assumptions_&amp;_Inputs'!$E$83,PPMT('Assumptions_&amp;_Inputs'!$E$80,'Monthly_P&amp;L'!Z$7,'Assumptions_&amp;_Inputs'!$E$82*12,'Assumptions_&amp;_Inputs'!$E$78),0))</f>
        <v>0</v>
      </c>
      <c r="AA87" s="37">
        <f>IF('Assumptions_&amp;_Inputs'!$E$81="Interest-only",0,IF(AA$7&lt;='Assumptions_&amp;_Inputs'!$E$83,PPMT('Assumptions_&amp;_Inputs'!$E$80,'Monthly_P&amp;L'!AA$7,'Assumptions_&amp;_Inputs'!$E$82*12,'Assumptions_&amp;_Inputs'!$E$78),0))</f>
        <v>0</v>
      </c>
      <c r="AB87" s="37">
        <f>IF('Assumptions_&amp;_Inputs'!$E$81="Interest-only",0,IF(AB$7&lt;='Assumptions_&amp;_Inputs'!$E$83,PPMT('Assumptions_&amp;_Inputs'!$E$80,'Monthly_P&amp;L'!AB$7,'Assumptions_&amp;_Inputs'!$E$82*12,'Assumptions_&amp;_Inputs'!$E$78),0))</f>
        <v>0</v>
      </c>
      <c r="AC87" s="37">
        <f>IF('Assumptions_&amp;_Inputs'!$E$81="Interest-only",0,IF(AC$7&lt;='Assumptions_&amp;_Inputs'!$E$83,PPMT('Assumptions_&amp;_Inputs'!$E$80,'Monthly_P&amp;L'!AC$7,'Assumptions_&amp;_Inputs'!$E$82*12,'Assumptions_&amp;_Inputs'!$E$78),0))</f>
        <v>0</v>
      </c>
      <c r="AD87" s="37">
        <f>IF('Assumptions_&amp;_Inputs'!$E$81="Interest-only",0,IF(AD$7&lt;='Assumptions_&amp;_Inputs'!$E$83,PPMT('Assumptions_&amp;_Inputs'!$E$80,'Monthly_P&amp;L'!AD$7,'Assumptions_&amp;_Inputs'!$E$82*12,'Assumptions_&amp;_Inputs'!$E$78),0))</f>
        <v>0</v>
      </c>
      <c r="AE87" s="37">
        <f>IF('Assumptions_&amp;_Inputs'!$E$81="Interest-only",0,IF(AE$7&lt;='Assumptions_&amp;_Inputs'!$E$83,PPMT('Assumptions_&amp;_Inputs'!$E$80,'Monthly_P&amp;L'!AE$7,'Assumptions_&amp;_Inputs'!$E$82*12,'Assumptions_&amp;_Inputs'!$E$78),0))</f>
        <v>0</v>
      </c>
      <c r="AF87" s="37">
        <f>IF('Assumptions_&amp;_Inputs'!$E$81="Interest-only",0,IF(AF$7&lt;='Assumptions_&amp;_Inputs'!$E$83,PPMT('Assumptions_&amp;_Inputs'!$E$80,'Monthly_P&amp;L'!AF$7,'Assumptions_&amp;_Inputs'!$E$82*12,'Assumptions_&amp;_Inputs'!$E$78),0))</f>
        <v>0</v>
      </c>
      <c r="AG87" s="37">
        <f>IF('Assumptions_&amp;_Inputs'!$E$81="Interest-only",0,IF(AG$7&lt;='Assumptions_&amp;_Inputs'!$E$83,PPMT('Assumptions_&amp;_Inputs'!$E$80,'Monthly_P&amp;L'!AG$7,'Assumptions_&amp;_Inputs'!$E$82*12,'Assumptions_&amp;_Inputs'!$E$78),0))</f>
        <v>0</v>
      </c>
      <c r="AH87" s="37">
        <f>IF('Assumptions_&amp;_Inputs'!$E$81="Interest-only",0,IF(AH$7&lt;='Assumptions_&amp;_Inputs'!$E$83,PPMT('Assumptions_&amp;_Inputs'!$E$80,'Monthly_P&amp;L'!AH$7,'Assumptions_&amp;_Inputs'!$E$82*12,'Assumptions_&amp;_Inputs'!$E$78),0))</f>
        <v>0</v>
      </c>
      <c r="AI87" s="37">
        <f>IF('Assumptions_&amp;_Inputs'!$E$81="Interest-only",0,IF(AI$7&lt;='Assumptions_&amp;_Inputs'!$E$83,PPMT('Assumptions_&amp;_Inputs'!$E$80,'Monthly_P&amp;L'!AI$7,'Assumptions_&amp;_Inputs'!$E$82*12,'Assumptions_&amp;_Inputs'!$E$78),0))</f>
        <v>0</v>
      </c>
      <c r="AJ87" s="37">
        <f>IF('Assumptions_&amp;_Inputs'!$E$81="Interest-only",0,IF(AJ$7&lt;='Assumptions_&amp;_Inputs'!$E$83,PPMT('Assumptions_&amp;_Inputs'!$E$80,'Monthly_P&amp;L'!AJ$7,'Assumptions_&amp;_Inputs'!$E$82*12,'Assumptions_&amp;_Inputs'!$E$78),0))</f>
        <v>0</v>
      </c>
      <c r="AK87" s="37">
        <f>IF('Assumptions_&amp;_Inputs'!$E$81="Interest-only",0,IF(AK$7&lt;='Assumptions_&amp;_Inputs'!$E$83,PPMT('Assumptions_&amp;_Inputs'!$E$80,'Monthly_P&amp;L'!AK$7,'Assumptions_&amp;_Inputs'!$E$82*12,'Assumptions_&amp;_Inputs'!$E$78),0))</f>
        <v>0</v>
      </c>
      <c r="AL87" s="37">
        <f>IF('Assumptions_&amp;_Inputs'!$E$81="Interest-only",0,IF(AL$7&lt;='Assumptions_&amp;_Inputs'!$E$83,PPMT('Assumptions_&amp;_Inputs'!$E$80,'Monthly_P&amp;L'!AL$7,'Assumptions_&amp;_Inputs'!$E$82*12,'Assumptions_&amp;_Inputs'!$E$78),0))</f>
        <v>0</v>
      </c>
      <c r="AM87" s="37">
        <f>IF('Assumptions_&amp;_Inputs'!$E$81="Interest-only",0,IF(AM$7&lt;='Assumptions_&amp;_Inputs'!$E$83,PPMT('Assumptions_&amp;_Inputs'!$E$80,'Monthly_P&amp;L'!AM$7,'Assumptions_&amp;_Inputs'!$E$82*12,'Assumptions_&amp;_Inputs'!$E$78),0))</f>
        <v>0</v>
      </c>
      <c r="AN87" s="37">
        <f>IF('Assumptions_&amp;_Inputs'!$E$81="Interest-only",0,IF(AN$7&lt;='Assumptions_&amp;_Inputs'!$E$83,PPMT('Assumptions_&amp;_Inputs'!$E$80,'Monthly_P&amp;L'!AN$7,'Assumptions_&amp;_Inputs'!$E$82*12,'Assumptions_&amp;_Inputs'!$E$78),0))</f>
        <v>0</v>
      </c>
      <c r="AO87" s="37">
        <f>IF('Assumptions_&amp;_Inputs'!$E$81="Interest-only",0,IF(AO$7&lt;='Assumptions_&amp;_Inputs'!$E$83,PPMT('Assumptions_&amp;_Inputs'!$E$80,'Monthly_P&amp;L'!AO$7,'Assumptions_&amp;_Inputs'!$E$82*12,'Assumptions_&amp;_Inputs'!$E$78),0))</f>
        <v>0</v>
      </c>
      <c r="AP87" s="37">
        <f>IF('Assumptions_&amp;_Inputs'!$E$81="Interest-only",0,IF(AP$7&lt;='Assumptions_&amp;_Inputs'!$E$83,PPMT('Assumptions_&amp;_Inputs'!$E$80,'Monthly_P&amp;L'!AP$7,'Assumptions_&amp;_Inputs'!$E$82*12,'Assumptions_&amp;_Inputs'!$E$78),0))</f>
        <v>0</v>
      </c>
      <c r="AQ87" s="37">
        <f>IF('Assumptions_&amp;_Inputs'!$E$81="Interest-only",0,IF(AQ$7&lt;='Assumptions_&amp;_Inputs'!$E$83,PPMT('Assumptions_&amp;_Inputs'!$E$80,'Monthly_P&amp;L'!AQ$7,'Assumptions_&amp;_Inputs'!$E$82*12,'Assumptions_&amp;_Inputs'!$E$78),0))</f>
        <v>0</v>
      </c>
      <c r="AR87" s="37">
        <f>IF('Assumptions_&amp;_Inputs'!$E$81="Interest-only",0,IF(AR$7&lt;='Assumptions_&amp;_Inputs'!$E$83,PPMT('Assumptions_&amp;_Inputs'!$E$80,'Monthly_P&amp;L'!AR$7,'Assumptions_&amp;_Inputs'!$E$82*12,'Assumptions_&amp;_Inputs'!$E$78),0))</f>
        <v>0</v>
      </c>
      <c r="AS87" s="37">
        <f>IF('Assumptions_&amp;_Inputs'!$E$81="Interest-only",0,IF(AS$7&lt;='Assumptions_&amp;_Inputs'!$E$83,PPMT('Assumptions_&amp;_Inputs'!$E$80,'Monthly_P&amp;L'!AS$7,'Assumptions_&amp;_Inputs'!$E$82*12,'Assumptions_&amp;_Inputs'!$E$78),0))</f>
        <v>0</v>
      </c>
      <c r="AT87" s="37">
        <f>IF('Assumptions_&amp;_Inputs'!$E$81="Interest-only",0,IF(AT$7&lt;='Assumptions_&amp;_Inputs'!$E$83,PPMT('Assumptions_&amp;_Inputs'!$E$80,'Monthly_P&amp;L'!AT$7,'Assumptions_&amp;_Inputs'!$E$82*12,'Assumptions_&amp;_Inputs'!$E$78),0))</f>
        <v>0</v>
      </c>
      <c r="AU87" s="37">
        <f>IF('Assumptions_&amp;_Inputs'!$E$81="Interest-only",0,IF(AU$7&lt;='Assumptions_&amp;_Inputs'!$E$83,PPMT('Assumptions_&amp;_Inputs'!$E$80,'Monthly_P&amp;L'!AU$7,'Assumptions_&amp;_Inputs'!$E$82*12,'Assumptions_&amp;_Inputs'!$E$78),0))</f>
        <v>0</v>
      </c>
      <c r="AV87" s="37">
        <f>IF('Assumptions_&amp;_Inputs'!$E$81="Interest-only",0,IF(AV$7&lt;='Assumptions_&amp;_Inputs'!$E$83,PPMT('Assumptions_&amp;_Inputs'!$E$80,'Monthly_P&amp;L'!AV$7,'Assumptions_&amp;_Inputs'!$E$82*12,'Assumptions_&amp;_Inputs'!$E$78),0))</f>
        <v>0</v>
      </c>
      <c r="AW87" s="37">
        <f>IF('Assumptions_&amp;_Inputs'!$E$81="Interest-only",0,IF(AW$7&lt;='Assumptions_&amp;_Inputs'!$E$83,PPMT('Assumptions_&amp;_Inputs'!$E$80,'Monthly_P&amp;L'!AW$7,'Assumptions_&amp;_Inputs'!$E$82*12,'Assumptions_&amp;_Inputs'!$E$78),0))</f>
        <v>0</v>
      </c>
      <c r="AX87" s="37">
        <f>IF('Assumptions_&amp;_Inputs'!$E$81="Interest-only",0,IF(AX$7&lt;='Assumptions_&amp;_Inputs'!$E$83,PPMT('Assumptions_&amp;_Inputs'!$E$80,'Monthly_P&amp;L'!AX$7,'Assumptions_&amp;_Inputs'!$E$82*12,'Assumptions_&amp;_Inputs'!$E$78),0))</f>
        <v>0</v>
      </c>
      <c r="AY87" s="37">
        <f>IF('Assumptions_&amp;_Inputs'!$E$81="Interest-only",0,IF(AY$7&lt;='Assumptions_&amp;_Inputs'!$E$83,PPMT('Assumptions_&amp;_Inputs'!$E$80,'Monthly_P&amp;L'!AY$7,'Assumptions_&amp;_Inputs'!$E$82*12,'Assumptions_&amp;_Inputs'!$E$78),0))</f>
        <v>0</v>
      </c>
      <c r="AZ87" s="37">
        <f>IF('Assumptions_&amp;_Inputs'!$E$81="Interest-only",0,IF(AZ$7&lt;='Assumptions_&amp;_Inputs'!$E$83,PPMT('Assumptions_&amp;_Inputs'!$E$80,'Monthly_P&amp;L'!AZ$7,'Assumptions_&amp;_Inputs'!$E$82*12,'Assumptions_&amp;_Inputs'!$E$78),0))</f>
        <v>0</v>
      </c>
      <c r="BA87" s="37">
        <f>IF('Assumptions_&amp;_Inputs'!$E$81="Interest-only",0,IF(BA$7&lt;='Assumptions_&amp;_Inputs'!$E$83,PPMT('Assumptions_&amp;_Inputs'!$E$80,'Monthly_P&amp;L'!BA$7,'Assumptions_&amp;_Inputs'!$E$82*12,'Assumptions_&amp;_Inputs'!$E$78),0))</f>
        <v>0</v>
      </c>
      <c r="BB87" s="37">
        <f>IF('Assumptions_&amp;_Inputs'!$E$81="Interest-only",0,IF(BB$7&lt;='Assumptions_&amp;_Inputs'!$E$83,PPMT('Assumptions_&amp;_Inputs'!$E$80,'Monthly_P&amp;L'!BB$7,'Assumptions_&amp;_Inputs'!$E$82*12,'Assumptions_&amp;_Inputs'!$E$78),0))</f>
        <v>0</v>
      </c>
      <c r="BC87" s="37">
        <f>IF('Assumptions_&amp;_Inputs'!$E$81="Interest-only",0,IF(BC$7&lt;='Assumptions_&amp;_Inputs'!$E$83,PPMT('Assumptions_&amp;_Inputs'!$E$80,'Monthly_P&amp;L'!BC$7,'Assumptions_&amp;_Inputs'!$E$82*12,'Assumptions_&amp;_Inputs'!$E$78),0))</f>
        <v>0</v>
      </c>
      <c r="BD87" s="37">
        <f>IF('Assumptions_&amp;_Inputs'!$E$81="Interest-only",0,IF(BD$7&lt;='Assumptions_&amp;_Inputs'!$E$83,PPMT('Assumptions_&amp;_Inputs'!$E$80,'Monthly_P&amp;L'!BD$7,'Assumptions_&amp;_Inputs'!$E$82*12,'Assumptions_&amp;_Inputs'!$E$78),0))</f>
        <v>0</v>
      </c>
      <c r="BE87" s="37">
        <f>IF('Assumptions_&amp;_Inputs'!$E$81="Interest-only",0,IF(BE$7&lt;='Assumptions_&amp;_Inputs'!$E$83,PPMT('Assumptions_&amp;_Inputs'!$E$80,'Monthly_P&amp;L'!BE$7,'Assumptions_&amp;_Inputs'!$E$82*12,'Assumptions_&amp;_Inputs'!$E$78),0))</f>
        <v>0</v>
      </c>
      <c r="BF87" s="37">
        <f>IF('Assumptions_&amp;_Inputs'!$E$81="Interest-only",0,IF(BF$7&lt;='Assumptions_&amp;_Inputs'!$E$83,PPMT('Assumptions_&amp;_Inputs'!$E$80,'Monthly_P&amp;L'!BF$7,'Assumptions_&amp;_Inputs'!$E$82*12,'Assumptions_&amp;_Inputs'!$E$78),0))</f>
        <v>0</v>
      </c>
      <c r="BG87" s="37">
        <f>IF('Assumptions_&amp;_Inputs'!$E$81="Interest-only",0,IF(BG$7&lt;='Assumptions_&amp;_Inputs'!$E$83,PPMT('Assumptions_&amp;_Inputs'!$E$80,'Monthly_P&amp;L'!BG$7,'Assumptions_&amp;_Inputs'!$E$82*12,'Assumptions_&amp;_Inputs'!$E$78),0))</f>
        <v>0</v>
      </c>
      <c r="BH87" s="37">
        <f>IF('Assumptions_&amp;_Inputs'!$E$81="Interest-only",0,IF(BH$7&lt;='Assumptions_&amp;_Inputs'!$E$83,PPMT('Assumptions_&amp;_Inputs'!$E$80,'Monthly_P&amp;L'!BH$7,'Assumptions_&amp;_Inputs'!$E$82*12,'Assumptions_&amp;_Inputs'!$E$78),0))</f>
        <v>0</v>
      </c>
      <c r="BI87" s="37">
        <f>IF('Assumptions_&amp;_Inputs'!$E$81="Interest-only",0,IF(BI$7&lt;='Assumptions_&amp;_Inputs'!$E$83,PPMT('Assumptions_&amp;_Inputs'!$E$80,'Monthly_P&amp;L'!BI$7,'Assumptions_&amp;_Inputs'!$E$82*12,'Assumptions_&amp;_Inputs'!$E$78),0))</f>
        <v>0</v>
      </c>
      <c r="BJ87" s="37">
        <f>IF('Assumptions_&amp;_Inputs'!$E$81="Interest-only",0,IF(BJ$7&lt;='Assumptions_&amp;_Inputs'!$E$83,PPMT('Assumptions_&amp;_Inputs'!$E$80,'Monthly_P&amp;L'!BJ$7,'Assumptions_&amp;_Inputs'!$E$82*12,'Assumptions_&amp;_Inputs'!$E$78),0))</f>
        <v>0</v>
      </c>
      <c r="BK87" s="37">
        <f>IF('Assumptions_&amp;_Inputs'!$E$81="Interest-only",0,IF(BK$7&lt;='Assumptions_&amp;_Inputs'!$E$83,PPMT('Assumptions_&amp;_Inputs'!$E$80,'Monthly_P&amp;L'!BK$7,'Assumptions_&amp;_Inputs'!$E$82*12,'Assumptions_&amp;_Inputs'!$E$78),0))</f>
        <v>0</v>
      </c>
      <c r="BL87" s="37">
        <f>IF('Assumptions_&amp;_Inputs'!$E$81="Interest-only",0,IF(BL$7&lt;='Assumptions_&amp;_Inputs'!$E$83,PPMT('Assumptions_&amp;_Inputs'!$E$80,'Monthly_P&amp;L'!BL$7,'Assumptions_&amp;_Inputs'!$E$82*12,'Assumptions_&amp;_Inputs'!$E$78),0))</f>
        <v>0</v>
      </c>
      <c r="BM87" s="37">
        <f>IF('Assumptions_&amp;_Inputs'!$E$81="Interest-only",0,IF(BM$7&lt;='Assumptions_&amp;_Inputs'!$E$83,PPMT('Assumptions_&amp;_Inputs'!$E$80,'Monthly_P&amp;L'!BM$7,'Assumptions_&amp;_Inputs'!$E$82*12,'Assumptions_&amp;_Inputs'!$E$78),0))</f>
        <v>0</v>
      </c>
      <c r="BN87" s="37">
        <f>IF('Assumptions_&amp;_Inputs'!$E$81="Interest-only",0,IF(BN$7&lt;='Assumptions_&amp;_Inputs'!$E$83,PPMT('Assumptions_&amp;_Inputs'!$E$80,'Monthly_P&amp;L'!BN$7,'Assumptions_&amp;_Inputs'!$E$82*12,'Assumptions_&amp;_Inputs'!$E$78),0))</f>
        <v>0</v>
      </c>
      <c r="BO87" s="37">
        <f>IF('Assumptions_&amp;_Inputs'!$E$81="Interest-only",0,IF(BO$7&lt;='Assumptions_&amp;_Inputs'!$E$83,PPMT('Assumptions_&amp;_Inputs'!$E$80,'Monthly_P&amp;L'!BO$7,'Assumptions_&amp;_Inputs'!$E$82*12,'Assumptions_&amp;_Inputs'!$E$78),0))</f>
        <v>0</v>
      </c>
      <c r="BP87" s="37">
        <f>IF('Assumptions_&amp;_Inputs'!$E$81="Interest-only",0,IF(BP$7&lt;='Assumptions_&amp;_Inputs'!$E$83,PPMT('Assumptions_&amp;_Inputs'!$E$80,'Monthly_P&amp;L'!BP$7,'Assumptions_&amp;_Inputs'!$E$82*12,'Assumptions_&amp;_Inputs'!$E$78),0))</f>
        <v>0</v>
      </c>
      <c r="BQ87" s="37">
        <f>IF('Assumptions_&amp;_Inputs'!$E$81="Interest-only",0,IF(BQ$7&lt;='Assumptions_&amp;_Inputs'!$E$83,PPMT('Assumptions_&amp;_Inputs'!$E$80,'Monthly_P&amp;L'!BQ$7,'Assumptions_&amp;_Inputs'!$E$82*12,'Assumptions_&amp;_Inputs'!$E$78),0))</f>
        <v>0</v>
      </c>
      <c r="BR87" s="37">
        <f>IF('Assumptions_&amp;_Inputs'!$E$81="Interest-only",0,IF(BR$7&lt;='Assumptions_&amp;_Inputs'!$E$83,PPMT('Assumptions_&amp;_Inputs'!$E$80,'Monthly_P&amp;L'!BR$7,'Assumptions_&amp;_Inputs'!$E$82*12,'Assumptions_&amp;_Inputs'!$E$78),0))</f>
        <v>0</v>
      </c>
      <c r="BS87" s="37">
        <f>IF('Assumptions_&amp;_Inputs'!$E$81="Interest-only",0,IF(BS$7&lt;='Assumptions_&amp;_Inputs'!$E$83,PPMT('Assumptions_&amp;_Inputs'!$E$80,'Monthly_P&amp;L'!BS$7,'Assumptions_&amp;_Inputs'!$E$82*12,'Assumptions_&amp;_Inputs'!$E$78),0))</f>
        <v>0</v>
      </c>
      <c r="BT87" s="37">
        <f>IF('Assumptions_&amp;_Inputs'!$E$81="Interest-only",0,IF(BT$7&lt;='Assumptions_&amp;_Inputs'!$E$83,PPMT('Assumptions_&amp;_Inputs'!$E$80,'Monthly_P&amp;L'!BT$7,'Assumptions_&amp;_Inputs'!$E$82*12,'Assumptions_&amp;_Inputs'!$E$78),0))</f>
        <v>0</v>
      </c>
      <c r="BU87" s="37">
        <f>IF('Assumptions_&amp;_Inputs'!$E$81="Interest-only",0,IF(BU$7&lt;='Assumptions_&amp;_Inputs'!$E$83,PPMT('Assumptions_&amp;_Inputs'!$E$80,'Monthly_P&amp;L'!BU$7,'Assumptions_&amp;_Inputs'!$E$82*12,'Assumptions_&amp;_Inputs'!$E$78),0))</f>
        <v>0</v>
      </c>
      <c r="BV87" s="37">
        <f>IF('Assumptions_&amp;_Inputs'!$E$81="Interest-only",0,IF(BV$7&lt;='Assumptions_&amp;_Inputs'!$E$83,PPMT('Assumptions_&amp;_Inputs'!$E$80,'Monthly_P&amp;L'!BV$7,'Assumptions_&amp;_Inputs'!$E$82*12,'Assumptions_&amp;_Inputs'!$E$78),0))</f>
        <v>0</v>
      </c>
      <c r="BW87" s="37">
        <f>IF('Assumptions_&amp;_Inputs'!$E$81="Interest-only",0,IF(BW$7&lt;='Assumptions_&amp;_Inputs'!$E$83,PPMT('Assumptions_&amp;_Inputs'!$E$80,'Monthly_P&amp;L'!BW$7,'Assumptions_&amp;_Inputs'!$E$82*12,'Assumptions_&amp;_Inputs'!$E$78),0))</f>
        <v>0</v>
      </c>
      <c r="BX87" s="37">
        <f>IF('Assumptions_&amp;_Inputs'!$E$81="Interest-only",0,IF(BX$7&lt;='Assumptions_&amp;_Inputs'!$E$83,PPMT('Assumptions_&amp;_Inputs'!$E$80,'Monthly_P&amp;L'!BX$7,'Assumptions_&amp;_Inputs'!$E$82*12,'Assumptions_&amp;_Inputs'!$E$78),0))</f>
        <v>0</v>
      </c>
      <c r="BY87" s="37">
        <f>IF('Assumptions_&amp;_Inputs'!$E$81="Interest-only",0,IF(BY$7&lt;='Assumptions_&amp;_Inputs'!$E$83,PPMT('Assumptions_&amp;_Inputs'!$E$80,'Monthly_P&amp;L'!BY$7,'Assumptions_&amp;_Inputs'!$E$82*12,'Assumptions_&amp;_Inputs'!$E$78),0))</f>
        <v>0</v>
      </c>
      <c r="BZ87" s="37">
        <f>IF('Assumptions_&amp;_Inputs'!$E$81="Interest-only",0,IF(BZ$7&lt;='Assumptions_&amp;_Inputs'!$E$83,PPMT('Assumptions_&amp;_Inputs'!$E$80,'Monthly_P&amp;L'!BZ$7,'Assumptions_&amp;_Inputs'!$E$82*12,'Assumptions_&amp;_Inputs'!$E$78),0))</f>
        <v>0</v>
      </c>
      <c r="CA87" s="37">
        <f>IF('Assumptions_&amp;_Inputs'!$E$81="Interest-only",0,IF(CA$7&lt;='Assumptions_&amp;_Inputs'!$E$83,PPMT('Assumptions_&amp;_Inputs'!$E$80,'Monthly_P&amp;L'!CA$7,'Assumptions_&amp;_Inputs'!$E$82*12,'Assumptions_&amp;_Inputs'!$E$78),0))</f>
        <v>0</v>
      </c>
      <c r="CB87" s="37">
        <f>IF('Assumptions_&amp;_Inputs'!$E$81="Interest-only",0,IF(CB$7&lt;='Assumptions_&amp;_Inputs'!$E$83,PPMT('Assumptions_&amp;_Inputs'!$E$80,'Monthly_P&amp;L'!CB$7,'Assumptions_&amp;_Inputs'!$E$82*12,'Assumptions_&amp;_Inputs'!$E$78),0))</f>
        <v>0</v>
      </c>
      <c r="CC87" s="37">
        <f>IF('Assumptions_&amp;_Inputs'!$E$81="Interest-only",0,IF(CC$7&lt;='Assumptions_&amp;_Inputs'!$E$83,PPMT('Assumptions_&amp;_Inputs'!$E$80,'Monthly_P&amp;L'!CC$7,'Assumptions_&amp;_Inputs'!$E$82*12,'Assumptions_&amp;_Inputs'!$E$78),0))</f>
        <v>0</v>
      </c>
      <c r="CD87" s="37">
        <f>IF('Assumptions_&amp;_Inputs'!$E$81="Interest-only",0,IF(CD$7&lt;='Assumptions_&amp;_Inputs'!$E$83,PPMT('Assumptions_&amp;_Inputs'!$E$80,'Monthly_P&amp;L'!CD$7,'Assumptions_&amp;_Inputs'!$E$82*12,'Assumptions_&amp;_Inputs'!$E$78),0))</f>
        <v>0</v>
      </c>
      <c r="CE87" s="37">
        <f>IF('Assumptions_&amp;_Inputs'!$E$81="Interest-only",0,IF(CE$7&lt;='Assumptions_&amp;_Inputs'!$E$83,PPMT('Assumptions_&amp;_Inputs'!$E$80,'Monthly_P&amp;L'!CE$7,'Assumptions_&amp;_Inputs'!$E$82*12,'Assumptions_&amp;_Inputs'!$E$78),0))</f>
        <v>0</v>
      </c>
      <c r="CF87" s="37">
        <f>IF('Assumptions_&amp;_Inputs'!$E$81="Interest-only",0,IF(CF$7&lt;='Assumptions_&amp;_Inputs'!$E$83,PPMT('Assumptions_&amp;_Inputs'!$E$80,'Monthly_P&amp;L'!CF$7,'Assumptions_&amp;_Inputs'!$E$82*12,'Assumptions_&amp;_Inputs'!$E$78),0))</f>
        <v>0</v>
      </c>
      <c r="CG87" s="37">
        <f>IF('Assumptions_&amp;_Inputs'!$E$81="Interest-only",0,IF(CG$7&lt;='Assumptions_&amp;_Inputs'!$E$83,PPMT('Assumptions_&amp;_Inputs'!$E$80,'Monthly_P&amp;L'!CG$7,'Assumptions_&amp;_Inputs'!$E$82*12,'Assumptions_&amp;_Inputs'!$E$78),0))</f>
        <v>0</v>
      </c>
      <c r="CH87" s="37">
        <f>IF('Assumptions_&amp;_Inputs'!$E$81="Interest-only",0,IF(CH$7&lt;='Assumptions_&amp;_Inputs'!$E$83,PPMT('Assumptions_&amp;_Inputs'!$E$80,'Monthly_P&amp;L'!CH$7,'Assumptions_&amp;_Inputs'!$E$82*12,'Assumptions_&amp;_Inputs'!$E$78),0))</f>
        <v>0</v>
      </c>
      <c r="CI87" s="37">
        <f>IF('Assumptions_&amp;_Inputs'!$E$81="Interest-only",0,IF(CI$7&lt;='Assumptions_&amp;_Inputs'!$E$83,PPMT('Assumptions_&amp;_Inputs'!$E$80,'Monthly_P&amp;L'!CI$7,'Assumptions_&amp;_Inputs'!$E$82*12,'Assumptions_&amp;_Inputs'!$E$78),0))</f>
        <v>0</v>
      </c>
      <c r="CJ87" s="37">
        <f>IF('Assumptions_&amp;_Inputs'!$E$81="Interest-only",0,IF(CJ$7&lt;='Assumptions_&amp;_Inputs'!$E$83,PPMT('Assumptions_&amp;_Inputs'!$E$80,'Monthly_P&amp;L'!CJ$7,'Assumptions_&amp;_Inputs'!$E$82*12,'Assumptions_&amp;_Inputs'!$E$78),0))</f>
        <v>0</v>
      </c>
      <c r="CK87" s="37">
        <f>IF('Assumptions_&amp;_Inputs'!$E$81="Interest-only",0,IF(CK$7&lt;='Assumptions_&amp;_Inputs'!$E$83,PPMT('Assumptions_&amp;_Inputs'!$E$80,'Monthly_P&amp;L'!CK$7,'Assumptions_&amp;_Inputs'!$E$82*12,'Assumptions_&amp;_Inputs'!$E$78),0))</f>
        <v>0</v>
      </c>
      <c r="CL87" s="37">
        <f>IF('Assumptions_&amp;_Inputs'!$E$81="Interest-only",0,IF(CL$7&lt;='Assumptions_&amp;_Inputs'!$E$83,PPMT('Assumptions_&amp;_Inputs'!$E$80,'Monthly_P&amp;L'!CL$7,'Assumptions_&amp;_Inputs'!$E$82*12,'Assumptions_&amp;_Inputs'!$E$78),0))</f>
        <v>0</v>
      </c>
      <c r="CM87" s="37">
        <f>IF('Assumptions_&amp;_Inputs'!$E$81="Interest-only",0,IF(CM$7&lt;='Assumptions_&amp;_Inputs'!$E$83,PPMT('Assumptions_&amp;_Inputs'!$E$80,'Monthly_P&amp;L'!CM$7,'Assumptions_&amp;_Inputs'!$E$82*12,'Assumptions_&amp;_Inputs'!$E$78),0))</f>
        <v>0</v>
      </c>
      <c r="CN87" s="37">
        <f>IF('Assumptions_&amp;_Inputs'!$E$81="Interest-only",0,IF(CN$7&lt;='Assumptions_&amp;_Inputs'!$E$83,PPMT('Assumptions_&amp;_Inputs'!$E$80,'Monthly_P&amp;L'!CN$7,'Assumptions_&amp;_Inputs'!$E$82*12,'Assumptions_&amp;_Inputs'!$E$78),0))</f>
        <v>0</v>
      </c>
      <c r="CO87" s="37">
        <f>IF('Assumptions_&amp;_Inputs'!$E$81="Interest-only",0,IF(CO$7&lt;='Assumptions_&amp;_Inputs'!$E$83,PPMT('Assumptions_&amp;_Inputs'!$E$80,'Monthly_P&amp;L'!CO$7,'Assumptions_&amp;_Inputs'!$E$82*12,'Assumptions_&amp;_Inputs'!$E$78),0))</f>
        <v>0</v>
      </c>
      <c r="CP87" s="37">
        <f>IF('Assumptions_&amp;_Inputs'!$E$81="Interest-only",0,IF(CP$7&lt;='Assumptions_&amp;_Inputs'!$E$83,PPMT('Assumptions_&amp;_Inputs'!$E$80,'Monthly_P&amp;L'!CP$7,'Assumptions_&amp;_Inputs'!$E$82*12,'Assumptions_&amp;_Inputs'!$E$78),0))</f>
        <v>0</v>
      </c>
      <c r="CQ87" s="37">
        <f>IF('Assumptions_&amp;_Inputs'!$E$81="Interest-only",0,IF(CQ$7&lt;='Assumptions_&amp;_Inputs'!$E$83,PPMT('Assumptions_&amp;_Inputs'!$E$80,'Monthly_P&amp;L'!CQ$7,'Assumptions_&amp;_Inputs'!$E$82*12,'Assumptions_&amp;_Inputs'!$E$78),0))</f>
        <v>0</v>
      </c>
      <c r="CR87" s="37">
        <f>IF('Assumptions_&amp;_Inputs'!$E$81="Interest-only",0,IF(CR$7&lt;='Assumptions_&amp;_Inputs'!$E$83,PPMT('Assumptions_&amp;_Inputs'!$E$80,'Monthly_P&amp;L'!CR$7,'Assumptions_&amp;_Inputs'!$E$82*12,'Assumptions_&amp;_Inputs'!$E$78),0))</f>
        <v>0</v>
      </c>
      <c r="CS87" s="37">
        <f>IF('Assumptions_&amp;_Inputs'!$E$81="Interest-only",0,IF(CS$7&lt;='Assumptions_&amp;_Inputs'!$E$83,PPMT('Assumptions_&amp;_Inputs'!$E$80,'Monthly_P&amp;L'!CS$7,'Assumptions_&amp;_Inputs'!$E$82*12,'Assumptions_&amp;_Inputs'!$E$78),0))</f>
        <v>0</v>
      </c>
      <c r="CT87" s="37">
        <f>IF('Assumptions_&amp;_Inputs'!$E$81="Interest-only",0,IF(CT$7&lt;='Assumptions_&amp;_Inputs'!$E$83,PPMT('Assumptions_&amp;_Inputs'!$E$80,'Monthly_P&amp;L'!CT$7,'Assumptions_&amp;_Inputs'!$E$82*12,'Assumptions_&amp;_Inputs'!$E$78),0))</f>
        <v>0</v>
      </c>
      <c r="CU87" s="37">
        <f>IF('Assumptions_&amp;_Inputs'!$E$81="Interest-only",0,IF(CU$7&lt;='Assumptions_&amp;_Inputs'!$E$83,PPMT('Assumptions_&amp;_Inputs'!$E$80,'Monthly_P&amp;L'!CU$7,'Assumptions_&amp;_Inputs'!$E$82*12,'Assumptions_&amp;_Inputs'!$E$78),0))</f>
        <v>0</v>
      </c>
      <c r="CV87" s="37">
        <f>IF('Assumptions_&amp;_Inputs'!$E$81="Interest-only",0,IF(CV$7&lt;='Assumptions_&amp;_Inputs'!$E$83,PPMT('Assumptions_&amp;_Inputs'!$E$80,'Monthly_P&amp;L'!CV$7,'Assumptions_&amp;_Inputs'!$E$82*12,'Assumptions_&amp;_Inputs'!$E$78),0))</f>
        <v>0</v>
      </c>
      <c r="CW87" s="37">
        <f>IF('Assumptions_&amp;_Inputs'!$E$81="Interest-only",0,IF(CW$7&lt;='Assumptions_&amp;_Inputs'!$E$83,PPMT('Assumptions_&amp;_Inputs'!$E$80,'Monthly_P&amp;L'!CW$7,'Assumptions_&amp;_Inputs'!$E$82*12,'Assumptions_&amp;_Inputs'!$E$78),0))</f>
        <v>0</v>
      </c>
      <c r="CX87" s="37">
        <f>IF('Assumptions_&amp;_Inputs'!$E$81="Interest-only",0,IF(CX$7&lt;='Assumptions_&amp;_Inputs'!$E$83,PPMT('Assumptions_&amp;_Inputs'!$E$80,'Monthly_P&amp;L'!CX$7,'Assumptions_&amp;_Inputs'!$E$82*12,'Assumptions_&amp;_Inputs'!$E$78),0))</f>
        <v>0</v>
      </c>
      <c r="CY87" s="37">
        <f>IF('Assumptions_&amp;_Inputs'!$E$81="Interest-only",0,IF(CY$7&lt;='Assumptions_&amp;_Inputs'!$E$83,PPMT('Assumptions_&amp;_Inputs'!$E$80,'Monthly_P&amp;L'!CY$7,'Assumptions_&amp;_Inputs'!$E$82*12,'Assumptions_&amp;_Inputs'!$E$78),0))</f>
        <v>0</v>
      </c>
      <c r="CZ87" s="37">
        <f>IF('Assumptions_&amp;_Inputs'!$E$81="Interest-only",0,IF(CZ$7&lt;='Assumptions_&amp;_Inputs'!$E$83,PPMT('Assumptions_&amp;_Inputs'!$E$80,'Monthly_P&amp;L'!CZ$7,'Assumptions_&amp;_Inputs'!$E$82*12,'Assumptions_&amp;_Inputs'!$E$78),0))</f>
        <v>0</v>
      </c>
      <c r="DA87" s="37">
        <f>IF('Assumptions_&amp;_Inputs'!$E$81="Interest-only",0,IF(DA$7&lt;='Assumptions_&amp;_Inputs'!$E$83,PPMT('Assumptions_&amp;_Inputs'!$E$80,'Monthly_P&amp;L'!DA$7,'Assumptions_&amp;_Inputs'!$E$82*12,'Assumptions_&amp;_Inputs'!$E$78),0))</f>
        <v>0</v>
      </c>
      <c r="DB87" s="37">
        <f>IF('Assumptions_&amp;_Inputs'!$E$81="Interest-only",0,IF(DB$7&lt;='Assumptions_&amp;_Inputs'!$E$83,PPMT('Assumptions_&amp;_Inputs'!$E$80,'Monthly_P&amp;L'!DB$7,'Assumptions_&amp;_Inputs'!$E$82*12,'Assumptions_&amp;_Inputs'!$E$78),0))</f>
        <v>0</v>
      </c>
      <c r="DC87" s="37">
        <f>IF('Assumptions_&amp;_Inputs'!$E$81="Interest-only",0,IF(DC$7&lt;='Assumptions_&amp;_Inputs'!$E$83,PPMT('Assumptions_&amp;_Inputs'!$E$80,'Monthly_P&amp;L'!DC$7,'Assumptions_&amp;_Inputs'!$E$82*12,'Assumptions_&amp;_Inputs'!$E$78),0))</f>
        <v>0</v>
      </c>
      <c r="DD87" s="37">
        <f>IF('Assumptions_&amp;_Inputs'!$E$81="Interest-only",0,IF(DD$7&lt;='Assumptions_&amp;_Inputs'!$E$83,PPMT('Assumptions_&amp;_Inputs'!$E$80,'Monthly_P&amp;L'!DD$7,'Assumptions_&amp;_Inputs'!$E$82*12,'Assumptions_&amp;_Inputs'!$E$78),0))</f>
        <v>0</v>
      </c>
      <c r="DE87" s="37">
        <f>IF('Assumptions_&amp;_Inputs'!$E$81="Interest-only",0,IF(DE$7&lt;='Assumptions_&amp;_Inputs'!$E$83,PPMT('Assumptions_&amp;_Inputs'!$E$80,'Monthly_P&amp;L'!DE$7,'Assumptions_&amp;_Inputs'!$E$82*12,'Assumptions_&amp;_Inputs'!$E$78),0))</f>
        <v>0</v>
      </c>
      <c r="DF87" s="37">
        <f>IF('Assumptions_&amp;_Inputs'!$E$81="Interest-only",0,IF(DF$7&lt;='Assumptions_&amp;_Inputs'!$E$83,PPMT('Assumptions_&amp;_Inputs'!$E$80,'Monthly_P&amp;L'!DF$7,'Assumptions_&amp;_Inputs'!$E$82*12,'Assumptions_&amp;_Inputs'!$E$78),0))</f>
        <v>0</v>
      </c>
      <c r="DG87" s="37">
        <f>IF('Assumptions_&amp;_Inputs'!$E$81="Interest-only",0,IF(DG$7&lt;='Assumptions_&amp;_Inputs'!$E$83,PPMT('Assumptions_&amp;_Inputs'!$E$80,'Monthly_P&amp;L'!DG$7,'Assumptions_&amp;_Inputs'!$E$82*12,'Assumptions_&amp;_Inputs'!$E$78),0))</f>
        <v>0</v>
      </c>
      <c r="DH87" s="37">
        <f>IF('Assumptions_&amp;_Inputs'!$E$81="Interest-only",0,IF(DH$7&lt;='Assumptions_&amp;_Inputs'!$E$83,PPMT('Assumptions_&amp;_Inputs'!$E$80,'Monthly_P&amp;L'!DH$7,'Assumptions_&amp;_Inputs'!$E$82*12,'Assumptions_&amp;_Inputs'!$E$78),0))</f>
        <v>0</v>
      </c>
      <c r="DI87" s="37">
        <f>IF('Assumptions_&amp;_Inputs'!$E$81="Interest-only",0,IF(DI$7&lt;='Assumptions_&amp;_Inputs'!$E$83,PPMT('Assumptions_&amp;_Inputs'!$E$80,'Monthly_P&amp;L'!DI$7,'Assumptions_&amp;_Inputs'!$E$82*12,'Assumptions_&amp;_Inputs'!$E$78),0))</f>
        <v>0</v>
      </c>
      <c r="DJ87" s="37">
        <f>IF('Assumptions_&amp;_Inputs'!$E$81="Interest-only",0,IF(DJ$7&lt;='Assumptions_&amp;_Inputs'!$E$83,PPMT('Assumptions_&amp;_Inputs'!$E$80,'Monthly_P&amp;L'!DJ$7,'Assumptions_&amp;_Inputs'!$E$82*12,'Assumptions_&amp;_Inputs'!$E$78),0))</f>
        <v>0</v>
      </c>
      <c r="DK87" s="37">
        <f>IF('Assumptions_&amp;_Inputs'!$E$81="Interest-only",0,IF(DK$7&lt;='Assumptions_&amp;_Inputs'!$E$83,PPMT('Assumptions_&amp;_Inputs'!$E$80,'Monthly_P&amp;L'!DK$7,'Assumptions_&amp;_Inputs'!$E$82*12,'Assumptions_&amp;_Inputs'!$E$78),0))</f>
        <v>0</v>
      </c>
      <c r="DL87" s="37">
        <f>IF('Assumptions_&amp;_Inputs'!$E$81="Interest-only",0,IF(DL$7&lt;='Assumptions_&amp;_Inputs'!$E$83,PPMT('Assumptions_&amp;_Inputs'!$E$80,'Monthly_P&amp;L'!DL$7,'Assumptions_&amp;_Inputs'!$E$82*12,'Assumptions_&amp;_Inputs'!$E$78),0))</f>
        <v>0</v>
      </c>
      <c r="DM87" s="37">
        <f>IF('Assumptions_&amp;_Inputs'!$E$81="Interest-only",0,IF(DM$7&lt;='Assumptions_&amp;_Inputs'!$E$83,PPMT('Assumptions_&amp;_Inputs'!$E$80,'Monthly_P&amp;L'!DM$7,'Assumptions_&amp;_Inputs'!$E$82*12,'Assumptions_&amp;_Inputs'!$E$78),0))</f>
        <v>0</v>
      </c>
      <c r="DN87" s="37">
        <f>IF('Assumptions_&amp;_Inputs'!$E$81="Interest-only",0,IF(DN$7&lt;='Assumptions_&amp;_Inputs'!$E$83,PPMT('Assumptions_&amp;_Inputs'!$E$80,'Monthly_P&amp;L'!DN$7,'Assumptions_&amp;_Inputs'!$E$82*12,'Assumptions_&amp;_Inputs'!$E$78),0))</f>
        <v>0</v>
      </c>
      <c r="DO87" s="37">
        <f>IF('Assumptions_&amp;_Inputs'!$E$81="Interest-only",0,IF(DO$7&lt;='Assumptions_&amp;_Inputs'!$E$83,PPMT('Assumptions_&amp;_Inputs'!$E$80,'Monthly_P&amp;L'!DO$7,'Assumptions_&amp;_Inputs'!$E$82*12,'Assumptions_&amp;_Inputs'!$E$78),0))</f>
        <v>0</v>
      </c>
      <c r="DP87" s="37">
        <f>IF('Assumptions_&amp;_Inputs'!$E$81="Interest-only",0,IF(DP$7&lt;='Assumptions_&amp;_Inputs'!$E$83,PPMT('Assumptions_&amp;_Inputs'!$E$80,'Monthly_P&amp;L'!DP$7,'Assumptions_&amp;_Inputs'!$E$82*12,'Assumptions_&amp;_Inputs'!$E$78),0))</f>
        <v>0</v>
      </c>
      <c r="DQ87" s="37">
        <f>IF('Assumptions_&amp;_Inputs'!$E$81="Interest-only",0,IF(DQ$7&lt;='Assumptions_&amp;_Inputs'!$E$83,PPMT('Assumptions_&amp;_Inputs'!$E$80,'Monthly_P&amp;L'!DQ$7,'Assumptions_&amp;_Inputs'!$E$82*12,'Assumptions_&amp;_Inputs'!$E$78),0))</f>
        <v>0</v>
      </c>
      <c r="DR87" s="37">
        <f>IF('Assumptions_&amp;_Inputs'!$E$81="Interest-only",0,IF(DR$7&lt;='Assumptions_&amp;_Inputs'!$E$83,PPMT('Assumptions_&amp;_Inputs'!$E$80,'Monthly_P&amp;L'!DR$7,'Assumptions_&amp;_Inputs'!$E$82*12,'Assumptions_&amp;_Inputs'!$E$78),0))</f>
        <v>0</v>
      </c>
      <c r="DS87" s="37">
        <f>IF('Assumptions_&amp;_Inputs'!$E$81="Interest-only",0,IF(DS$7&lt;='Assumptions_&amp;_Inputs'!$E$83,PPMT('Assumptions_&amp;_Inputs'!$E$80,'Monthly_P&amp;L'!DS$7,'Assumptions_&amp;_Inputs'!$E$82*12,'Assumptions_&amp;_Inputs'!$E$78),0))</f>
        <v>0</v>
      </c>
      <c r="DT87" s="37">
        <f>IF('Assumptions_&amp;_Inputs'!$E$81="Interest-only",0,IF(DT$7&lt;='Assumptions_&amp;_Inputs'!$E$83,PPMT('Assumptions_&amp;_Inputs'!$E$80,'Monthly_P&amp;L'!DT$7,'Assumptions_&amp;_Inputs'!$E$82*12,'Assumptions_&amp;_Inputs'!$E$78),0))</f>
        <v>0</v>
      </c>
      <c r="DU87" s="37">
        <f>IF('Assumptions_&amp;_Inputs'!$E$81="Interest-only",0,IF(DU$7&lt;='Assumptions_&amp;_Inputs'!$E$83,PPMT('Assumptions_&amp;_Inputs'!$E$80,'Monthly_P&amp;L'!DU$7,'Assumptions_&amp;_Inputs'!$E$82*12,'Assumptions_&amp;_Inputs'!$E$78),0))</f>
        <v>0</v>
      </c>
      <c r="DV87" s="37">
        <f>IF('Assumptions_&amp;_Inputs'!$E$81="Interest-only",0,IF(DV$7&lt;='Assumptions_&amp;_Inputs'!$E$83,PPMT('Assumptions_&amp;_Inputs'!$E$80,'Monthly_P&amp;L'!DV$7,'Assumptions_&amp;_Inputs'!$E$82*12,'Assumptions_&amp;_Inputs'!$E$78),0))</f>
        <v>0</v>
      </c>
      <c r="DW87" s="37">
        <f>IF('Assumptions_&amp;_Inputs'!$E$81="Interest-only",0,IF(DW$7&lt;='Assumptions_&amp;_Inputs'!$E$83,PPMT('Assumptions_&amp;_Inputs'!$E$80,'Monthly_P&amp;L'!DW$7,'Assumptions_&amp;_Inputs'!$E$82*12,'Assumptions_&amp;_Inputs'!$E$78),0))</f>
        <v>0</v>
      </c>
      <c r="DX87" s="37">
        <f>IF('Assumptions_&amp;_Inputs'!$E$81="Interest-only",0,IF(DX$7&lt;='Assumptions_&amp;_Inputs'!$E$83,PPMT('Assumptions_&amp;_Inputs'!$E$80,'Monthly_P&amp;L'!DX$7,'Assumptions_&amp;_Inputs'!$E$82*12,'Assumptions_&amp;_Inputs'!$E$78),0))</f>
        <v>0</v>
      </c>
      <c r="DY87" s="37">
        <f>IF('Assumptions_&amp;_Inputs'!$E$81="Interest-only",0,IF(DY$7&lt;='Assumptions_&amp;_Inputs'!$E$83,PPMT('Assumptions_&amp;_Inputs'!$E$80,'Monthly_P&amp;L'!DY$7,'Assumptions_&amp;_Inputs'!$E$82*12,'Assumptions_&amp;_Inputs'!$E$78),0))</f>
        <v>0</v>
      </c>
      <c r="DZ87" s="37">
        <f>IF('Assumptions_&amp;_Inputs'!$E$81="Interest-only",0,IF(DZ$7&lt;='Assumptions_&amp;_Inputs'!$E$83,PPMT('Assumptions_&amp;_Inputs'!$E$80,'Monthly_P&amp;L'!DZ$7,'Assumptions_&amp;_Inputs'!$E$82*12,'Assumptions_&amp;_Inputs'!$E$78),0))</f>
        <v>0</v>
      </c>
      <c r="EA87" s="37">
        <f>IF('Assumptions_&amp;_Inputs'!$E$81="Interest-only",0,IF(EA$7&lt;='Assumptions_&amp;_Inputs'!$E$83,PPMT('Assumptions_&amp;_Inputs'!$E$80,'Monthly_P&amp;L'!EA$7,'Assumptions_&amp;_Inputs'!$E$82*12,'Assumptions_&amp;_Inputs'!$E$78),0))</f>
        <v>0</v>
      </c>
      <c r="EB87" s="37">
        <f>IF('Assumptions_&amp;_Inputs'!$E$81="Interest-only",0,IF(EB$7&lt;='Assumptions_&amp;_Inputs'!$E$83,PPMT('Assumptions_&amp;_Inputs'!$E$80,'Monthly_P&amp;L'!EB$7,'Assumptions_&amp;_Inputs'!$E$82*12,'Assumptions_&amp;_Inputs'!$E$78),0))</f>
        <v>0</v>
      </c>
      <c r="EC87" s="37">
        <f>IF('Assumptions_&amp;_Inputs'!$E$81="Interest-only",0,IF(EC$7&lt;='Assumptions_&amp;_Inputs'!$E$83,PPMT('Assumptions_&amp;_Inputs'!$E$80,'Monthly_P&amp;L'!EC$7,'Assumptions_&amp;_Inputs'!$E$82*12,'Assumptions_&amp;_Inputs'!$E$78),0))</f>
        <v>0</v>
      </c>
      <c r="ED87" s="37">
        <f>IF('Assumptions_&amp;_Inputs'!$E$81="Interest-only",0,IF(ED$7&lt;='Assumptions_&amp;_Inputs'!$E$83,PPMT('Assumptions_&amp;_Inputs'!$E$80,'Monthly_P&amp;L'!ED$7,'Assumptions_&amp;_Inputs'!$E$82*12,'Assumptions_&amp;_Inputs'!$E$78),0))</f>
        <v>0</v>
      </c>
      <c r="EE87" s="37">
        <f>IF('Assumptions_&amp;_Inputs'!$E$81="Interest-only",0,IF(EE$7&lt;='Assumptions_&amp;_Inputs'!$E$83,PPMT('Assumptions_&amp;_Inputs'!$E$80,'Monthly_P&amp;L'!EE$7,'Assumptions_&amp;_Inputs'!$E$82*12,'Assumptions_&amp;_Inputs'!$E$78),0))</f>
        <v>0</v>
      </c>
      <c r="EF87" s="37">
        <f>IF('Assumptions_&amp;_Inputs'!$E$81="Interest-only",0,IF(EF$7&lt;='Assumptions_&amp;_Inputs'!$E$83,PPMT('Assumptions_&amp;_Inputs'!$E$80,'Monthly_P&amp;L'!EF$7,'Assumptions_&amp;_Inputs'!$E$82*12,'Assumptions_&amp;_Inputs'!$E$78),0))</f>
        <v>0</v>
      </c>
      <c r="EG87" s="37">
        <f>IF('Assumptions_&amp;_Inputs'!$E$81="Interest-only",0,IF(EG$7&lt;='Assumptions_&amp;_Inputs'!$E$83,PPMT('Assumptions_&amp;_Inputs'!$E$80,'Monthly_P&amp;L'!EG$7,'Assumptions_&amp;_Inputs'!$E$82*12,'Assumptions_&amp;_Inputs'!$E$78),0))</f>
        <v>0</v>
      </c>
      <c r="EH87" s="37">
        <f>IF('Assumptions_&amp;_Inputs'!$E$81="Interest-only",0,IF(EH$7&lt;='Assumptions_&amp;_Inputs'!$E$83,PPMT('Assumptions_&amp;_Inputs'!$E$80,'Monthly_P&amp;L'!EH$7,'Assumptions_&amp;_Inputs'!$E$82*12,'Assumptions_&amp;_Inputs'!$E$78),0))</f>
        <v>0</v>
      </c>
      <c r="EI87" s="37">
        <f>IF('Assumptions_&amp;_Inputs'!$E$81="Interest-only",0,IF(EI$7&lt;='Assumptions_&amp;_Inputs'!$E$83,PPMT('Assumptions_&amp;_Inputs'!$E$80,'Monthly_P&amp;L'!EI$7,'Assumptions_&amp;_Inputs'!$E$82*12,'Assumptions_&amp;_Inputs'!$E$78),0))</f>
        <v>0</v>
      </c>
      <c r="EJ87" s="37">
        <f>IF('Assumptions_&amp;_Inputs'!$E$81="Interest-only",0,IF(EJ$7&lt;='Assumptions_&amp;_Inputs'!$E$83,PPMT('Assumptions_&amp;_Inputs'!$E$80,'Monthly_P&amp;L'!EJ$7,'Assumptions_&amp;_Inputs'!$E$82*12,'Assumptions_&amp;_Inputs'!$E$78),0))</f>
        <v>0</v>
      </c>
      <c r="EK87" s="37">
        <f>IF('Assumptions_&amp;_Inputs'!$E$81="Interest-only",0,IF(EK$7&lt;='Assumptions_&amp;_Inputs'!$E$83,PPMT('Assumptions_&amp;_Inputs'!$E$80,'Monthly_P&amp;L'!EK$7,'Assumptions_&amp;_Inputs'!$E$82*12,'Assumptions_&amp;_Inputs'!$E$78),0))</f>
        <v>0</v>
      </c>
      <c r="EL87" s="37">
        <f>IF('Assumptions_&amp;_Inputs'!$E$81="Interest-only",0,IF(EL$7&lt;='Assumptions_&amp;_Inputs'!$E$83,PPMT('Assumptions_&amp;_Inputs'!$E$80,'Monthly_P&amp;L'!EL$7,'Assumptions_&amp;_Inputs'!$E$82*12,'Assumptions_&amp;_Inputs'!$E$78),0))</f>
        <v>0</v>
      </c>
      <c r="EM87" s="37">
        <f>IF('Assumptions_&amp;_Inputs'!$E$81="Interest-only",0,IF(EM$7&lt;='Assumptions_&amp;_Inputs'!$E$83,PPMT('Assumptions_&amp;_Inputs'!$E$80,'Monthly_P&amp;L'!EM$7,'Assumptions_&amp;_Inputs'!$E$82*12,'Assumptions_&amp;_Inputs'!$E$78),0))</f>
        <v>0</v>
      </c>
      <c r="EN87" s="37">
        <f>IF('Assumptions_&amp;_Inputs'!$E$81="Interest-only",0,IF(EN$7&lt;='Assumptions_&amp;_Inputs'!$E$83,PPMT('Assumptions_&amp;_Inputs'!$E$80,'Monthly_P&amp;L'!EN$7,'Assumptions_&amp;_Inputs'!$E$82*12,'Assumptions_&amp;_Inputs'!$E$78),0))</f>
        <v>0</v>
      </c>
      <c r="EO87" s="37">
        <f>IF('Assumptions_&amp;_Inputs'!$E$81="Interest-only",0,IF(EO$7&lt;='Assumptions_&amp;_Inputs'!$E$83,PPMT('Assumptions_&amp;_Inputs'!$E$80,'Monthly_P&amp;L'!EO$7,'Assumptions_&amp;_Inputs'!$E$82*12,'Assumptions_&amp;_Inputs'!$E$78),0))</f>
        <v>0</v>
      </c>
      <c r="EP87" s="37">
        <f>IF('Assumptions_&amp;_Inputs'!$E$81="Interest-only",0,IF(EP$7&lt;='Assumptions_&amp;_Inputs'!$E$83,PPMT('Assumptions_&amp;_Inputs'!$E$80,'Monthly_P&amp;L'!EP$7,'Assumptions_&amp;_Inputs'!$E$82*12,'Assumptions_&amp;_Inputs'!$E$78),0))</f>
        <v>0</v>
      </c>
      <c r="EQ87" s="37">
        <f>IF('Assumptions_&amp;_Inputs'!$E$81="Interest-only",0,IF(EQ$7&lt;='Assumptions_&amp;_Inputs'!$E$83,PPMT('Assumptions_&amp;_Inputs'!$E$80,'Monthly_P&amp;L'!EQ$7,'Assumptions_&amp;_Inputs'!$E$82*12,'Assumptions_&amp;_Inputs'!$E$78),0))</f>
        <v>0</v>
      </c>
      <c r="ER87" s="37">
        <f>IF('Assumptions_&amp;_Inputs'!$E$81="Interest-only",0,IF(ER$7&lt;='Assumptions_&amp;_Inputs'!$E$83,PPMT('Assumptions_&amp;_Inputs'!$E$80,'Monthly_P&amp;L'!ER$7,'Assumptions_&amp;_Inputs'!$E$82*12,'Assumptions_&amp;_Inputs'!$E$78),0))</f>
        <v>0</v>
      </c>
      <c r="ES87" s="37">
        <f>IF('Assumptions_&amp;_Inputs'!$E$81="Interest-only",0,IF(ES$7&lt;='Assumptions_&amp;_Inputs'!$E$83,PPMT('Assumptions_&amp;_Inputs'!$E$80,'Monthly_P&amp;L'!ES$7,'Assumptions_&amp;_Inputs'!$E$82*12,'Assumptions_&amp;_Inputs'!$E$78),0))</f>
        <v>0</v>
      </c>
      <c r="ET87" s="37">
        <f>IF('Assumptions_&amp;_Inputs'!$E$81="Interest-only",0,IF(ET$7&lt;='Assumptions_&amp;_Inputs'!$E$83,PPMT('Assumptions_&amp;_Inputs'!$E$80,'Monthly_P&amp;L'!ET$7,'Assumptions_&amp;_Inputs'!$E$82*12,'Assumptions_&amp;_Inputs'!$E$78),0))</f>
        <v>0</v>
      </c>
      <c r="EU87" s="37">
        <f>IF('Assumptions_&amp;_Inputs'!$E$81="Interest-only",0,IF(EU$7&lt;='Assumptions_&amp;_Inputs'!$E$83,PPMT('Assumptions_&amp;_Inputs'!$E$80,'Monthly_P&amp;L'!EU$7,'Assumptions_&amp;_Inputs'!$E$82*12,'Assumptions_&amp;_Inputs'!$E$78),0))</f>
        <v>0</v>
      </c>
      <c r="EV87" s="37">
        <f>IF('Assumptions_&amp;_Inputs'!$E$81="Interest-only",0,IF(EV$7&lt;='Assumptions_&amp;_Inputs'!$E$83,PPMT('Assumptions_&amp;_Inputs'!$E$80,'Monthly_P&amp;L'!EV$7,'Assumptions_&amp;_Inputs'!$E$82*12,'Assumptions_&amp;_Inputs'!$E$78),0))</f>
        <v>0</v>
      </c>
      <c r="EW87" s="37">
        <f>IF('Assumptions_&amp;_Inputs'!$E$81="Interest-only",0,IF(EW$7&lt;='Assumptions_&amp;_Inputs'!$E$83,PPMT('Assumptions_&amp;_Inputs'!$E$80,'Monthly_P&amp;L'!EW$7,'Assumptions_&amp;_Inputs'!$E$82*12,'Assumptions_&amp;_Inputs'!$E$78),0))</f>
        <v>0</v>
      </c>
      <c r="EX87" s="37">
        <f>IF('Assumptions_&amp;_Inputs'!$E$81="Interest-only",0,IF(EX$7&lt;='Assumptions_&amp;_Inputs'!$E$83,PPMT('Assumptions_&amp;_Inputs'!$E$80,'Monthly_P&amp;L'!EX$7,'Assumptions_&amp;_Inputs'!$E$82*12,'Assumptions_&amp;_Inputs'!$E$78),0))</f>
        <v>0</v>
      </c>
      <c r="EY87" s="37">
        <f>IF('Assumptions_&amp;_Inputs'!$E$81="Interest-only",0,IF(EY$7&lt;='Assumptions_&amp;_Inputs'!$E$83,PPMT('Assumptions_&amp;_Inputs'!$E$80,'Monthly_P&amp;L'!EY$7,'Assumptions_&amp;_Inputs'!$E$82*12,'Assumptions_&amp;_Inputs'!$E$78),0))</f>
        <v>0</v>
      </c>
      <c r="EZ87" s="37">
        <f>IF('Assumptions_&amp;_Inputs'!$E$81="Interest-only",0,IF(EZ$7&lt;='Assumptions_&amp;_Inputs'!$E$83,PPMT('Assumptions_&amp;_Inputs'!$E$80,'Monthly_P&amp;L'!EZ$7,'Assumptions_&amp;_Inputs'!$E$82*12,'Assumptions_&amp;_Inputs'!$E$78),0))</f>
        <v>0</v>
      </c>
      <c r="FA87" s="37">
        <f>IF('Assumptions_&amp;_Inputs'!$E$81="Interest-only",0,IF(FA$7&lt;='Assumptions_&amp;_Inputs'!$E$83,PPMT('Assumptions_&amp;_Inputs'!$E$80,'Monthly_P&amp;L'!FA$7,'Assumptions_&amp;_Inputs'!$E$82*12,'Assumptions_&amp;_Inputs'!$E$78),0))</f>
        <v>0</v>
      </c>
      <c r="FB87" s="37">
        <f>IF('Assumptions_&amp;_Inputs'!$E$81="Interest-only",0,IF(FB$7&lt;='Assumptions_&amp;_Inputs'!$E$83,PPMT('Assumptions_&amp;_Inputs'!$E$80,'Monthly_P&amp;L'!FB$7,'Assumptions_&amp;_Inputs'!$E$82*12,'Assumptions_&amp;_Inputs'!$E$78),0))</f>
        <v>0</v>
      </c>
      <c r="FC87" s="37">
        <f>IF('Assumptions_&amp;_Inputs'!$E$81="Interest-only",0,IF(FC$7&lt;='Assumptions_&amp;_Inputs'!$E$83,PPMT('Assumptions_&amp;_Inputs'!$E$80,'Monthly_P&amp;L'!FC$7,'Assumptions_&amp;_Inputs'!$E$82*12,'Assumptions_&amp;_Inputs'!$E$78),0))</f>
        <v>0</v>
      </c>
      <c r="FD87" s="37">
        <f>IF('Assumptions_&amp;_Inputs'!$E$81="Interest-only",0,IF(FD$7&lt;='Assumptions_&amp;_Inputs'!$E$83,PPMT('Assumptions_&amp;_Inputs'!$E$80,'Monthly_P&amp;L'!FD$7,'Assumptions_&amp;_Inputs'!$E$82*12,'Assumptions_&amp;_Inputs'!$E$78),0))</f>
        <v>0</v>
      </c>
      <c r="FE87" s="37">
        <f>IF('Assumptions_&amp;_Inputs'!$E$81="Interest-only",0,IF(FE$7&lt;='Assumptions_&amp;_Inputs'!$E$83,PPMT('Assumptions_&amp;_Inputs'!$E$80,'Monthly_P&amp;L'!FE$7,'Assumptions_&amp;_Inputs'!$E$82*12,'Assumptions_&amp;_Inputs'!$E$78),0))</f>
        <v>0</v>
      </c>
      <c r="FF87" s="37">
        <f>IF('Assumptions_&amp;_Inputs'!$E$81="Interest-only",0,IF(FF$7&lt;='Assumptions_&amp;_Inputs'!$E$83,PPMT('Assumptions_&amp;_Inputs'!$E$80,'Monthly_P&amp;L'!FF$7,'Assumptions_&amp;_Inputs'!$E$82*12,'Assumptions_&amp;_Inputs'!$E$78),0))</f>
        <v>0</v>
      </c>
      <c r="FG87" s="37">
        <f>IF('Assumptions_&amp;_Inputs'!$E$81="Interest-only",0,IF(FG$7&lt;='Assumptions_&amp;_Inputs'!$E$83,PPMT('Assumptions_&amp;_Inputs'!$E$80,'Monthly_P&amp;L'!FG$7,'Assumptions_&amp;_Inputs'!$E$82*12,'Assumptions_&amp;_Inputs'!$E$78),0))</f>
        <v>0</v>
      </c>
      <c r="FH87" s="37">
        <f>IF('Assumptions_&amp;_Inputs'!$E$81="Interest-only",0,IF(FH$7&lt;='Assumptions_&amp;_Inputs'!$E$83,PPMT('Assumptions_&amp;_Inputs'!$E$80,'Monthly_P&amp;L'!FH$7,'Assumptions_&amp;_Inputs'!$E$82*12,'Assumptions_&amp;_Inputs'!$E$78),0))</f>
        <v>0</v>
      </c>
      <c r="FI87" s="37">
        <f>IF('Assumptions_&amp;_Inputs'!$E$81="Interest-only",0,IF(FI$7&lt;='Assumptions_&amp;_Inputs'!$E$83,PPMT('Assumptions_&amp;_Inputs'!$E$80,'Monthly_P&amp;L'!FI$7,'Assumptions_&amp;_Inputs'!$E$82*12,'Assumptions_&amp;_Inputs'!$E$78),0))</f>
        <v>0</v>
      </c>
      <c r="FJ87" s="37">
        <f>IF('Assumptions_&amp;_Inputs'!$E$81="Interest-only",0,IF(FJ$7&lt;='Assumptions_&amp;_Inputs'!$E$83,PPMT('Assumptions_&amp;_Inputs'!$E$80,'Monthly_P&amp;L'!FJ$7,'Assumptions_&amp;_Inputs'!$E$82*12,'Assumptions_&amp;_Inputs'!$E$78),0))</f>
        <v>0</v>
      </c>
      <c r="FK87" s="37">
        <f>IF('Assumptions_&amp;_Inputs'!$E$81="Interest-only",0,IF(FK$7&lt;='Assumptions_&amp;_Inputs'!$E$83,PPMT('Assumptions_&amp;_Inputs'!$E$80,'Monthly_P&amp;L'!FK$7,'Assumptions_&amp;_Inputs'!$E$82*12,'Assumptions_&amp;_Inputs'!$E$78),0))</f>
        <v>0</v>
      </c>
      <c r="FL87" s="37">
        <f>IF('Assumptions_&amp;_Inputs'!$E$81="Interest-only",0,IF(FL$7&lt;='Assumptions_&amp;_Inputs'!$E$83,PPMT('Assumptions_&amp;_Inputs'!$E$80,'Monthly_P&amp;L'!FL$7,'Assumptions_&amp;_Inputs'!$E$82*12,'Assumptions_&amp;_Inputs'!$E$78),0))</f>
        <v>0</v>
      </c>
      <c r="FM87" s="37">
        <f>IF('Assumptions_&amp;_Inputs'!$E$81="Interest-only",0,IF(FM$7&lt;='Assumptions_&amp;_Inputs'!$E$83,PPMT('Assumptions_&amp;_Inputs'!$E$80,'Monthly_P&amp;L'!FM$7,'Assumptions_&amp;_Inputs'!$E$82*12,'Assumptions_&amp;_Inputs'!$E$78),0))</f>
        <v>0</v>
      </c>
      <c r="FN87" s="37">
        <f>IF('Assumptions_&amp;_Inputs'!$E$81="Interest-only",0,IF(FN$7&lt;='Assumptions_&amp;_Inputs'!$E$83,PPMT('Assumptions_&amp;_Inputs'!$E$80,'Monthly_P&amp;L'!FN$7,'Assumptions_&amp;_Inputs'!$E$82*12,'Assumptions_&amp;_Inputs'!$E$78),0))</f>
        <v>0</v>
      </c>
      <c r="FO87" s="37">
        <f>IF('Assumptions_&amp;_Inputs'!$E$81="Interest-only",0,IF(FO$7&lt;='Assumptions_&amp;_Inputs'!$E$83,PPMT('Assumptions_&amp;_Inputs'!$E$80,'Monthly_P&amp;L'!FO$7,'Assumptions_&amp;_Inputs'!$E$82*12,'Assumptions_&amp;_Inputs'!$E$78),0))</f>
        <v>0</v>
      </c>
      <c r="FP87" s="37">
        <f>IF('Assumptions_&amp;_Inputs'!$E$81="Interest-only",0,IF(FP$7&lt;='Assumptions_&amp;_Inputs'!$E$83,PPMT('Assumptions_&amp;_Inputs'!$E$80,'Monthly_P&amp;L'!FP$7,'Assumptions_&amp;_Inputs'!$E$82*12,'Assumptions_&amp;_Inputs'!$E$78),0))</f>
        <v>0</v>
      </c>
      <c r="FQ87" s="37">
        <f>IF('Assumptions_&amp;_Inputs'!$E$81="Interest-only",0,IF(FQ$7&lt;='Assumptions_&amp;_Inputs'!$E$83,PPMT('Assumptions_&amp;_Inputs'!$E$80,'Monthly_P&amp;L'!FQ$7,'Assumptions_&amp;_Inputs'!$E$82*12,'Assumptions_&amp;_Inputs'!$E$78),0))</f>
        <v>0</v>
      </c>
      <c r="FR87" s="37">
        <f>IF('Assumptions_&amp;_Inputs'!$E$81="Interest-only",0,IF(FR$7&lt;='Assumptions_&amp;_Inputs'!$E$83,PPMT('Assumptions_&amp;_Inputs'!$E$80,'Monthly_P&amp;L'!FR$7,'Assumptions_&amp;_Inputs'!$E$82*12,'Assumptions_&amp;_Inputs'!$E$78),0))</f>
        <v>0</v>
      </c>
      <c r="FS87" s="37">
        <f>IF('Assumptions_&amp;_Inputs'!$E$81="Interest-only",0,IF(FS$7&lt;='Assumptions_&amp;_Inputs'!$E$83,PPMT('Assumptions_&amp;_Inputs'!$E$80,'Monthly_P&amp;L'!FS$7,'Assumptions_&amp;_Inputs'!$E$82*12,'Assumptions_&amp;_Inputs'!$E$78),0))</f>
        <v>0</v>
      </c>
      <c r="FT87" s="37">
        <f>IF('Assumptions_&amp;_Inputs'!$E$81="Interest-only",0,IF(FT$7&lt;='Assumptions_&amp;_Inputs'!$E$83,PPMT('Assumptions_&amp;_Inputs'!$E$80,'Monthly_P&amp;L'!FT$7,'Assumptions_&amp;_Inputs'!$E$82*12,'Assumptions_&amp;_Inputs'!$E$78),0))</f>
        <v>0</v>
      </c>
      <c r="FU87" s="37">
        <f>IF('Assumptions_&amp;_Inputs'!$E$81="Interest-only",0,IF(FU$7&lt;='Assumptions_&amp;_Inputs'!$E$83,PPMT('Assumptions_&amp;_Inputs'!$E$80,'Monthly_P&amp;L'!FU$7,'Assumptions_&amp;_Inputs'!$E$82*12,'Assumptions_&amp;_Inputs'!$E$78),0))</f>
        <v>0</v>
      </c>
      <c r="FV87" s="37">
        <f>IF('Assumptions_&amp;_Inputs'!$E$81="Interest-only",0,IF(FV$7&lt;='Assumptions_&amp;_Inputs'!$E$83,PPMT('Assumptions_&amp;_Inputs'!$E$80,'Monthly_P&amp;L'!FV$7,'Assumptions_&amp;_Inputs'!$E$82*12,'Assumptions_&amp;_Inputs'!$E$78),0))</f>
        <v>0</v>
      </c>
      <c r="FW87" s="37">
        <f>IF('Assumptions_&amp;_Inputs'!$E$81="Interest-only",0,IF(FW$7&lt;='Assumptions_&amp;_Inputs'!$E$83,PPMT('Assumptions_&amp;_Inputs'!$E$80,'Monthly_P&amp;L'!FW$7,'Assumptions_&amp;_Inputs'!$E$82*12,'Assumptions_&amp;_Inputs'!$E$78),0))</f>
        <v>0</v>
      </c>
      <c r="FX87" s="37">
        <f>IF('Assumptions_&amp;_Inputs'!$E$81="Interest-only",0,IF(FX$7&lt;='Assumptions_&amp;_Inputs'!$E$83,PPMT('Assumptions_&amp;_Inputs'!$E$80,'Monthly_P&amp;L'!FX$7,'Assumptions_&amp;_Inputs'!$E$82*12,'Assumptions_&amp;_Inputs'!$E$78),0))</f>
        <v>0</v>
      </c>
      <c r="FY87" s="37">
        <f>IF('Assumptions_&amp;_Inputs'!$E$81="Interest-only",0,IF(FY$7&lt;='Assumptions_&amp;_Inputs'!$E$83,PPMT('Assumptions_&amp;_Inputs'!$E$80,'Monthly_P&amp;L'!FY$7,'Assumptions_&amp;_Inputs'!$E$82*12,'Assumptions_&amp;_Inputs'!$E$78),0))</f>
        <v>0</v>
      </c>
      <c r="FZ87" s="37">
        <f>IF('Assumptions_&amp;_Inputs'!$E$81="Interest-only",0,IF(FZ$7&lt;='Assumptions_&amp;_Inputs'!$E$83,PPMT('Assumptions_&amp;_Inputs'!$E$80,'Monthly_P&amp;L'!FZ$7,'Assumptions_&amp;_Inputs'!$E$82*12,'Assumptions_&amp;_Inputs'!$E$78),0))</f>
        <v>0</v>
      </c>
      <c r="GA87" s="37">
        <f>IF('Assumptions_&amp;_Inputs'!$E$81="Interest-only",0,IF(GA$7&lt;='Assumptions_&amp;_Inputs'!$E$83,PPMT('Assumptions_&amp;_Inputs'!$E$80,'Monthly_P&amp;L'!GA$7,'Assumptions_&amp;_Inputs'!$E$82*12,'Assumptions_&amp;_Inputs'!$E$78),0))</f>
        <v>0</v>
      </c>
      <c r="GB87" s="37">
        <f>IF('Assumptions_&amp;_Inputs'!$E$81="Interest-only",0,IF(GB$7&lt;='Assumptions_&amp;_Inputs'!$E$83,PPMT('Assumptions_&amp;_Inputs'!$E$80,'Monthly_P&amp;L'!GB$7,'Assumptions_&amp;_Inputs'!$E$82*12,'Assumptions_&amp;_Inputs'!$E$78),0))</f>
        <v>0</v>
      </c>
      <c r="GC87" s="37">
        <f>IF('Assumptions_&amp;_Inputs'!$E$81="Interest-only",0,IF(GC$7&lt;='Assumptions_&amp;_Inputs'!$E$83,PPMT('Assumptions_&amp;_Inputs'!$E$80,'Monthly_P&amp;L'!GC$7,'Assumptions_&amp;_Inputs'!$E$82*12,'Assumptions_&amp;_Inputs'!$E$78),0))</f>
        <v>0</v>
      </c>
      <c r="GD87" s="37">
        <f>IF('Assumptions_&amp;_Inputs'!$E$81="Interest-only",0,IF(GD$7&lt;='Assumptions_&amp;_Inputs'!$E$83,PPMT('Assumptions_&amp;_Inputs'!$E$80,'Monthly_P&amp;L'!GD$7,'Assumptions_&amp;_Inputs'!$E$82*12,'Assumptions_&amp;_Inputs'!$E$78),0))</f>
        <v>0</v>
      </c>
      <c r="GE87" s="37">
        <f>IF('Assumptions_&amp;_Inputs'!$E$81="Interest-only",0,IF(GE$7&lt;='Assumptions_&amp;_Inputs'!$E$83,PPMT('Assumptions_&amp;_Inputs'!$E$80,'Monthly_P&amp;L'!GE$7,'Assumptions_&amp;_Inputs'!$E$82*12,'Assumptions_&amp;_Inputs'!$E$78),0))</f>
        <v>0</v>
      </c>
      <c r="GF87" s="37">
        <f>IF('Assumptions_&amp;_Inputs'!$E$81="Interest-only",0,IF(GF$7&lt;='Assumptions_&amp;_Inputs'!$E$83,PPMT('Assumptions_&amp;_Inputs'!$E$80,'Monthly_P&amp;L'!GF$7,'Assumptions_&amp;_Inputs'!$E$82*12,'Assumptions_&amp;_Inputs'!$E$78),0))</f>
        <v>0</v>
      </c>
      <c r="GG87" s="37">
        <f>IF('Assumptions_&amp;_Inputs'!$E$81="Interest-only",0,IF(GG$7&lt;='Assumptions_&amp;_Inputs'!$E$83,PPMT('Assumptions_&amp;_Inputs'!$E$80,'Monthly_P&amp;L'!GG$7,'Assumptions_&amp;_Inputs'!$E$82*12,'Assumptions_&amp;_Inputs'!$E$78),0))</f>
        <v>0</v>
      </c>
      <c r="GH87" s="37">
        <f>IF('Assumptions_&amp;_Inputs'!$E$81="Interest-only",0,IF(GH$7&lt;='Assumptions_&amp;_Inputs'!$E$83,PPMT('Assumptions_&amp;_Inputs'!$E$80,'Monthly_P&amp;L'!GH$7,'Assumptions_&amp;_Inputs'!$E$82*12,'Assumptions_&amp;_Inputs'!$E$78),0))</f>
        <v>0</v>
      </c>
      <c r="GI87" s="37">
        <f>IF('Assumptions_&amp;_Inputs'!$E$81="Interest-only",0,IF(GI$7&lt;='Assumptions_&amp;_Inputs'!$E$83,PPMT('Assumptions_&amp;_Inputs'!$E$80,'Monthly_P&amp;L'!GI$7,'Assumptions_&amp;_Inputs'!$E$82*12,'Assumptions_&amp;_Inputs'!$E$78),0))</f>
        <v>0</v>
      </c>
      <c r="GJ87" s="37">
        <f>IF('Assumptions_&amp;_Inputs'!$E$81="Interest-only",0,IF(GJ$7&lt;='Assumptions_&amp;_Inputs'!$E$83,PPMT('Assumptions_&amp;_Inputs'!$E$80,'Monthly_P&amp;L'!GJ$7,'Assumptions_&amp;_Inputs'!$E$82*12,'Assumptions_&amp;_Inputs'!$E$78),0))</f>
        <v>0</v>
      </c>
      <c r="GK87" s="37">
        <f>IF('Assumptions_&amp;_Inputs'!$E$81="Interest-only",0,IF(GK$7&lt;='Assumptions_&amp;_Inputs'!$E$83,PPMT('Assumptions_&amp;_Inputs'!$E$80,'Monthly_P&amp;L'!GK$7,'Assumptions_&amp;_Inputs'!$E$82*12,'Assumptions_&amp;_Inputs'!$E$78),0))</f>
        <v>0</v>
      </c>
      <c r="GL87" s="37">
        <f>IF('Assumptions_&amp;_Inputs'!$E$81="Interest-only",0,IF(GL$7&lt;='Assumptions_&amp;_Inputs'!$E$83,PPMT('Assumptions_&amp;_Inputs'!$E$80,'Monthly_P&amp;L'!GL$7,'Assumptions_&amp;_Inputs'!$E$82*12,'Assumptions_&amp;_Inputs'!$E$78),0))</f>
        <v>0</v>
      </c>
      <c r="GM87" s="37">
        <f>IF('Assumptions_&amp;_Inputs'!$E$81="Interest-only",0,IF(GM$7&lt;='Assumptions_&amp;_Inputs'!$E$83,PPMT('Assumptions_&amp;_Inputs'!$E$80,'Monthly_P&amp;L'!GM$7,'Assumptions_&amp;_Inputs'!$E$82*12,'Assumptions_&amp;_Inputs'!$E$78),0))</f>
        <v>0</v>
      </c>
      <c r="GN87" s="63"/>
      <c r="GO87" s="63"/>
      <c r="GP87" s="63"/>
      <c r="GQ87" s="63"/>
      <c r="GR87" s="63"/>
      <c r="GS87" s="63"/>
      <c r="GT87" s="63"/>
      <c r="GU87" s="63"/>
      <c r="GV87" s="63"/>
      <c r="GW87" s="63"/>
      <c r="GX87" s="63"/>
      <c r="GY87" s="63"/>
      <c r="GZ87" s="63"/>
      <c r="HA87" s="63"/>
      <c r="HB87" s="63"/>
      <c r="HC87" s="63"/>
      <c r="HD87" s="63"/>
      <c r="HE87" s="63"/>
      <c r="HF87" s="63"/>
      <c r="HG87" s="63"/>
      <c r="HH87" s="63"/>
      <c r="HI87" s="63"/>
      <c r="HJ87" s="63"/>
      <c r="HK87" s="63"/>
      <c r="HL87" s="63"/>
      <c r="HM87" s="63"/>
      <c r="HN87" s="63"/>
      <c r="HO87" s="63"/>
      <c r="HP87" s="63"/>
      <c r="HQ87" s="63"/>
      <c r="HR87" s="63"/>
      <c r="HS87" s="63"/>
      <c r="HT87" s="63"/>
      <c r="HU87" s="63"/>
      <c r="HV87" s="63"/>
      <c r="HW87" s="63"/>
      <c r="HX87" s="63"/>
      <c r="HY87" s="63"/>
      <c r="HZ87" s="63"/>
      <c r="IA87" s="63"/>
      <c r="IB87" s="63"/>
      <c r="IC87" s="63"/>
      <c r="ID87" s="63"/>
      <c r="IE87" s="63"/>
      <c r="IF87" s="63"/>
      <c r="IG87" s="63"/>
      <c r="IH87" s="63"/>
      <c r="II87" s="63"/>
      <c r="IJ87" s="63"/>
      <c r="IK87" s="63"/>
      <c r="IL87" s="63"/>
      <c r="IM87" s="63"/>
      <c r="IN87" s="63"/>
      <c r="IO87" s="63"/>
      <c r="IP87" s="63"/>
      <c r="IQ87" s="63"/>
      <c r="IR87" s="63"/>
      <c r="IS87" s="63"/>
      <c r="IT87" s="63"/>
      <c r="IU87" s="63"/>
      <c r="IV87" s="63"/>
      <c r="IW87" s="63"/>
      <c r="IX87" s="63"/>
      <c r="IY87" s="63"/>
      <c r="IZ87" s="63"/>
      <c r="JA87" s="63"/>
      <c r="JB87" s="63"/>
      <c r="JC87" s="63"/>
      <c r="JD87" s="63"/>
      <c r="JE87" s="63"/>
      <c r="JF87" s="63"/>
      <c r="JG87" s="63"/>
      <c r="JH87" s="63"/>
      <c r="JI87" s="63"/>
      <c r="JJ87" s="63"/>
      <c r="JK87" s="63"/>
      <c r="JL87" s="63"/>
      <c r="JM87" s="63"/>
      <c r="JN87" s="63"/>
      <c r="JO87" s="63"/>
      <c r="JP87" s="63"/>
      <c r="JQ87" s="63"/>
      <c r="JR87" s="63"/>
      <c r="JS87" s="63"/>
      <c r="JT87" s="63"/>
      <c r="JU87" s="63"/>
      <c r="JV87" s="63"/>
      <c r="JW87" s="63"/>
      <c r="JX87" s="63"/>
      <c r="JY87" s="63"/>
      <c r="JZ87" s="63"/>
      <c r="KA87" s="63"/>
      <c r="KB87" s="63"/>
      <c r="KC87" s="63"/>
      <c r="KD87" s="63"/>
      <c r="KE87" s="63"/>
      <c r="KF87" s="63"/>
      <c r="KG87" s="63"/>
      <c r="KH87" s="63"/>
      <c r="KI87" s="63"/>
      <c r="KJ87" s="63"/>
      <c r="KK87" s="63"/>
      <c r="KL87" s="63"/>
      <c r="KM87" s="63"/>
      <c r="KN87" s="63"/>
      <c r="KO87" s="63"/>
      <c r="KP87" s="63"/>
      <c r="KQ87" s="63"/>
      <c r="KR87" s="63"/>
      <c r="KS87" s="63"/>
      <c r="KT87" s="63"/>
      <c r="KU87" s="63"/>
      <c r="KV87" s="63"/>
      <c r="KW87" s="63"/>
      <c r="KX87" s="63"/>
      <c r="KY87" s="63"/>
      <c r="KZ87" s="63"/>
      <c r="LA87" s="63"/>
      <c r="LB87" s="63"/>
      <c r="LC87" s="63"/>
      <c r="LD87" s="63"/>
      <c r="LE87" s="63"/>
      <c r="LF87" s="63"/>
      <c r="LG87" s="63"/>
      <c r="LH87" s="63"/>
      <c r="LI87" s="63"/>
      <c r="LJ87" s="63"/>
      <c r="LK87" s="63"/>
      <c r="LL87" s="63"/>
      <c r="LM87" s="63"/>
      <c r="LN87" s="63"/>
      <c r="LO87" s="63"/>
      <c r="LP87" s="63"/>
      <c r="LQ87" s="63"/>
      <c r="LR87" s="63"/>
      <c r="LS87" s="63"/>
      <c r="LT87" s="63"/>
      <c r="LU87" s="63"/>
      <c r="LV87" s="63"/>
      <c r="LW87" s="63"/>
      <c r="LX87" s="63"/>
      <c r="LY87" s="63"/>
      <c r="LZ87" s="63"/>
      <c r="MA87" s="63"/>
      <c r="MB87" s="63"/>
      <c r="MC87" s="63"/>
      <c r="MD87" s="63"/>
      <c r="ME87" s="63"/>
      <c r="MF87" s="63"/>
      <c r="MG87" s="63"/>
      <c r="MH87" s="63"/>
      <c r="MI87" s="63"/>
      <c r="MJ87" s="63"/>
      <c r="MK87" s="63"/>
      <c r="ML87" s="63"/>
      <c r="MM87" s="63"/>
      <c r="MN87" s="63"/>
      <c r="MO87" s="63"/>
      <c r="MP87" s="63"/>
      <c r="MQ87" s="63"/>
      <c r="MR87" s="63"/>
      <c r="MS87" s="63"/>
      <c r="MT87" s="63"/>
      <c r="MU87" s="63"/>
      <c r="MV87" s="63"/>
      <c r="MW87" s="63"/>
      <c r="MX87" s="63"/>
      <c r="MY87" s="63"/>
      <c r="MZ87" s="63"/>
      <c r="NA87" s="63"/>
      <c r="NB87" s="63"/>
    </row>
    <row r="88" spans="2:366" ht="16" customHeight="1" x14ac:dyDescent="0.15">
      <c r="B88" s="31" t="s">
        <v>256</v>
      </c>
      <c r="C88" s="312" t="s">
        <v>150</v>
      </c>
      <c r="D88" s="97"/>
      <c r="F88" s="37">
        <f>-IF(F$7='Assumptions_&amp;_Inputs'!$E$83,F85+F87,0)</f>
        <v>0</v>
      </c>
      <c r="G88" s="37">
        <f>-IF(G$7='Assumptions_&amp;_Inputs'!$E$83,G85+G87,0)</f>
        <v>0</v>
      </c>
      <c r="H88" s="37">
        <f>-IF(H$7='Assumptions_&amp;_Inputs'!$E$83,H85+H87,0)</f>
        <v>0</v>
      </c>
      <c r="I88" s="37">
        <f>-IF(I$7='Assumptions_&amp;_Inputs'!$E$83,I85+I87,0)</f>
        <v>0</v>
      </c>
      <c r="J88" s="37">
        <f>-IF(J$7='Assumptions_&amp;_Inputs'!$E$83,J85+J87,0)</f>
        <v>0</v>
      </c>
      <c r="K88" s="37">
        <f>-IF(K$7='Assumptions_&amp;_Inputs'!$E$83,K85+K87,0)</f>
        <v>0</v>
      </c>
      <c r="L88" s="37">
        <f>-IF(L$7='Assumptions_&amp;_Inputs'!$E$83,L85+L87,0)</f>
        <v>0</v>
      </c>
      <c r="M88" s="37">
        <f>-IF(M$7='Assumptions_&amp;_Inputs'!$E$83,M85+M87,0)</f>
        <v>0</v>
      </c>
      <c r="N88" s="37">
        <f>-IF(N$7='Assumptions_&amp;_Inputs'!$E$83,N85+N87,0)</f>
        <v>0</v>
      </c>
      <c r="O88" s="37">
        <f>-IF(O$7='Assumptions_&amp;_Inputs'!$E$83,O85+O87,0)</f>
        <v>0</v>
      </c>
      <c r="P88" s="37">
        <f>-IF(P$7='Assumptions_&amp;_Inputs'!$E$83,P85+P87,0)</f>
        <v>0</v>
      </c>
      <c r="Q88" s="37">
        <f>-IF(Q$7='Assumptions_&amp;_Inputs'!$E$83,Q85+Q87,0)</f>
        <v>0</v>
      </c>
      <c r="R88" s="37">
        <f>-IF(R$7='Assumptions_&amp;_Inputs'!$E$83,R85+R87,0)</f>
        <v>0</v>
      </c>
      <c r="S88" s="37">
        <f>-IF(S$7='Assumptions_&amp;_Inputs'!$E$83,S85+S87,0)</f>
        <v>0</v>
      </c>
      <c r="T88" s="37">
        <f>-IF(T$7='Assumptions_&amp;_Inputs'!$E$83,T85+T87,0)</f>
        <v>0</v>
      </c>
      <c r="U88" s="37">
        <f>-IF(U$7='Assumptions_&amp;_Inputs'!$E$83,U85+U87,0)</f>
        <v>0</v>
      </c>
      <c r="V88" s="37">
        <f>-IF(V$7='Assumptions_&amp;_Inputs'!$E$83,V85+V87,0)</f>
        <v>0</v>
      </c>
      <c r="W88" s="37">
        <f>-IF(W$7='Assumptions_&amp;_Inputs'!$E$83,W85+W87,0)</f>
        <v>0</v>
      </c>
      <c r="X88" s="37">
        <f>-IF(X$7='Assumptions_&amp;_Inputs'!$E$83,X85+X87,0)</f>
        <v>-3988508.0366709237</v>
      </c>
      <c r="Y88" s="37">
        <f>-IF(Y$7='Assumptions_&amp;_Inputs'!$E$83,Y85+Y87,0)</f>
        <v>0</v>
      </c>
      <c r="Z88" s="37">
        <f>-IF(Z$7='Assumptions_&amp;_Inputs'!$E$83,Z85+Z87,0)</f>
        <v>0</v>
      </c>
      <c r="AA88" s="37">
        <f>-IF(AA$7='Assumptions_&amp;_Inputs'!$E$83,AA85+AA87,0)</f>
        <v>0</v>
      </c>
      <c r="AB88" s="37">
        <f>-IF(AB$7='Assumptions_&amp;_Inputs'!$E$83,AB85+AB87,0)</f>
        <v>0</v>
      </c>
      <c r="AC88" s="37">
        <f>-IF(AC$7='Assumptions_&amp;_Inputs'!$E$83,AC85+AC87,0)</f>
        <v>0</v>
      </c>
      <c r="AD88" s="37">
        <f>-IF(AD$7='Assumptions_&amp;_Inputs'!$E$83,AD85+AD87,0)</f>
        <v>0</v>
      </c>
      <c r="AE88" s="37">
        <f>-IF(AE$7='Assumptions_&amp;_Inputs'!$E$83,AE85+AE87,0)</f>
        <v>0</v>
      </c>
      <c r="AF88" s="37">
        <f>-IF(AF$7='Assumptions_&amp;_Inputs'!$E$83,AF85+AF87,0)</f>
        <v>0</v>
      </c>
      <c r="AG88" s="37">
        <f>-IF(AG$7='Assumptions_&amp;_Inputs'!$E$83,AG85+AG87,0)</f>
        <v>0</v>
      </c>
      <c r="AH88" s="37">
        <f>-IF(AH$7='Assumptions_&amp;_Inputs'!$E$83,AH85+AH87,0)</f>
        <v>0</v>
      </c>
      <c r="AI88" s="37">
        <f>-IF(AI$7='Assumptions_&amp;_Inputs'!$E$83,AI85+AI87,0)</f>
        <v>0</v>
      </c>
      <c r="AJ88" s="37">
        <f>-IF(AJ$7='Assumptions_&amp;_Inputs'!$E$83,AJ85+AJ87,0)</f>
        <v>0</v>
      </c>
      <c r="AK88" s="37">
        <f>-IF(AK$7='Assumptions_&amp;_Inputs'!$E$83,AK85+AK87,0)</f>
        <v>0</v>
      </c>
      <c r="AL88" s="37">
        <f>-IF(AL$7='Assumptions_&amp;_Inputs'!$E$83,AL85+AL87,0)</f>
        <v>0</v>
      </c>
      <c r="AM88" s="37">
        <f>-IF(AM$7='Assumptions_&amp;_Inputs'!$E$83,AM85+AM87,0)</f>
        <v>0</v>
      </c>
      <c r="AN88" s="37">
        <f>-IF(AN$7='Assumptions_&amp;_Inputs'!$E$83,AN85+AN87,0)</f>
        <v>0</v>
      </c>
      <c r="AO88" s="37">
        <f>-IF(AO$7='Assumptions_&amp;_Inputs'!$E$83,AO85+AO87,0)</f>
        <v>0</v>
      </c>
      <c r="AP88" s="37">
        <f>-IF(AP$7='Assumptions_&amp;_Inputs'!$E$83,AP85+AP87,0)</f>
        <v>0</v>
      </c>
      <c r="AQ88" s="37">
        <f>-IF(AQ$7='Assumptions_&amp;_Inputs'!$E$83,AQ85+AQ87,0)</f>
        <v>0</v>
      </c>
      <c r="AR88" s="37">
        <f>-IF(AR$7='Assumptions_&amp;_Inputs'!$E$83,AR85+AR87,0)</f>
        <v>0</v>
      </c>
      <c r="AS88" s="37">
        <f>-IF(AS$7='Assumptions_&amp;_Inputs'!$E$83,AS85+AS87,0)</f>
        <v>0</v>
      </c>
      <c r="AT88" s="37">
        <f>-IF(AT$7='Assumptions_&amp;_Inputs'!$E$83,AT85+AT87,0)</f>
        <v>0</v>
      </c>
      <c r="AU88" s="37">
        <f>-IF(AU$7='Assumptions_&amp;_Inputs'!$E$83,AU85+AU87,0)</f>
        <v>0</v>
      </c>
      <c r="AV88" s="37">
        <f>-IF(AV$7='Assumptions_&amp;_Inputs'!$E$83,AV85+AV87,0)</f>
        <v>0</v>
      </c>
      <c r="AW88" s="37">
        <f>-IF(AW$7='Assumptions_&amp;_Inputs'!$E$83,AW85+AW87,0)</f>
        <v>0</v>
      </c>
      <c r="AX88" s="37">
        <f>-IF(AX$7='Assumptions_&amp;_Inputs'!$E$83,AX85+AX87,0)</f>
        <v>0</v>
      </c>
      <c r="AY88" s="37">
        <f>-IF(AY$7='Assumptions_&amp;_Inputs'!$E$83,AY85+AY87,0)</f>
        <v>0</v>
      </c>
      <c r="AZ88" s="37">
        <f>-IF(AZ$7='Assumptions_&amp;_Inputs'!$E$83,AZ85+AZ87,0)</f>
        <v>0</v>
      </c>
      <c r="BA88" s="37">
        <f>-IF(BA$7='Assumptions_&amp;_Inputs'!$E$83,BA85+BA87,0)</f>
        <v>0</v>
      </c>
      <c r="BB88" s="37">
        <f>-IF(BB$7='Assumptions_&amp;_Inputs'!$E$83,BB85+BB87,0)</f>
        <v>0</v>
      </c>
      <c r="BC88" s="37">
        <f>-IF(BC$7='Assumptions_&amp;_Inputs'!$E$83,BC85+BC87,0)</f>
        <v>0</v>
      </c>
      <c r="BD88" s="37">
        <f>-IF(BD$7='Assumptions_&amp;_Inputs'!$E$83,BD85+BD87,0)</f>
        <v>0</v>
      </c>
      <c r="BE88" s="37">
        <f>-IF(BE$7='Assumptions_&amp;_Inputs'!$E$83,BE85+BE87,0)</f>
        <v>0</v>
      </c>
      <c r="BF88" s="37">
        <f>-IF(BF$7='Assumptions_&amp;_Inputs'!$E$83,BF85+BF87,0)</f>
        <v>0</v>
      </c>
      <c r="BG88" s="37">
        <f>-IF(BG$7='Assumptions_&amp;_Inputs'!$E$83,BG85+BG87,0)</f>
        <v>0</v>
      </c>
      <c r="BH88" s="37">
        <f>-IF(BH$7='Assumptions_&amp;_Inputs'!$E$83,BH85+BH87,0)</f>
        <v>0</v>
      </c>
      <c r="BI88" s="37">
        <f>-IF(BI$7='Assumptions_&amp;_Inputs'!$E$83,BI85+BI87,0)</f>
        <v>0</v>
      </c>
      <c r="BJ88" s="37">
        <f>-IF(BJ$7='Assumptions_&amp;_Inputs'!$E$83,BJ85+BJ87,0)</f>
        <v>0</v>
      </c>
      <c r="BK88" s="37">
        <f>-IF(BK$7='Assumptions_&amp;_Inputs'!$E$83,BK85+BK87,0)</f>
        <v>0</v>
      </c>
      <c r="BL88" s="37">
        <f>-IF(BL$7='Assumptions_&amp;_Inputs'!$E$83,BL85+BL87,0)</f>
        <v>0</v>
      </c>
      <c r="BM88" s="37">
        <f>-IF(BM$7='Assumptions_&amp;_Inputs'!$E$83,BM85+BM87,0)</f>
        <v>0</v>
      </c>
      <c r="BN88" s="37">
        <f>-IF(BN$7='Assumptions_&amp;_Inputs'!$E$83,BN85+BN87,0)</f>
        <v>0</v>
      </c>
      <c r="BO88" s="37">
        <f>-IF(BO$7='Assumptions_&amp;_Inputs'!$E$83,BO85+BO87,0)</f>
        <v>0</v>
      </c>
      <c r="BP88" s="37">
        <f>-IF(BP$7='Assumptions_&amp;_Inputs'!$E$83,BP85+BP87,0)</f>
        <v>0</v>
      </c>
      <c r="BQ88" s="37">
        <f>-IF(BQ$7='Assumptions_&amp;_Inputs'!$E$83,BQ85+BQ87,0)</f>
        <v>0</v>
      </c>
      <c r="BR88" s="37">
        <f>-IF(BR$7='Assumptions_&amp;_Inputs'!$E$83,BR85+BR87,0)</f>
        <v>0</v>
      </c>
      <c r="BS88" s="37">
        <f>-IF(BS$7='Assumptions_&amp;_Inputs'!$E$83,BS85+BS87,0)</f>
        <v>0</v>
      </c>
      <c r="BT88" s="37">
        <f>-IF(BT$7='Assumptions_&amp;_Inputs'!$E$83,BT85+BT87,0)</f>
        <v>0</v>
      </c>
      <c r="BU88" s="37">
        <f>-IF(BU$7='Assumptions_&amp;_Inputs'!$E$83,BU85+BU87,0)</f>
        <v>0</v>
      </c>
      <c r="BV88" s="37">
        <f>-IF(BV$7='Assumptions_&amp;_Inputs'!$E$83,BV85+BV87,0)</f>
        <v>0</v>
      </c>
      <c r="BW88" s="37">
        <f>-IF(BW$7='Assumptions_&amp;_Inputs'!$E$83,BW85+BW87,0)</f>
        <v>0</v>
      </c>
      <c r="BX88" s="37">
        <f>-IF(BX$7='Assumptions_&amp;_Inputs'!$E$83,BX85+BX87,0)</f>
        <v>0</v>
      </c>
      <c r="BY88" s="37">
        <f>-IF(BY$7='Assumptions_&amp;_Inputs'!$E$83,BY85+BY87,0)</f>
        <v>0</v>
      </c>
      <c r="BZ88" s="37">
        <f>-IF(BZ$7='Assumptions_&amp;_Inputs'!$E$83,BZ85+BZ87,0)</f>
        <v>0</v>
      </c>
      <c r="CA88" s="37">
        <f>-IF(CA$7='Assumptions_&amp;_Inputs'!$E$83,CA85+CA87,0)</f>
        <v>0</v>
      </c>
      <c r="CB88" s="37">
        <f>-IF(CB$7='Assumptions_&amp;_Inputs'!$E$83,CB85+CB87,0)</f>
        <v>0</v>
      </c>
      <c r="CC88" s="37">
        <f>-IF(CC$7='Assumptions_&amp;_Inputs'!$E$83,CC85+CC87,0)</f>
        <v>0</v>
      </c>
      <c r="CD88" s="37">
        <f>-IF(CD$7='Assumptions_&amp;_Inputs'!$E$83,CD85+CD87,0)</f>
        <v>0</v>
      </c>
      <c r="CE88" s="37">
        <f>-IF(CE$7='Assumptions_&amp;_Inputs'!$E$83,CE85+CE87,0)</f>
        <v>0</v>
      </c>
      <c r="CF88" s="37">
        <f>-IF(CF$7='Assumptions_&amp;_Inputs'!$E$83,CF85+CF87,0)</f>
        <v>0</v>
      </c>
      <c r="CG88" s="37">
        <f>-IF(CG$7='Assumptions_&amp;_Inputs'!$E$83,CG85+CG87,0)</f>
        <v>0</v>
      </c>
      <c r="CH88" s="37">
        <f>-IF(CH$7='Assumptions_&amp;_Inputs'!$E$83,CH85+CH87,0)</f>
        <v>0</v>
      </c>
      <c r="CI88" s="37">
        <f>-IF(CI$7='Assumptions_&amp;_Inputs'!$E$83,CI85+CI87,0)</f>
        <v>0</v>
      </c>
      <c r="CJ88" s="37">
        <f>-IF(CJ$7='Assumptions_&amp;_Inputs'!$E$83,CJ85+CJ87,0)</f>
        <v>0</v>
      </c>
      <c r="CK88" s="37">
        <f>-IF(CK$7='Assumptions_&amp;_Inputs'!$E$83,CK85+CK87,0)</f>
        <v>0</v>
      </c>
      <c r="CL88" s="37">
        <f>-IF(CL$7='Assumptions_&amp;_Inputs'!$E$83,CL85+CL87,0)</f>
        <v>0</v>
      </c>
      <c r="CM88" s="37">
        <f>-IF(CM$7='Assumptions_&amp;_Inputs'!$E$83,CM85+CM87,0)</f>
        <v>0</v>
      </c>
      <c r="CN88" s="37">
        <f>-IF(CN$7='Assumptions_&amp;_Inputs'!$E$83,CN85+CN87,0)</f>
        <v>0</v>
      </c>
      <c r="CO88" s="37">
        <f>-IF(CO$7='Assumptions_&amp;_Inputs'!$E$83,CO85+CO87,0)</f>
        <v>0</v>
      </c>
      <c r="CP88" s="37">
        <f>-IF(CP$7='Assumptions_&amp;_Inputs'!$E$83,CP85+CP87,0)</f>
        <v>0</v>
      </c>
      <c r="CQ88" s="37">
        <f>-IF(CQ$7='Assumptions_&amp;_Inputs'!$E$83,CQ85+CQ87,0)</f>
        <v>0</v>
      </c>
      <c r="CR88" s="37">
        <f>-IF(CR$7='Assumptions_&amp;_Inputs'!$E$83,CR85+CR87,0)</f>
        <v>0</v>
      </c>
      <c r="CS88" s="37">
        <f>-IF(CS$7='Assumptions_&amp;_Inputs'!$E$83,CS85+CS87,0)</f>
        <v>0</v>
      </c>
      <c r="CT88" s="37">
        <f>-IF(CT$7='Assumptions_&amp;_Inputs'!$E$83,CT85+CT87,0)</f>
        <v>0</v>
      </c>
      <c r="CU88" s="37">
        <f>-IF(CU$7='Assumptions_&amp;_Inputs'!$E$83,CU85+CU87,0)</f>
        <v>0</v>
      </c>
      <c r="CV88" s="37">
        <f>-IF(CV$7='Assumptions_&amp;_Inputs'!$E$83,CV85+CV87,0)</f>
        <v>0</v>
      </c>
      <c r="CW88" s="37">
        <f>-IF(CW$7='Assumptions_&amp;_Inputs'!$E$83,CW85+CW87,0)</f>
        <v>0</v>
      </c>
      <c r="CX88" s="37">
        <f>-IF(CX$7='Assumptions_&amp;_Inputs'!$E$83,CX85+CX87,0)</f>
        <v>0</v>
      </c>
      <c r="CY88" s="37">
        <f>-IF(CY$7='Assumptions_&amp;_Inputs'!$E$83,CY85+CY87,0)</f>
        <v>0</v>
      </c>
      <c r="CZ88" s="37">
        <f>-IF(CZ$7='Assumptions_&amp;_Inputs'!$E$83,CZ85+CZ87,0)</f>
        <v>0</v>
      </c>
      <c r="DA88" s="37">
        <f>-IF(DA$7='Assumptions_&amp;_Inputs'!$E$83,DA85+DA87,0)</f>
        <v>0</v>
      </c>
      <c r="DB88" s="37">
        <f>-IF(DB$7='Assumptions_&amp;_Inputs'!$E$83,DB85+DB87,0)</f>
        <v>0</v>
      </c>
      <c r="DC88" s="37">
        <f>-IF(DC$7='Assumptions_&amp;_Inputs'!$E$83,DC85+DC87,0)</f>
        <v>0</v>
      </c>
      <c r="DD88" s="37">
        <f>-IF(DD$7='Assumptions_&amp;_Inputs'!$E$83,DD85+DD87,0)</f>
        <v>0</v>
      </c>
      <c r="DE88" s="37">
        <f>-IF(DE$7='Assumptions_&amp;_Inputs'!$E$83,DE85+DE87,0)</f>
        <v>0</v>
      </c>
      <c r="DF88" s="37">
        <f>-IF(DF$7='Assumptions_&amp;_Inputs'!$E$83,DF85+DF87,0)</f>
        <v>0</v>
      </c>
      <c r="DG88" s="37">
        <f>-IF(DG$7='Assumptions_&amp;_Inputs'!$E$83,DG85+DG87,0)</f>
        <v>0</v>
      </c>
      <c r="DH88" s="37">
        <f>-IF(DH$7='Assumptions_&amp;_Inputs'!$E$83,DH85+DH87,0)</f>
        <v>0</v>
      </c>
      <c r="DI88" s="37">
        <f>-IF(DI$7='Assumptions_&amp;_Inputs'!$E$83,DI85+DI87,0)</f>
        <v>0</v>
      </c>
      <c r="DJ88" s="37">
        <f>-IF(DJ$7='Assumptions_&amp;_Inputs'!$E$83,DJ85+DJ87,0)</f>
        <v>0</v>
      </c>
      <c r="DK88" s="37">
        <f>-IF(DK$7='Assumptions_&amp;_Inputs'!$E$83,DK85+DK87,0)</f>
        <v>0</v>
      </c>
      <c r="DL88" s="37">
        <f>-IF(DL$7='Assumptions_&amp;_Inputs'!$E$83,DL85+DL87,0)</f>
        <v>0</v>
      </c>
      <c r="DM88" s="37">
        <f>-IF(DM$7='Assumptions_&amp;_Inputs'!$E$83,DM85+DM87,0)</f>
        <v>0</v>
      </c>
      <c r="DN88" s="37">
        <f>-IF(DN$7='Assumptions_&amp;_Inputs'!$E$83,DN85+DN87,0)</f>
        <v>0</v>
      </c>
      <c r="DO88" s="37">
        <f>-IF(DO$7='Assumptions_&amp;_Inputs'!$E$83,DO85+DO87,0)</f>
        <v>0</v>
      </c>
      <c r="DP88" s="37">
        <f>-IF(DP$7='Assumptions_&amp;_Inputs'!$E$83,DP85+DP87,0)</f>
        <v>0</v>
      </c>
      <c r="DQ88" s="37">
        <f>-IF(DQ$7='Assumptions_&amp;_Inputs'!$E$83,DQ85+DQ87,0)</f>
        <v>0</v>
      </c>
      <c r="DR88" s="37">
        <f>-IF(DR$7='Assumptions_&amp;_Inputs'!$E$83,DR85+DR87,0)</f>
        <v>0</v>
      </c>
      <c r="DS88" s="37">
        <f>-IF(DS$7='Assumptions_&amp;_Inputs'!$E$83,DS85+DS87,0)</f>
        <v>0</v>
      </c>
      <c r="DT88" s="37">
        <f>-IF(DT$7='Assumptions_&amp;_Inputs'!$E$83,DT85+DT87,0)</f>
        <v>0</v>
      </c>
      <c r="DU88" s="37">
        <f>-IF(DU$7='Assumptions_&amp;_Inputs'!$E$83,DU85+DU87,0)</f>
        <v>0</v>
      </c>
      <c r="DV88" s="37">
        <f>-IF(DV$7='Assumptions_&amp;_Inputs'!$E$83,DV85+DV87,0)</f>
        <v>0</v>
      </c>
      <c r="DW88" s="37">
        <f>-IF(DW$7='Assumptions_&amp;_Inputs'!$E$83,DW85+DW87,0)</f>
        <v>0</v>
      </c>
      <c r="DX88" s="37">
        <f>-IF(DX$7='Assumptions_&amp;_Inputs'!$E$83,DX85+DX87,0)</f>
        <v>0</v>
      </c>
      <c r="DY88" s="37">
        <f>-IF(DY$7='Assumptions_&amp;_Inputs'!$E$83,DY85+DY87,0)</f>
        <v>0</v>
      </c>
      <c r="DZ88" s="37">
        <f>-IF(DZ$7='Assumptions_&amp;_Inputs'!$E$83,DZ85+DZ87,0)</f>
        <v>0</v>
      </c>
      <c r="EA88" s="37">
        <f>-IF(EA$7='Assumptions_&amp;_Inputs'!$E$83,EA85+EA87,0)</f>
        <v>0</v>
      </c>
      <c r="EB88" s="37">
        <f>-IF(EB$7='Assumptions_&amp;_Inputs'!$E$83,EB85+EB87,0)</f>
        <v>0</v>
      </c>
      <c r="EC88" s="37">
        <f>-IF(EC$7='Assumptions_&amp;_Inputs'!$E$83,EC85+EC87,0)</f>
        <v>0</v>
      </c>
      <c r="ED88" s="37">
        <f>-IF(ED$7='Assumptions_&amp;_Inputs'!$E$83,ED85+ED87,0)</f>
        <v>0</v>
      </c>
      <c r="EE88" s="37">
        <f>-IF(EE$7='Assumptions_&amp;_Inputs'!$E$83,EE85+EE87,0)</f>
        <v>0</v>
      </c>
      <c r="EF88" s="37">
        <f>-IF(EF$7='Assumptions_&amp;_Inputs'!$E$83,EF85+EF87,0)</f>
        <v>0</v>
      </c>
      <c r="EG88" s="37">
        <f>-IF(EG$7='Assumptions_&amp;_Inputs'!$E$83,EG85+EG87,0)</f>
        <v>0</v>
      </c>
      <c r="EH88" s="37">
        <f>-IF(EH$7='Assumptions_&amp;_Inputs'!$E$83,EH85+EH87,0)</f>
        <v>0</v>
      </c>
      <c r="EI88" s="37">
        <f>-IF(EI$7='Assumptions_&amp;_Inputs'!$E$83,EI85+EI87,0)</f>
        <v>0</v>
      </c>
      <c r="EJ88" s="37">
        <f>-IF(EJ$7='Assumptions_&amp;_Inputs'!$E$83,EJ85+EJ87,0)</f>
        <v>0</v>
      </c>
      <c r="EK88" s="37">
        <f>-IF(EK$7='Assumptions_&amp;_Inputs'!$E$83,EK85+EK87,0)</f>
        <v>0</v>
      </c>
      <c r="EL88" s="37">
        <f>-IF(EL$7='Assumptions_&amp;_Inputs'!$E$83,EL85+EL87,0)</f>
        <v>0</v>
      </c>
      <c r="EM88" s="37">
        <f>-IF(EM$7='Assumptions_&amp;_Inputs'!$E$83,EM85+EM87,0)</f>
        <v>0</v>
      </c>
      <c r="EN88" s="37">
        <f>-IF(EN$7='Assumptions_&amp;_Inputs'!$E$83,EN85+EN87,0)</f>
        <v>0</v>
      </c>
      <c r="EO88" s="37">
        <f>-IF(EO$7='Assumptions_&amp;_Inputs'!$E$83,EO85+EO87,0)</f>
        <v>0</v>
      </c>
      <c r="EP88" s="37">
        <f>-IF(EP$7='Assumptions_&amp;_Inputs'!$E$83,EP85+EP87,0)</f>
        <v>0</v>
      </c>
      <c r="EQ88" s="37">
        <f>-IF(EQ$7='Assumptions_&amp;_Inputs'!$E$83,EQ85+EQ87,0)</f>
        <v>0</v>
      </c>
      <c r="ER88" s="37">
        <f>-IF(ER$7='Assumptions_&amp;_Inputs'!$E$83,ER85+ER87,0)</f>
        <v>0</v>
      </c>
      <c r="ES88" s="37">
        <f>-IF(ES$7='Assumptions_&amp;_Inputs'!$E$83,ES85+ES87,0)</f>
        <v>0</v>
      </c>
      <c r="ET88" s="37">
        <f>-IF(ET$7='Assumptions_&amp;_Inputs'!$E$83,ET85+ET87,0)</f>
        <v>0</v>
      </c>
      <c r="EU88" s="37">
        <f>-IF(EU$7='Assumptions_&amp;_Inputs'!$E$83,EU85+EU87,0)</f>
        <v>0</v>
      </c>
      <c r="EV88" s="37">
        <f>-IF(EV$7='Assumptions_&amp;_Inputs'!$E$83,EV85+EV87,0)</f>
        <v>0</v>
      </c>
      <c r="EW88" s="37">
        <f>-IF(EW$7='Assumptions_&amp;_Inputs'!$E$83,EW85+EW87,0)</f>
        <v>0</v>
      </c>
      <c r="EX88" s="37">
        <f>-IF(EX$7='Assumptions_&amp;_Inputs'!$E$83,EX85+EX87,0)</f>
        <v>0</v>
      </c>
      <c r="EY88" s="37">
        <f>-IF(EY$7='Assumptions_&amp;_Inputs'!$E$83,EY85+EY87,0)</f>
        <v>0</v>
      </c>
      <c r="EZ88" s="37">
        <f>-IF(EZ$7='Assumptions_&amp;_Inputs'!$E$83,EZ85+EZ87,0)</f>
        <v>0</v>
      </c>
      <c r="FA88" s="37">
        <f>-IF(FA$7='Assumptions_&amp;_Inputs'!$E$83,FA85+FA87,0)</f>
        <v>0</v>
      </c>
      <c r="FB88" s="37">
        <f>-IF(FB$7='Assumptions_&amp;_Inputs'!$E$83,FB85+FB87,0)</f>
        <v>0</v>
      </c>
      <c r="FC88" s="37">
        <f>-IF(FC$7='Assumptions_&amp;_Inputs'!$E$83,FC85+FC87,0)</f>
        <v>0</v>
      </c>
      <c r="FD88" s="37">
        <f>-IF(FD$7='Assumptions_&amp;_Inputs'!$E$83,FD85+FD87,0)</f>
        <v>0</v>
      </c>
      <c r="FE88" s="37">
        <f>-IF(FE$7='Assumptions_&amp;_Inputs'!$E$83,FE85+FE87,0)</f>
        <v>0</v>
      </c>
      <c r="FF88" s="37">
        <f>-IF(FF$7='Assumptions_&amp;_Inputs'!$E$83,FF85+FF87,0)</f>
        <v>0</v>
      </c>
      <c r="FG88" s="37">
        <f>-IF(FG$7='Assumptions_&amp;_Inputs'!$E$83,FG85+FG87,0)</f>
        <v>0</v>
      </c>
      <c r="FH88" s="37">
        <f>-IF(FH$7='Assumptions_&amp;_Inputs'!$E$83,FH85+FH87,0)</f>
        <v>0</v>
      </c>
      <c r="FI88" s="37">
        <f>-IF(FI$7='Assumptions_&amp;_Inputs'!$E$83,FI85+FI87,0)</f>
        <v>0</v>
      </c>
      <c r="FJ88" s="37">
        <f>-IF(FJ$7='Assumptions_&amp;_Inputs'!$E$83,FJ85+FJ87,0)</f>
        <v>0</v>
      </c>
      <c r="FK88" s="37">
        <f>-IF(FK$7='Assumptions_&amp;_Inputs'!$E$83,FK85+FK87,0)</f>
        <v>0</v>
      </c>
      <c r="FL88" s="37">
        <f>-IF(FL$7='Assumptions_&amp;_Inputs'!$E$83,FL85+FL87,0)</f>
        <v>0</v>
      </c>
      <c r="FM88" s="37">
        <f>-IF(FM$7='Assumptions_&amp;_Inputs'!$E$83,FM85+FM87,0)</f>
        <v>0</v>
      </c>
      <c r="FN88" s="37">
        <f>-IF(FN$7='Assumptions_&amp;_Inputs'!$E$83,FN85+FN87,0)</f>
        <v>0</v>
      </c>
      <c r="FO88" s="37">
        <f>-IF(FO$7='Assumptions_&amp;_Inputs'!$E$83,FO85+FO87,0)</f>
        <v>0</v>
      </c>
      <c r="FP88" s="37">
        <f>-IF(FP$7='Assumptions_&amp;_Inputs'!$E$83,FP85+FP87,0)</f>
        <v>0</v>
      </c>
      <c r="FQ88" s="37">
        <f>-IF(FQ$7='Assumptions_&amp;_Inputs'!$E$83,FQ85+FQ87,0)</f>
        <v>0</v>
      </c>
      <c r="FR88" s="37">
        <f>-IF(FR$7='Assumptions_&amp;_Inputs'!$E$83,FR85+FR87,0)</f>
        <v>0</v>
      </c>
      <c r="FS88" s="37">
        <f>-IF(FS$7='Assumptions_&amp;_Inputs'!$E$83,FS85+FS87,0)</f>
        <v>0</v>
      </c>
      <c r="FT88" s="37">
        <f>-IF(FT$7='Assumptions_&amp;_Inputs'!$E$83,FT85+FT87,0)</f>
        <v>0</v>
      </c>
      <c r="FU88" s="37">
        <f>-IF(FU$7='Assumptions_&amp;_Inputs'!$E$83,FU85+FU87,0)</f>
        <v>0</v>
      </c>
      <c r="FV88" s="37">
        <f>-IF(FV$7='Assumptions_&amp;_Inputs'!$E$83,FV85+FV87,0)</f>
        <v>0</v>
      </c>
      <c r="FW88" s="37">
        <f>-IF(FW$7='Assumptions_&amp;_Inputs'!$E$83,FW85+FW87,0)</f>
        <v>0</v>
      </c>
      <c r="FX88" s="37">
        <f>-IF(FX$7='Assumptions_&amp;_Inputs'!$E$83,FX85+FX87,0)</f>
        <v>0</v>
      </c>
      <c r="FY88" s="37">
        <f>-IF(FY$7='Assumptions_&amp;_Inputs'!$E$83,FY85+FY87,0)</f>
        <v>0</v>
      </c>
      <c r="FZ88" s="37">
        <f>-IF(FZ$7='Assumptions_&amp;_Inputs'!$E$83,FZ85+FZ87,0)</f>
        <v>0</v>
      </c>
      <c r="GA88" s="37">
        <f>-IF(GA$7='Assumptions_&amp;_Inputs'!$E$83,GA85+GA87,0)</f>
        <v>0</v>
      </c>
      <c r="GB88" s="37">
        <f>-IF(GB$7='Assumptions_&amp;_Inputs'!$E$83,GB85+GB87,0)</f>
        <v>0</v>
      </c>
      <c r="GC88" s="37">
        <f>-IF(GC$7='Assumptions_&amp;_Inputs'!$E$83,GC85+GC87,0)</f>
        <v>0</v>
      </c>
      <c r="GD88" s="37">
        <f>-IF(GD$7='Assumptions_&amp;_Inputs'!$E$83,GD85+GD87,0)</f>
        <v>0</v>
      </c>
      <c r="GE88" s="37">
        <f>-IF(GE$7='Assumptions_&amp;_Inputs'!$E$83,GE85+GE87,0)</f>
        <v>0</v>
      </c>
      <c r="GF88" s="37">
        <f>-IF(GF$7='Assumptions_&amp;_Inputs'!$E$83,GF85+GF87,0)</f>
        <v>0</v>
      </c>
      <c r="GG88" s="37">
        <f>-IF(GG$7='Assumptions_&amp;_Inputs'!$E$83,GG85+GG87,0)</f>
        <v>0</v>
      </c>
      <c r="GH88" s="37">
        <f>-IF(GH$7='Assumptions_&amp;_Inputs'!$E$83,GH85+GH87,0)</f>
        <v>0</v>
      </c>
      <c r="GI88" s="37">
        <f>-IF(GI$7='Assumptions_&amp;_Inputs'!$E$83,GI85+GI87,0)</f>
        <v>0</v>
      </c>
      <c r="GJ88" s="37">
        <f>-IF(GJ$7='Assumptions_&amp;_Inputs'!$E$83,GJ85+GJ87,0)</f>
        <v>0</v>
      </c>
      <c r="GK88" s="37">
        <f>-IF(GK$7='Assumptions_&amp;_Inputs'!$E$83,GK85+GK87,0)</f>
        <v>0</v>
      </c>
      <c r="GL88" s="37">
        <f>-IF(GL$7='Assumptions_&amp;_Inputs'!$E$83,GL85+GL87,0)</f>
        <v>0</v>
      </c>
      <c r="GM88" s="37">
        <f>-IF(GM$7='Assumptions_&amp;_Inputs'!$E$83,GM85+GM87,0)</f>
        <v>0</v>
      </c>
      <c r="GN88" s="63"/>
      <c r="GO88" s="63"/>
      <c r="GP88" s="63"/>
      <c r="GQ88" s="63"/>
      <c r="GR88" s="63"/>
      <c r="GS88" s="63"/>
      <c r="GT88" s="63"/>
      <c r="GU88" s="63"/>
      <c r="GV88" s="63"/>
      <c r="GW88" s="63"/>
      <c r="GX88" s="63"/>
      <c r="GY88" s="63"/>
      <c r="GZ88" s="63"/>
      <c r="HA88" s="63"/>
      <c r="HB88" s="63"/>
      <c r="HC88" s="63"/>
      <c r="HD88" s="63"/>
      <c r="HE88" s="63"/>
      <c r="HF88" s="63"/>
      <c r="HG88" s="63"/>
      <c r="HH88" s="63"/>
      <c r="HI88" s="63"/>
      <c r="HJ88" s="63"/>
      <c r="HK88" s="63"/>
      <c r="HL88" s="63"/>
      <c r="HM88" s="63"/>
      <c r="HN88" s="63"/>
      <c r="HO88" s="63"/>
      <c r="HP88" s="63"/>
      <c r="HQ88" s="63"/>
      <c r="HR88" s="63"/>
      <c r="HS88" s="63"/>
      <c r="HT88" s="63"/>
      <c r="HU88" s="63"/>
      <c r="HV88" s="63"/>
      <c r="HW88" s="63"/>
      <c r="HX88" s="63"/>
      <c r="HY88" s="63"/>
      <c r="HZ88" s="63"/>
      <c r="IA88" s="63"/>
      <c r="IB88" s="63"/>
      <c r="IC88" s="63"/>
      <c r="ID88" s="63"/>
      <c r="IE88" s="63"/>
      <c r="IF88" s="63"/>
      <c r="IG88" s="63"/>
      <c r="IH88" s="63"/>
      <c r="II88" s="63"/>
      <c r="IJ88" s="63"/>
      <c r="IK88" s="63"/>
      <c r="IL88" s="63"/>
      <c r="IM88" s="63"/>
      <c r="IN88" s="63"/>
      <c r="IO88" s="63"/>
      <c r="IP88" s="63"/>
      <c r="IQ88" s="63"/>
      <c r="IR88" s="63"/>
      <c r="IS88" s="63"/>
      <c r="IT88" s="63"/>
      <c r="IU88" s="63"/>
      <c r="IV88" s="63"/>
      <c r="IW88" s="63"/>
      <c r="IX88" s="63"/>
      <c r="IY88" s="63"/>
      <c r="IZ88" s="63"/>
      <c r="JA88" s="63"/>
      <c r="JB88" s="63"/>
      <c r="JC88" s="63"/>
      <c r="JD88" s="63"/>
      <c r="JE88" s="63"/>
      <c r="JF88" s="63"/>
      <c r="JG88" s="63"/>
      <c r="JH88" s="63"/>
      <c r="JI88" s="63"/>
      <c r="JJ88" s="63"/>
      <c r="JK88" s="63"/>
      <c r="JL88" s="63"/>
      <c r="JM88" s="63"/>
      <c r="JN88" s="63"/>
      <c r="JO88" s="63"/>
      <c r="JP88" s="63"/>
      <c r="JQ88" s="63"/>
      <c r="JR88" s="63"/>
      <c r="JS88" s="63"/>
      <c r="JT88" s="63"/>
      <c r="JU88" s="63"/>
      <c r="JV88" s="63"/>
      <c r="JW88" s="63"/>
      <c r="JX88" s="63"/>
      <c r="JY88" s="63"/>
      <c r="JZ88" s="63"/>
      <c r="KA88" s="63"/>
      <c r="KB88" s="63"/>
      <c r="KC88" s="63"/>
      <c r="KD88" s="63"/>
      <c r="KE88" s="63"/>
      <c r="KF88" s="63"/>
      <c r="KG88" s="63"/>
      <c r="KH88" s="63"/>
      <c r="KI88" s="63"/>
      <c r="KJ88" s="63"/>
      <c r="KK88" s="63"/>
      <c r="KL88" s="63"/>
      <c r="KM88" s="63"/>
      <c r="KN88" s="63"/>
      <c r="KO88" s="63"/>
      <c r="KP88" s="63"/>
      <c r="KQ88" s="63"/>
      <c r="KR88" s="63"/>
      <c r="KS88" s="63"/>
      <c r="KT88" s="63"/>
      <c r="KU88" s="63"/>
      <c r="KV88" s="63"/>
      <c r="KW88" s="63"/>
      <c r="KX88" s="63"/>
      <c r="KY88" s="63"/>
      <c r="KZ88" s="63"/>
      <c r="LA88" s="63"/>
      <c r="LB88" s="63"/>
      <c r="LC88" s="63"/>
      <c r="LD88" s="63"/>
      <c r="LE88" s="63"/>
      <c r="LF88" s="63"/>
      <c r="LG88" s="63"/>
      <c r="LH88" s="63"/>
      <c r="LI88" s="63"/>
      <c r="LJ88" s="63"/>
      <c r="LK88" s="63"/>
      <c r="LL88" s="63"/>
      <c r="LM88" s="63"/>
      <c r="LN88" s="63"/>
      <c r="LO88" s="63"/>
      <c r="LP88" s="63"/>
      <c r="LQ88" s="63"/>
      <c r="LR88" s="63"/>
      <c r="LS88" s="63"/>
      <c r="LT88" s="63"/>
      <c r="LU88" s="63"/>
      <c r="LV88" s="63"/>
      <c r="LW88" s="63"/>
      <c r="LX88" s="63"/>
      <c r="LY88" s="63"/>
      <c r="LZ88" s="63"/>
      <c r="MA88" s="63"/>
      <c r="MB88" s="63"/>
      <c r="MC88" s="63"/>
      <c r="MD88" s="63"/>
      <c r="ME88" s="63"/>
      <c r="MF88" s="63"/>
      <c r="MG88" s="63"/>
      <c r="MH88" s="63"/>
      <c r="MI88" s="63"/>
      <c r="MJ88" s="63"/>
      <c r="MK88" s="63"/>
      <c r="ML88" s="63"/>
      <c r="MM88" s="63"/>
      <c r="MN88" s="63"/>
      <c r="MO88" s="63"/>
      <c r="MP88" s="63"/>
      <c r="MQ88" s="63"/>
      <c r="MR88" s="63"/>
      <c r="MS88" s="63"/>
      <c r="MT88" s="63"/>
      <c r="MU88" s="63"/>
      <c r="MV88" s="63"/>
      <c r="MW88" s="63"/>
      <c r="MX88" s="63"/>
      <c r="MY88" s="63"/>
      <c r="MZ88" s="63"/>
      <c r="NA88" s="63"/>
      <c r="NB88" s="63"/>
    </row>
    <row r="89" spans="2:366" ht="16" customHeight="1" x14ac:dyDescent="0.15">
      <c r="B89" s="31" t="s">
        <v>109</v>
      </c>
      <c r="C89" s="377" t="s">
        <v>150</v>
      </c>
      <c r="F89" s="37">
        <f t="shared" ref="F89:AK89" si="249">F85+F75+F87+F88</f>
        <v>3588310.1006036219</v>
      </c>
      <c r="G89" s="37">
        <f t="shared" si="249"/>
        <v>3637488.8069967744</v>
      </c>
      <c r="H89" s="37">
        <f t="shared" si="249"/>
        <v>3686906.893230034</v>
      </c>
      <c r="I89" s="37">
        <f t="shared" si="249"/>
        <v>3736565.5244968766</v>
      </c>
      <c r="J89" s="37">
        <f t="shared" si="249"/>
        <v>3786465.871662416</v>
      </c>
      <c r="K89" s="37">
        <f t="shared" si="249"/>
        <v>3836609.1112910118</v>
      </c>
      <c r="L89" s="37">
        <f t="shared" si="249"/>
        <v>3886996.4256740101</v>
      </c>
      <c r="M89" s="37">
        <f t="shared" si="249"/>
        <v>3937629.0028576194</v>
      </c>
      <c r="N89" s="37">
        <f t="shared" si="249"/>
        <v>3988508.0366709237</v>
      </c>
      <c r="O89" s="37">
        <f t="shared" si="249"/>
        <v>3988508.0366709237</v>
      </c>
      <c r="P89" s="37">
        <f t="shared" si="249"/>
        <v>3988508.0366709237</v>
      </c>
      <c r="Q89" s="37">
        <f t="shared" si="249"/>
        <v>3988508.0366709237</v>
      </c>
      <c r="R89" s="37">
        <f t="shared" si="249"/>
        <v>3988508.0366709237</v>
      </c>
      <c r="S89" s="37">
        <f t="shared" si="249"/>
        <v>3988508.0366709237</v>
      </c>
      <c r="T89" s="37">
        <f t="shared" si="249"/>
        <v>3988508.0366709237</v>
      </c>
      <c r="U89" s="37">
        <f t="shared" si="249"/>
        <v>3988508.0366709237</v>
      </c>
      <c r="V89" s="37">
        <f t="shared" si="249"/>
        <v>3988508.0366709237</v>
      </c>
      <c r="W89" s="37">
        <f t="shared" si="249"/>
        <v>3988508.0366709237</v>
      </c>
      <c r="X89" s="37">
        <f t="shared" si="249"/>
        <v>0</v>
      </c>
      <c r="Y89" s="37">
        <f t="shared" si="249"/>
        <v>0</v>
      </c>
      <c r="Z89" s="37">
        <f t="shared" si="249"/>
        <v>0</v>
      </c>
      <c r="AA89" s="37">
        <f t="shared" si="249"/>
        <v>0</v>
      </c>
      <c r="AB89" s="37">
        <f t="shared" si="249"/>
        <v>0</v>
      </c>
      <c r="AC89" s="37">
        <f t="shared" si="249"/>
        <v>0</v>
      </c>
      <c r="AD89" s="37">
        <f t="shared" si="249"/>
        <v>0</v>
      </c>
      <c r="AE89" s="37">
        <f t="shared" si="249"/>
        <v>0</v>
      </c>
      <c r="AF89" s="37">
        <f t="shared" si="249"/>
        <v>0</v>
      </c>
      <c r="AG89" s="37">
        <f t="shared" si="249"/>
        <v>0</v>
      </c>
      <c r="AH89" s="37">
        <f t="shared" si="249"/>
        <v>0</v>
      </c>
      <c r="AI89" s="37">
        <f t="shared" si="249"/>
        <v>0</v>
      </c>
      <c r="AJ89" s="37">
        <f t="shared" si="249"/>
        <v>0</v>
      </c>
      <c r="AK89" s="37">
        <f t="shared" si="249"/>
        <v>0</v>
      </c>
      <c r="AL89" s="37">
        <f t="shared" ref="AL89:BQ89" si="250">AL85+AL75+AL87+AL88</f>
        <v>0</v>
      </c>
      <c r="AM89" s="37">
        <f t="shared" si="250"/>
        <v>0</v>
      </c>
      <c r="AN89" s="37">
        <f t="shared" si="250"/>
        <v>0</v>
      </c>
      <c r="AO89" s="37">
        <f t="shared" si="250"/>
        <v>0</v>
      </c>
      <c r="AP89" s="37">
        <f t="shared" si="250"/>
        <v>0</v>
      </c>
      <c r="AQ89" s="37">
        <f t="shared" si="250"/>
        <v>0</v>
      </c>
      <c r="AR89" s="37">
        <f t="shared" si="250"/>
        <v>0</v>
      </c>
      <c r="AS89" s="37">
        <f t="shared" si="250"/>
        <v>0</v>
      </c>
      <c r="AT89" s="37">
        <f t="shared" si="250"/>
        <v>0</v>
      </c>
      <c r="AU89" s="37">
        <f t="shared" si="250"/>
        <v>0</v>
      </c>
      <c r="AV89" s="37">
        <f t="shared" si="250"/>
        <v>0</v>
      </c>
      <c r="AW89" s="37">
        <f t="shared" si="250"/>
        <v>0</v>
      </c>
      <c r="AX89" s="37">
        <f t="shared" si="250"/>
        <v>0</v>
      </c>
      <c r="AY89" s="37">
        <f t="shared" si="250"/>
        <v>0</v>
      </c>
      <c r="AZ89" s="37">
        <f t="shared" si="250"/>
        <v>0</v>
      </c>
      <c r="BA89" s="37">
        <f t="shared" si="250"/>
        <v>0</v>
      </c>
      <c r="BB89" s="37">
        <f t="shared" si="250"/>
        <v>0</v>
      </c>
      <c r="BC89" s="37">
        <f t="shared" si="250"/>
        <v>0</v>
      </c>
      <c r="BD89" s="37">
        <f t="shared" si="250"/>
        <v>0</v>
      </c>
      <c r="BE89" s="37">
        <f t="shared" si="250"/>
        <v>0</v>
      </c>
      <c r="BF89" s="37">
        <f t="shared" si="250"/>
        <v>0</v>
      </c>
      <c r="BG89" s="37">
        <f t="shared" si="250"/>
        <v>0</v>
      </c>
      <c r="BH89" s="37">
        <f t="shared" si="250"/>
        <v>0</v>
      </c>
      <c r="BI89" s="37">
        <f t="shared" si="250"/>
        <v>0</v>
      </c>
      <c r="BJ89" s="37">
        <f t="shared" si="250"/>
        <v>0</v>
      </c>
      <c r="BK89" s="37">
        <f t="shared" si="250"/>
        <v>0</v>
      </c>
      <c r="BL89" s="37">
        <f t="shared" si="250"/>
        <v>0</v>
      </c>
      <c r="BM89" s="37">
        <f t="shared" si="250"/>
        <v>0</v>
      </c>
      <c r="BN89" s="37">
        <f t="shared" si="250"/>
        <v>0</v>
      </c>
      <c r="BO89" s="37">
        <f t="shared" si="250"/>
        <v>0</v>
      </c>
      <c r="BP89" s="37">
        <f t="shared" si="250"/>
        <v>0</v>
      </c>
      <c r="BQ89" s="37">
        <f t="shared" si="250"/>
        <v>0</v>
      </c>
      <c r="BR89" s="37">
        <f t="shared" ref="BR89:CW89" si="251">BR85+BR75+BR87+BR88</f>
        <v>0</v>
      </c>
      <c r="BS89" s="37">
        <f t="shared" si="251"/>
        <v>0</v>
      </c>
      <c r="BT89" s="37">
        <f t="shared" si="251"/>
        <v>0</v>
      </c>
      <c r="BU89" s="37">
        <f t="shared" si="251"/>
        <v>0</v>
      </c>
      <c r="BV89" s="37">
        <f t="shared" si="251"/>
        <v>0</v>
      </c>
      <c r="BW89" s="37">
        <f t="shared" si="251"/>
        <v>0</v>
      </c>
      <c r="BX89" s="37">
        <f t="shared" si="251"/>
        <v>0</v>
      </c>
      <c r="BY89" s="37">
        <f t="shared" si="251"/>
        <v>0</v>
      </c>
      <c r="BZ89" s="37">
        <f t="shared" si="251"/>
        <v>0</v>
      </c>
      <c r="CA89" s="37">
        <f t="shared" si="251"/>
        <v>0</v>
      </c>
      <c r="CB89" s="37">
        <f t="shared" si="251"/>
        <v>0</v>
      </c>
      <c r="CC89" s="37">
        <f t="shared" si="251"/>
        <v>0</v>
      </c>
      <c r="CD89" s="37">
        <f t="shared" si="251"/>
        <v>0</v>
      </c>
      <c r="CE89" s="37">
        <f t="shared" si="251"/>
        <v>0</v>
      </c>
      <c r="CF89" s="37">
        <f t="shared" si="251"/>
        <v>0</v>
      </c>
      <c r="CG89" s="37">
        <f t="shared" si="251"/>
        <v>0</v>
      </c>
      <c r="CH89" s="37">
        <f t="shared" si="251"/>
        <v>0</v>
      </c>
      <c r="CI89" s="37">
        <f t="shared" si="251"/>
        <v>0</v>
      </c>
      <c r="CJ89" s="37">
        <f t="shared" si="251"/>
        <v>0</v>
      </c>
      <c r="CK89" s="37">
        <f t="shared" si="251"/>
        <v>0</v>
      </c>
      <c r="CL89" s="37">
        <f t="shared" si="251"/>
        <v>0</v>
      </c>
      <c r="CM89" s="37">
        <f t="shared" si="251"/>
        <v>0</v>
      </c>
      <c r="CN89" s="37">
        <f t="shared" si="251"/>
        <v>0</v>
      </c>
      <c r="CO89" s="37">
        <f t="shared" si="251"/>
        <v>0</v>
      </c>
      <c r="CP89" s="37">
        <f t="shared" si="251"/>
        <v>0</v>
      </c>
      <c r="CQ89" s="37">
        <f t="shared" si="251"/>
        <v>0</v>
      </c>
      <c r="CR89" s="37">
        <f t="shared" si="251"/>
        <v>0</v>
      </c>
      <c r="CS89" s="37">
        <f t="shared" si="251"/>
        <v>0</v>
      </c>
      <c r="CT89" s="37">
        <f t="shared" si="251"/>
        <v>0</v>
      </c>
      <c r="CU89" s="37">
        <f t="shared" si="251"/>
        <v>0</v>
      </c>
      <c r="CV89" s="37">
        <f t="shared" si="251"/>
        <v>0</v>
      </c>
      <c r="CW89" s="37">
        <f t="shared" si="251"/>
        <v>0</v>
      </c>
      <c r="CX89" s="37">
        <f t="shared" ref="CX89:EC89" si="252">CX85+CX75+CX87+CX88</f>
        <v>0</v>
      </c>
      <c r="CY89" s="37">
        <f t="shared" si="252"/>
        <v>0</v>
      </c>
      <c r="CZ89" s="37">
        <f t="shared" si="252"/>
        <v>0</v>
      </c>
      <c r="DA89" s="37">
        <f t="shared" si="252"/>
        <v>0</v>
      </c>
      <c r="DB89" s="37">
        <f t="shared" si="252"/>
        <v>0</v>
      </c>
      <c r="DC89" s="37">
        <f t="shared" si="252"/>
        <v>0</v>
      </c>
      <c r="DD89" s="37">
        <f t="shared" si="252"/>
        <v>0</v>
      </c>
      <c r="DE89" s="37">
        <f t="shared" si="252"/>
        <v>0</v>
      </c>
      <c r="DF89" s="37">
        <f t="shared" si="252"/>
        <v>0</v>
      </c>
      <c r="DG89" s="37">
        <f t="shared" si="252"/>
        <v>0</v>
      </c>
      <c r="DH89" s="37">
        <f t="shared" si="252"/>
        <v>0</v>
      </c>
      <c r="DI89" s="37">
        <f t="shared" si="252"/>
        <v>0</v>
      </c>
      <c r="DJ89" s="37">
        <f t="shared" si="252"/>
        <v>0</v>
      </c>
      <c r="DK89" s="37">
        <f t="shared" si="252"/>
        <v>0</v>
      </c>
      <c r="DL89" s="37">
        <f t="shared" si="252"/>
        <v>0</v>
      </c>
      <c r="DM89" s="37">
        <f t="shared" si="252"/>
        <v>0</v>
      </c>
      <c r="DN89" s="37">
        <f t="shared" si="252"/>
        <v>0</v>
      </c>
      <c r="DO89" s="37">
        <f t="shared" si="252"/>
        <v>0</v>
      </c>
      <c r="DP89" s="37">
        <f t="shared" si="252"/>
        <v>0</v>
      </c>
      <c r="DQ89" s="37">
        <f t="shared" si="252"/>
        <v>0</v>
      </c>
      <c r="DR89" s="37">
        <f t="shared" si="252"/>
        <v>0</v>
      </c>
      <c r="DS89" s="37">
        <f t="shared" si="252"/>
        <v>0</v>
      </c>
      <c r="DT89" s="37">
        <f t="shared" si="252"/>
        <v>0</v>
      </c>
      <c r="DU89" s="37">
        <f t="shared" si="252"/>
        <v>0</v>
      </c>
      <c r="DV89" s="37">
        <f t="shared" si="252"/>
        <v>0</v>
      </c>
      <c r="DW89" s="37">
        <f t="shared" si="252"/>
        <v>0</v>
      </c>
      <c r="DX89" s="37">
        <f t="shared" si="252"/>
        <v>0</v>
      </c>
      <c r="DY89" s="37">
        <f t="shared" si="252"/>
        <v>0</v>
      </c>
      <c r="DZ89" s="37">
        <f t="shared" si="252"/>
        <v>0</v>
      </c>
      <c r="EA89" s="37">
        <f t="shared" si="252"/>
        <v>0</v>
      </c>
      <c r="EB89" s="37">
        <f t="shared" si="252"/>
        <v>0</v>
      </c>
      <c r="EC89" s="37">
        <f t="shared" si="252"/>
        <v>0</v>
      </c>
      <c r="ED89" s="37">
        <f t="shared" ref="ED89:FI89" si="253">ED85+ED75+ED87+ED88</f>
        <v>0</v>
      </c>
      <c r="EE89" s="37">
        <f t="shared" si="253"/>
        <v>0</v>
      </c>
      <c r="EF89" s="37">
        <f t="shared" si="253"/>
        <v>0</v>
      </c>
      <c r="EG89" s="37">
        <f t="shared" si="253"/>
        <v>0</v>
      </c>
      <c r="EH89" s="37">
        <f t="shared" si="253"/>
        <v>0</v>
      </c>
      <c r="EI89" s="37">
        <f t="shared" si="253"/>
        <v>0</v>
      </c>
      <c r="EJ89" s="37">
        <f t="shared" si="253"/>
        <v>0</v>
      </c>
      <c r="EK89" s="37">
        <f t="shared" si="253"/>
        <v>0</v>
      </c>
      <c r="EL89" s="37">
        <f t="shared" si="253"/>
        <v>0</v>
      </c>
      <c r="EM89" s="37">
        <f t="shared" si="253"/>
        <v>0</v>
      </c>
      <c r="EN89" s="37">
        <f t="shared" si="253"/>
        <v>0</v>
      </c>
      <c r="EO89" s="37">
        <f t="shared" si="253"/>
        <v>0</v>
      </c>
      <c r="EP89" s="37">
        <f t="shared" si="253"/>
        <v>0</v>
      </c>
      <c r="EQ89" s="37">
        <f t="shared" si="253"/>
        <v>0</v>
      </c>
      <c r="ER89" s="37">
        <f t="shared" si="253"/>
        <v>0</v>
      </c>
      <c r="ES89" s="37">
        <f t="shared" si="253"/>
        <v>0</v>
      </c>
      <c r="ET89" s="37">
        <f t="shared" si="253"/>
        <v>0</v>
      </c>
      <c r="EU89" s="37">
        <f t="shared" si="253"/>
        <v>0</v>
      </c>
      <c r="EV89" s="37">
        <f t="shared" si="253"/>
        <v>0</v>
      </c>
      <c r="EW89" s="37">
        <f t="shared" si="253"/>
        <v>0</v>
      </c>
      <c r="EX89" s="37">
        <f t="shared" si="253"/>
        <v>0</v>
      </c>
      <c r="EY89" s="37">
        <f t="shared" si="253"/>
        <v>0</v>
      </c>
      <c r="EZ89" s="37">
        <f t="shared" si="253"/>
        <v>0</v>
      </c>
      <c r="FA89" s="37">
        <f t="shared" si="253"/>
        <v>0</v>
      </c>
      <c r="FB89" s="37">
        <f t="shared" si="253"/>
        <v>0</v>
      </c>
      <c r="FC89" s="37">
        <f t="shared" si="253"/>
        <v>0</v>
      </c>
      <c r="FD89" s="37">
        <f t="shared" si="253"/>
        <v>0</v>
      </c>
      <c r="FE89" s="37">
        <f t="shared" si="253"/>
        <v>0</v>
      </c>
      <c r="FF89" s="37">
        <f t="shared" si="253"/>
        <v>0</v>
      </c>
      <c r="FG89" s="37">
        <f t="shared" si="253"/>
        <v>0</v>
      </c>
      <c r="FH89" s="37">
        <f t="shared" si="253"/>
        <v>0</v>
      </c>
      <c r="FI89" s="37">
        <f t="shared" si="253"/>
        <v>0</v>
      </c>
      <c r="FJ89" s="37">
        <f t="shared" ref="FJ89:GD89" si="254">FJ85+FJ75+FJ87+FJ88</f>
        <v>0</v>
      </c>
      <c r="FK89" s="37">
        <f t="shared" si="254"/>
        <v>0</v>
      </c>
      <c r="FL89" s="37">
        <f t="shared" si="254"/>
        <v>0</v>
      </c>
      <c r="FM89" s="37">
        <f t="shared" si="254"/>
        <v>0</v>
      </c>
      <c r="FN89" s="37">
        <f t="shared" si="254"/>
        <v>0</v>
      </c>
      <c r="FO89" s="37">
        <f t="shared" si="254"/>
        <v>0</v>
      </c>
      <c r="FP89" s="37">
        <f t="shared" si="254"/>
        <v>0</v>
      </c>
      <c r="FQ89" s="37">
        <f t="shared" si="254"/>
        <v>0</v>
      </c>
      <c r="FR89" s="37">
        <f t="shared" si="254"/>
        <v>0</v>
      </c>
      <c r="FS89" s="37">
        <f t="shared" si="254"/>
        <v>0</v>
      </c>
      <c r="FT89" s="37">
        <f t="shared" si="254"/>
        <v>0</v>
      </c>
      <c r="FU89" s="37">
        <f t="shared" si="254"/>
        <v>0</v>
      </c>
      <c r="FV89" s="37">
        <f t="shared" si="254"/>
        <v>0</v>
      </c>
      <c r="FW89" s="37">
        <f t="shared" si="254"/>
        <v>0</v>
      </c>
      <c r="FX89" s="37">
        <f t="shared" si="254"/>
        <v>0</v>
      </c>
      <c r="FY89" s="37">
        <f t="shared" si="254"/>
        <v>0</v>
      </c>
      <c r="FZ89" s="37">
        <f t="shared" si="254"/>
        <v>0</v>
      </c>
      <c r="GA89" s="37">
        <f t="shared" si="254"/>
        <v>0</v>
      </c>
      <c r="GB89" s="37">
        <f t="shared" si="254"/>
        <v>0</v>
      </c>
      <c r="GC89" s="37">
        <f t="shared" si="254"/>
        <v>0</v>
      </c>
      <c r="GD89" s="37">
        <f t="shared" si="254"/>
        <v>0</v>
      </c>
      <c r="GE89" s="37">
        <f t="shared" ref="GE89:GM89" si="255">GE85+GE75+GE87+GE88</f>
        <v>0</v>
      </c>
      <c r="GF89" s="37">
        <f t="shared" si="255"/>
        <v>0</v>
      </c>
      <c r="GG89" s="37">
        <f t="shared" si="255"/>
        <v>0</v>
      </c>
      <c r="GH89" s="37">
        <f t="shared" si="255"/>
        <v>0</v>
      </c>
      <c r="GI89" s="37">
        <f t="shared" si="255"/>
        <v>0</v>
      </c>
      <c r="GJ89" s="37">
        <f t="shared" si="255"/>
        <v>0</v>
      </c>
      <c r="GK89" s="37">
        <f t="shared" si="255"/>
        <v>0</v>
      </c>
      <c r="GL89" s="37">
        <f t="shared" si="255"/>
        <v>0</v>
      </c>
      <c r="GM89" s="37">
        <f t="shared" si="255"/>
        <v>0</v>
      </c>
      <c r="GN89" s="63"/>
      <c r="GO89" s="63"/>
      <c r="GP89" s="63"/>
      <c r="GQ89" s="63"/>
      <c r="GR89" s="63"/>
      <c r="GS89" s="63"/>
      <c r="GT89" s="63"/>
      <c r="GU89" s="63"/>
      <c r="GV89" s="63"/>
      <c r="GW89" s="63"/>
      <c r="GX89" s="63"/>
      <c r="GY89" s="63"/>
      <c r="GZ89" s="63"/>
      <c r="HA89" s="63"/>
      <c r="HB89" s="63"/>
      <c r="HC89" s="63"/>
      <c r="HD89" s="63"/>
      <c r="HE89" s="63"/>
      <c r="HF89" s="63"/>
      <c r="HG89" s="63"/>
      <c r="HH89" s="63"/>
      <c r="HI89" s="63"/>
      <c r="HJ89" s="63"/>
      <c r="HK89" s="63"/>
      <c r="HL89" s="63"/>
      <c r="HM89" s="63"/>
      <c r="HN89" s="63"/>
      <c r="HO89" s="63"/>
      <c r="HP89" s="63"/>
      <c r="HQ89" s="63"/>
      <c r="HR89" s="63"/>
      <c r="HS89" s="63"/>
      <c r="HT89" s="63"/>
      <c r="HU89" s="63"/>
      <c r="HV89" s="63"/>
      <c r="HW89" s="63"/>
      <c r="HX89" s="63"/>
      <c r="HY89" s="63"/>
      <c r="HZ89" s="63"/>
      <c r="IA89" s="63"/>
      <c r="IB89" s="63"/>
      <c r="IC89" s="63"/>
      <c r="ID89" s="63"/>
      <c r="IE89" s="63"/>
      <c r="IF89" s="63"/>
      <c r="IG89" s="63"/>
      <c r="IH89" s="63"/>
      <c r="II89" s="63"/>
      <c r="IJ89" s="63"/>
      <c r="IK89" s="63"/>
      <c r="IL89" s="63"/>
      <c r="IM89" s="63"/>
      <c r="IN89" s="63"/>
      <c r="IO89" s="63"/>
      <c r="IP89" s="63"/>
      <c r="IQ89" s="63"/>
      <c r="IR89" s="63"/>
      <c r="IS89" s="63"/>
      <c r="IT89" s="63"/>
      <c r="IU89" s="63"/>
      <c r="IV89" s="63"/>
      <c r="IW89" s="63"/>
      <c r="IX89" s="63"/>
      <c r="IY89" s="63"/>
      <c r="IZ89" s="63"/>
      <c r="JA89" s="63"/>
      <c r="JB89" s="63"/>
      <c r="JC89" s="63"/>
      <c r="JD89" s="63"/>
      <c r="JE89" s="63"/>
      <c r="JF89" s="63"/>
      <c r="JG89" s="63"/>
      <c r="JH89" s="63"/>
      <c r="JI89" s="63"/>
      <c r="JJ89" s="63"/>
      <c r="JK89" s="63"/>
      <c r="JL89" s="63"/>
      <c r="JM89" s="63"/>
      <c r="JN89" s="63"/>
      <c r="JO89" s="63"/>
      <c r="JP89" s="63"/>
      <c r="JQ89" s="63"/>
      <c r="JR89" s="63"/>
      <c r="JS89" s="63"/>
      <c r="JT89" s="63"/>
      <c r="JU89" s="63"/>
      <c r="JV89" s="63"/>
      <c r="JW89" s="63"/>
      <c r="JX89" s="63"/>
      <c r="JY89" s="63"/>
      <c r="JZ89" s="63"/>
      <c r="KA89" s="63"/>
      <c r="KB89" s="63"/>
      <c r="KC89" s="63"/>
      <c r="KD89" s="63"/>
      <c r="KE89" s="63"/>
      <c r="KF89" s="63"/>
      <c r="KG89" s="63"/>
      <c r="KH89" s="63"/>
      <c r="KI89" s="63"/>
      <c r="KJ89" s="63"/>
      <c r="KK89" s="63"/>
      <c r="KL89" s="63"/>
      <c r="KM89" s="63"/>
      <c r="KN89" s="63"/>
      <c r="KO89" s="63"/>
      <c r="KP89" s="63"/>
      <c r="KQ89" s="63"/>
      <c r="KR89" s="63"/>
      <c r="KS89" s="63"/>
      <c r="KT89" s="63"/>
      <c r="KU89" s="63"/>
      <c r="KV89" s="63"/>
      <c r="KW89" s="63"/>
      <c r="KX89" s="63"/>
      <c r="KY89" s="63"/>
      <c r="KZ89" s="63"/>
      <c r="LA89" s="63"/>
      <c r="LB89" s="63"/>
      <c r="LC89" s="63"/>
      <c r="LD89" s="63"/>
      <c r="LE89" s="63"/>
      <c r="LF89" s="63"/>
      <c r="LG89" s="63"/>
      <c r="LH89" s="63"/>
      <c r="LI89" s="63"/>
      <c r="LJ89" s="63"/>
      <c r="LK89" s="63"/>
      <c r="LL89" s="63"/>
      <c r="LM89" s="63"/>
      <c r="LN89" s="63"/>
      <c r="LO89" s="63"/>
      <c r="LP89" s="63"/>
      <c r="LQ89" s="63"/>
      <c r="LR89" s="63"/>
      <c r="LS89" s="63"/>
      <c r="LT89" s="63"/>
      <c r="LU89" s="63"/>
      <c r="LV89" s="63"/>
      <c r="LW89" s="63"/>
      <c r="LX89" s="63"/>
      <c r="LY89" s="63"/>
      <c r="LZ89" s="63"/>
      <c r="MA89" s="63"/>
      <c r="MB89" s="63"/>
      <c r="MC89" s="63"/>
      <c r="MD89" s="63"/>
      <c r="ME89" s="63"/>
      <c r="MF89" s="63"/>
      <c r="MG89" s="63"/>
      <c r="MH89" s="63"/>
      <c r="MI89" s="63"/>
      <c r="MJ89" s="63"/>
      <c r="MK89" s="63"/>
      <c r="ML89" s="63"/>
      <c r="MM89" s="63"/>
      <c r="MN89" s="63"/>
      <c r="MO89" s="63"/>
      <c r="MP89" s="63"/>
      <c r="MQ89" s="63"/>
      <c r="MR89" s="63"/>
      <c r="MS89" s="63"/>
      <c r="MT89" s="63"/>
      <c r="MU89" s="63"/>
      <c r="MV89" s="63"/>
      <c r="MW89" s="63"/>
      <c r="MX89" s="63"/>
      <c r="MY89" s="63"/>
      <c r="MZ89" s="63"/>
      <c r="NA89" s="63"/>
      <c r="NB89" s="63"/>
    </row>
    <row r="90" spans="2:366" ht="16" customHeight="1" x14ac:dyDescent="0.15">
      <c r="E90"/>
      <c r="GQ90" s="27"/>
      <c r="GR90" s="27"/>
      <c r="GS90" s="27"/>
      <c r="GT90" s="27"/>
      <c r="GU90" s="27"/>
      <c r="GV90" s="27"/>
      <c r="GW90" s="27"/>
      <c r="GX90" s="27"/>
      <c r="GY90" s="27"/>
      <c r="GZ90" s="27"/>
      <c r="HA90" s="27"/>
      <c r="HB90" s="27"/>
      <c r="HC90" s="27"/>
      <c r="HD90" s="27"/>
      <c r="HE90" s="27"/>
      <c r="HF90" s="27"/>
      <c r="HG90" s="27"/>
      <c r="HH90" s="27"/>
      <c r="HI90" s="27"/>
      <c r="HJ90" s="27"/>
      <c r="HK90" s="27"/>
      <c r="HL90" s="27"/>
      <c r="HM90" s="27"/>
      <c r="HN90" s="27"/>
      <c r="HO90" s="27"/>
      <c r="HP90" s="27"/>
      <c r="HQ90" s="27"/>
      <c r="HR90" s="27"/>
      <c r="HS90" s="27"/>
      <c r="HT90" s="27"/>
      <c r="HU90" s="27"/>
      <c r="HV90" s="27"/>
      <c r="HW90" s="27"/>
      <c r="HX90" s="27"/>
      <c r="HY90" s="27"/>
      <c r="HZ90" s="27"/>
      <c r="IA90" s="27"/>
      <c r="IB90" s="27"/>
      <c r="IC90" s="27"/>
      <c r="ID90" s="27"/>
      <c r="IE90" s="27"/>
      <c r="IF90" s="27"/>
      <c r="IG90" s="27"/>
      <c r="IH90" s="27"/>
      <c r="II90" s="27"/>
      <c r="IJ90" s="27"/>
      <c r="IK90" s="27"/>
      <c r="IL90" s="27"/>
      <c r="IM90" s="27"/>
      <c r="IN90" s="27"/>
      <c r="IO90" s="27"/>
      <c r="IP90" s="27"/>
      <c r="IQ90" s="27"/>
      <c r="IR90" s="27"/>
      <c r="IS90" s="27"/>
      <c r="IT90" s="27"/>
      <c r="IU90" s="27"/>
      <c r="IV90" s="27"/>
      <c r="IW90" s="27"/>
      <c r="IX90" s="27"/>
      <c r="IY90" s="27"/>
      <c r="IZ90" s="27"/>
      <c r="JA90" s="27"/>
      <c r="JB90" s="27"/>
      <c r="JC90" s="27"/>
      <c r="JD90" s="27"/>
      <c r="JE90" s="27"/>
      <c r="JF90" s="27"/>
      <c r="JG90" s="27"/>
      <c r="JH90" s="27"/>
      <c r="JI90" s="27"/>
      <c r="JJ90" s="27"/>
      <c r="JK90" s="27"/>
      <c r="JL90" s="27"/>
      <c r="JM90" s="27"/>
      <c r="JN90" s="27"/>
      <c r="JO90" s="27"/>
      <c r="JP90" s="27"/>
      <c r="JQ90" s="27"/>
      <c r="JR90" s="27"/>
      <c r="JS90" s="27"/>
      <c r="JT90" s="27"/>
      <c r="JU90" s="27"/>
      <c r="JV90" s="27"/>
      <c r="JW90" s="27"/>
      <c r="JX90" s="27"/>
      <c r="JY90" s="27"/>
      <c r="JZ90" s="27"/>
      <c r="KA90" s="27"/>
      <c r="KB90" s="27"/>
      <c r="KC90" s="27"/>
      <c r="KD90" s="27"/>
      <c r="KE90" s="27"/>
      <c r="KF90" s="27"/>
      <c r="KG90" s="27"/>
      <c r="KH90" s="27"/>
      <c r="KI90" s="27"/>
      <c r="KJ90" s="27"/>
      <c r="KK90" s="27"/>
      <c r="KL90" s="27"/>
      <c r="KM90" s="27"/>
      <c r="KN90" s="27"/>
      <c r="KO90" s="27"/>
      <c r="KP90" s="27"/>
      <c r="KQ90" s="27"/>
      <c r="KR90" s="27"/>
      <c r="KS90" s="27"/>
      <c r="KT90" s="27"/>
      <c r="KU90" s="27"/>
      <c r="KV90" s="27"/>
      <c r="KW90" s="27"/>
      <c r="KX90" s="27"/>
      <c r="KY90" s="27"/>
      <c r="KZ90" s="27"/>
      <c r="LA90" s="27"/>
      <c r="LB90" s="27"/>
      <c r="LC90" s="27"/>
      <c r="LD90" s="27"/>
      <c r="LE90" s="27"/>
      <c r="LF90" s="27"/>
      <c r="LG90" s="27"/>
      <c r="LH90" s="27"/>
      <c r="LI90" s="27"/>
      <c r="LJ90" s="27"/>
      <c r="LK90" s="27"/>
      <c r="LL90" s="27"/>
      <c r="LM90" s="27"/>
      <c r="LN90" s="27"/>
      <c r="LO90" s="27"/>
      <c r="LP90" s="27"/>
      <c r="LQ90" s="27"/>
      <c r="LR90" s="27"/>
      <c r="LS90" s="27"/>
      <c r="LT90" s="27"/>
      <c r="LU90" s="27"/>
      <c r="LV90" s="27"/>
      <c r="LW90" s="27"/>
      <c r="LX90" s="27"/>
      <c r="LY90" s="27"/>
      <c r="LZ90" s="27"/>
      <c r="MA90" s="27"/>
      <c r="MB90" s="27"/>
      <c r="MC90" s="27"/>
      <c r="MD90" s="27"/>
      <c r="ME90" s="27"/>
      <c r="MF90" s="27"/>
      <c r="MG90" s="27"/>
      <c r="MH90" s="27"/>
      <c r="MI90" s="27"/>
      <c r="MJ90" s="27"/>
      <c r="MK90" s="27"/>
      <c r="ML90" s="27"/>
      <c r="MM90" s="27"/>
      <c r="MN90" s="27"/>
      <c r="MO90" s="27"/>
      <c r="MP90" s="27"/>
      <c r="MQ90" s="27"/>
      <c r="MR90" s="27"/>
      <c r="MS90" s="27"/>
      <c r="MT90" s="27"/>
      <c r="MU90" s="27"/>
      <c r="MV90" s="27"/>
      <c r="MW90" s="27"/>
      <c r="MX90" s="27"/>
      <c r="MY90" s="27"/>
      <c r="MZ90" s="27"/>
      <c r="NA90" s="27"/>
      <c r="NB90" s="27"/>
    </row>
    <row r="91" spans="2:366" ht="16" customHeight="1" x14ac:dyDescent="0.15">
      <c r="B91" s="3" t="s">
        <v>258</v>
      </c>
      <c r="C91" s="26"/>
      <c r="D91" s="12"/>
      <c r="E91" s="100"/>
      <c r="F91" s="25"/>
      <c r="G91" s="67"/>
      <c r="H91" s="67"/>
      <c r="I91" s="67"/>
      <c r="J91" s="25"/>
      <c r="K91" s="25"/>
      <c r="L91" s="34"/>
      <c r="M91" s="25"/>
      <c r="N91" s="25"/>
      <c r="O91" s="25"/>
      <c r="P91" s="25"/>
      <c r="Q91" s="25"/>
      <c r="R91" s="104"/>
      <c r="S91" s="1"/>
      <c r="T91" s="25"/>
      <c r="U91" s="25"/>
      <c r="V91" s="25"/>
      <c r="W91" s="25"/>
      <c r="X91" s="25"/>
      <c r="Y91" s="104"/>
      <c r="Z91" s="25"/>
      <c r="AA91" s="25"/>
      <c r="AB91" s="25"/>
      <c r="AC91" s="25"/>
      <c r="AD91" s="34"/>
      <c r="AE91" s="25"/>
      <c r="AF91" s="25"/>
      <c r="AG91" s="25"/>
      <c r="AH91" s="25"/>
      <c r="AI91" s="25"/>
      <c r="AJ91" s="25"/>
      <c r="AK91" s="25"/>
      <c r="AL91" s="25"/>
      <c r="AM91" s="25"/>
      <c r="AN91" s="25"/>
      <c r="AO91" s="25"/>
      <c r="AP91" s="25"/>
      <c r="AQ91" s="25"/>
      <c r="AR91" s="25"/>
      <c r="AS91" s="25"/>
      <c r="AT91" s="25"/>
      <c r="AU91" s="25"/>
      <c r="AV91" s="25"/>
      <c r="AW91" s="25"/>
      <c r="AX91" s="25"/>
      <c r="AY91" s="25"/>
      <c r="AZ91" s="25"/>
      <c r="BA91" s="25"/>
      <c r="BB91" s="25"/>
      <c r="BC91" s="25"/>
      <c r="BD91" s="25"/>
      <c r="BE91" s="25"/>
      <c r="BF91" s="25"/>
      <c r="BG91" s="25"/>
      <c r="BH91" s="25"/>
      <c r="BI91" s="25"/>
      <c r="BJ91" s="25"/>
      <c r="BK91" s="25"/>
      <c r="BL91" s="25"/>
      <c r="BM91" s="25"/>
      <c r="BN91" s="25"/>
      <c r="BO91" s="25"/>
      <c r="BP91" s="25"/>
      <c r="BQ91" s="25"/>
      <c r="BR91" s="25"/>
      <c r="BS91" s="25"/>
      <c r="BT91" s="25"/>
      <c r="BU91" s="25"/>
      <c r="BV91" s="25"/>
      <c r="BW91" s="25"/>
      <c r="BX91" s="25"/>
      <c r="BY91" s="25"/>
      <c r="BZ91" s="25"/>
      <c r="CA91" s="25"/>
      <c r="CB91" s="25"/>
      <c r="CC91" s="25"/>
      <c r="CD91" s="25"/>
      <c r="CE91" s="25"/>
      <c r="CF91" s="25"/>
      <c r="CG91" s="25"/>
      <c r="CH91" s="25"/>
      <c r="CI91" s="25"/>
      <c r="CJ91" s="25"/>
      <c r="CK91" s="25"/>
      <c r="CL91" s="25"/>
      <c r="CM91" s="25"/>
      <c r="CN91" s="25"/>
      <c r="CO91" s="25"/>
      <c r="CP91" s="25"/>
      <c r="CQ91" s="25"/>
      <c r="CR91" s="25"/>
      <c r="CS91" s="25"/>
      <c r="CT91" s="25"/>
      <c r="CU91" s="25"/>
      <c r="CV91" s="25"/>
      <c r="CW91" s="25"/>
      <c r="CX91" s="25"/>
      <c r="CY91" s="25"/>
      <c r="CZ91" s="25"/>
      <c r="DA91" s="25"/>
      <c r="DB91" s="25"/>
      <c r="DC91" s="25"/>
      <c r="DD91" s="25"/>
      <c r="DE91" s="25"/>
      <c r="DF91" s="25"/>
      <c r="DG91" s="25"/>
      <c r="DH91" s="25"/>
      <c r="DI91" s="25"/>
      <c r="DJ91" s="25"/>
      <c r="DK91" s="25"/>
      <c r="DL91" s="25"/>
      <c r="DM91" s="25"/>
      <c r="DN91" s="25"/>
      <c r="DO91" s="25"/>
      <c r="DP91" s="25"/>
      <c r="DQ91" s="25"/>
      <c r="DR91" s="25"/>
      <c r="DS91" s="25"/>
      <c r="DT91" s="25"/>
      <c r="DU91" s="25"/>
      <c r="DV91" s="25"/>
      <c r="DW91" s="25"/>
      <c r="DX91" s="25"/>
      <c r="DY91" s="25"/>
      <c r="DZ91" s="25"/>
      <c r="EA91" s="25"/>
      <c r="EB91" s="25"/>
      <c r="EC91" s="25"/>
      <c r="ED91" s="25"/>
      <c r="EE91" s="25"/>
      <c r="EF91" s="25"/>
      <c r="EG91" s="25"/>
      <c r="EH91" s="25"/>
      <c r="EI91" s="25"/>
      <c r="EJ91" s="25"/>
      <c r="EK91" s="25"/>
      <c r="EL91" s="25"/>
      <c r="EM91" s="25"/>
      <c r="EN91" s="25"/>
      <c r="EO91" s="25"/>
      <c r="EP91" s="25"/>
      <c r="EQ91" s="25"/>
      <c r="ER91" s="25"/>
      <c r="ES91" s="25"/>
      <c r="ET91" s="25"/>
      <c r="EU91" s="25"/>
      <c r="EV91" s="25"/>
      <c r="EW91" s="25"/>
      <c r="EX91" s="25"/>
      <c r="EY91" s="25"/>
      <c r="EZ91" s="25"/>
      <c r="FA91" s="25"/>
      <c r="FB91" s="25"/>
      <c r="FC91" s="25"/>
      <c r="FD91" s="25"/>
      <c r="FE91" s="25"/>
      <c r="FF91" s="25"/>
      <c r="FG91" s="25"/>
      <c r="FH91" s="25"/>
      <c r="FI91" s="25"/>
      <c r="FJ91" s="25"/>
      <c r="FK91" s="25"/>
      <c r="FL91" s="25"/>
      <c r="FM91" s="25"/>
      <c r="FN91" s="25"/>
      <c r="FO91" s="25"/>
      <c r="FP91" s="25"/>
      <c r="FQ91" s="25"/>
      <c r="FR91" s="25"/>
      <c r="FS91" s="25"/>
      <c r="FT91" s="25"/>
      <c r="FU91" s="25"/>
      <c r="FV91" s="25"/>
      <c r="FW91" s="25"/>
      <c r="FX91" s="25"/>
      <c r="FY91" s="25"/>
      <c r="FZ91" s="25"/>
      <c r="GA91" s="25"/>
      <c r="GB91" s="25"/>
      <c r="GC91" s="25"/>
      <c r="GD91" s="25"/>
      <c r="GE91" s="25"/>
      <c r="GF91" s="25"/>
      <c r="GG91" s="25"/>
      <c r="GH91" s="25"/>
      <c r="GI91" s="25"/>
      <c r="GJ91" s="25"/>
      <c r="GK91" s="25"/>
      <c r="GL91" s="25"/>
      <c r="GM91" s="25"/>
      <c r="GN91" s="608"/>
      <c r="GO91" s="608"/>
      <c r="GP91" s="608"/>
      <c r="GQ91" s="27"/>
      <c r="GR91" s="27"/>
      <c r="GS91" s="27"/>
      <c r="GT91" s="27"/>
      <c r="GU91" s="27"/>
      <c r="GV91" s="27"/>
      <c r="GW91" s="27"/>
      <c r="GX91" s="27"/>
      <c r="GY91" s="27"/>
      <c r="GZ91" s="27"/>
      <c r="HA91" s="27"/>
      <c r="HB91" s="27"/>
      <c r="HC91" s="27"/>
      <c r="HD91" s="27"/>
      <c r="HE91" s="27"/>
      <c r="HF91" s="27"/>
      <c r="HG91" s="27"/>
      <c r="HH91" s="27"/>
      <c r="HI91" s="27"/>
      <c r="HJ91" s="27"/>
      <c r="HK91" s="27"/>
      <c r="HL91" s="27"/>
      <c r="HM91" s="27"/>
      <c r="HN91" s="27"/>
      <c r="HO91" s="27"/>
      <c r="HP91" s="27"/>
      <c r="HQ91" s="27"/>
      <c r="HR91" s="27"/>
      <c r="HS91" s="27"/>
      <c r="HT91" s="27"/>
      <c r="HU91" s="27"/>
      <c r="HV91" s="27"/>
      <c r="HW91" s="27"/>
      <c r="HX91" s="27"/>
      <c r="HY91" s="27"/>
      <c r="HZ91" s="27"/>
      <c r="IA91" s="27"/>
      <c r="IB91" s="27"/>
      <c r="IC91" s="27"/>
      <c r="ID91" s="27"/>
      <c r="IE91" s="27"/>
      <c r="IF91" s="27"/>
      <c r="IG91" s="27"/>
      <c r="IH91" s="27"/>
      <c r="II91" s="27"/>
      <c r="IJ91" s="27"/>
      <c r="IK91" s="27"/>
      <c r="IL91" s="27"/>
      <c r="IM91" s="27"/>
      <c r="IN91" s="27"/>
      <c r="IO91" s="27"/>
      <c r="IP91" s="27"/>
      <c r="IQ91" s="27"/>
      <c r="IR91" s="27"/>
      <c r="IS91" s="27"/>
      <c r="IT91" s="27"/>
      <c r="IU91" s="27"/>
      <c r="IV91" s="27"/>
      <c r="IW91" s="27"/>
      <c r="IX91" s="27"/>
      <c r="IY91" s="27"/>
      <c r="IZ91" s="27"/>
      <c r="JA91" s="27"/>
      <c r="JB91" s="27"/>
      <c r="JC91" s="27"/>
      <c r="JD91" s="27"/>
      <c r="JE91" s="27"/>
      <c r="JF91" s="27"/>
      <c r="JG91" s="27"/>
      <c r="JH91" s="27"/>
      <c r="JI91" s="27"/>
      <c r="JJ91" s="27"/>
      <c r="JK91" s="27"/>
      <c r="JL91" s="27"/>
      <c r="JM91" s="27"/>
      <c r="JN91" s="27"/>
      <c r="JO91" s="27"/>
      <c r="JP91" s="27"/>
      <c r="JQ91" s="27"/>
      <c r="JR91" s="27"/>
      <c r="JS91" s="27"/>
      <c r="JT91" s="27"/>
      <c r="JU91" s="27"/>
      <c r="JV91" s="27"/>
      <c r="JW91" s="27"/>
      <c r="JX91" s="27"/>
      <c r="JY91" s="27"/>
      <c r="JZ91" s="27"/>
      <c r="KA91" s="27"/>
      <c r="KB91" s="27"/>
      <c r="KC91" s="27"/>
      <c r="KD91" s="27"/>
      <c r="KE91" s="27"/>
      <c r="KF91" s="27"/>
      <c r="KG91" s="27"/>
      <c r="KH91" s="27"/>
      <c r="KI91" s="27"/>
      <c r="KJ91" s="27"/>
      <c r="KK91" s="27"/>
      <c r="KL91" s="27"/>
      <c r="KM91" s="27"/>
      <c r="KN91" s="27"/>
      <c r="KO91" s="27"/>
      <c r="KP91" s="27"/>
      <c r="KQ91" s="27"/>
      <c r="KR91" s="27"/>
      <c r="KS91" s="27"/>
      <c r="KT91" s="27"/>
      <c r="KU91" s="27"/>
      <c r="KV91" s="27"/>
      <c r="KW91" s="27"/>
      <c r="KX91" s="27"/>
      <c r="KY91" s="27"/>
      <c r="KZ91" s="27"/>
      <c r="LA91" s="27"/>
      <c r="LB91" s="27"/>
      <c r="LC91" s="27"/>
      <c r="LD91" s="27"/>
      <c r="LE91" s="27"/>
      <c r="LF91" s="27"/>
      <c r="LG91" s="27"/>
      <c r="LH91" s="27"/>
      <c r="LI91" s="27"/>
      <c r="LJ91" s="27"/>
      <c r="LK91" s="27"/>
      <c r="LL91" s="27"/>
      <c r="LM91" s="27"/>
      <c r="LN91" s="27"/>
      <c r="LO91" s="27"/>
      <c r="LP91" s="27"/>
      <c r="LQ91" s="27"/>
      <c r="LR91" s="27"/>
      <c r="LS91" s="27"/>
      <c r="LT91" s="27"/>
      <c r="LU91" s="27"/>
      <c r="LV91" s="27"/>
      <c r="LW91" s="27"/>
      <c r="LX91" s="27"/>
      <c r="LY91" s="27"/>
      <c r="LZ91" s="27"/>
      <c r="MA91" s="27"/>
      <c r="MB91" s="27"/>
      <c r="MC91" s="27"/>
      <c r="MD91" s="27"/>
      <c r="ME91" s="27"/>
      <c r="MF91" s="27"/>
      <c r="MG91" s="27"/>
      <c r="MH91" s="27"/>
      <c r="MI91" s="27"/>
      <c r="MJ91" s="27"/>
      <c r="MK91" s="27"/>
      <c r="ML91" s="27"/>
      <c r="MM91" s="27"/>
      <c r="MN91" s="27"/>
      <c r="MO91" s="27"/>
      <c r="MP91" s="27"/>
      <c r="MQ91" s="27"/>
      <c r="MR91" s="27"/>
      <c r="MS91" s="27"/>
      <c r="MT91" s="27"/>
      <c r="MU91" s="27"/>
      <c r="MV91" s="27"/>
      <c r="MW91" s="27"/>
      <c r="MX91" s="27"/>
      <c r="MY91" s="27"/>
      <c r="MZ91" s="27"/>
      <c r="NA91" s="27"/>
      <c r="NB91" s="27"/>
    </row>
    <row r="92" spans="2:366" ht="16" customHeight="1" x14ac:dyDescent="0.15">
      <c r="B92" s="31" t="s">
        <v>108</v>
      </c>
      <c r="C92" s="312" t="s">
        <v>150</v>
      </c>
      <c r="D92" s="97"/>
      <c r="F92" s="37">
        <f>IF(F$7='Assumptions_&amp;_Inputs'!$I$80,'Assumptions_&amp;_Inputs'!$I$74,E96)</f>
        <v>0</v>
      </c>
      <c r="G92" s="37">
        <f>IF(G$7='Assumptions_&amp;_Inputs'!$I$80,'Assumptions_&amp;_Inputs'!$I$74,F96)</f>
        <v>0</v>
      </c>
      <c r="H92" s="37">
        <f>IF(H$7='Assumptions_&amp;_Inputs'!$I$80,'Assumptions_&amp;_Inputs'!$I$74,G96)</f>
        <v>0</v>
      </c>
      <c r="I92" s="37">
        <f>IF(I$7='Assumptions_&amp;_Inputs'!$I$80,'Assumptions_&amp;_Inputs'!$I$74,H96)</f>
        <v>0</v>
      </c>
      <c r="J92" s="37">
        <f>IF(J$7='Assumptions_&amp;_Inputs'!$I$80,'Assumptions_&amp;_Inputs'!$I$74,I96)</f>
        <v>0</v>
      </c>
      <c r="K92" s="37">
        <f>IF(K$7='Assumptions_&amp;_Inputs'!$I$80,'Assumptions_&amp;_Inputs'!$I$74,J96)</f>
        <v>0</v>
      </c>
      <c r="L92" s="37">
        <f>IF(L$7='Assumptions_&amp;_Inputs'!$I$80,'Assumptions_&amp;_Inputs'!$I$74,K96)</f>
        <v>0</v>
      </c>
      <c r="M92" s="37">
        <f>IF(M$7='Assumptions_&amp;_Inputs'!$I$80,'Assumptions_&amp;_Inputs'!$I$74,L96)</f>
        <v>0</v>
      </c>
      <c r="N92" s="37">
        <f>IF(N$7='Assumptions_&amp;_Inputs'!$I$80,'Assumptions_&amp;_Inputs'!$I$74,M96)</f>
        <v>0</v>
      </c>
      <c r="O92" s="37">
        <f>IF(O$7='Assumptions_&amp;_Inputs'!$I$80,'Assumptions_&amp;_Inputs'!$I$74,N96)</f>
        <v>0</v>
      </c>
      <c r="P92" s="37">
        <f>IF(P$7='Assumptions_&amp;_Inputs'!$I$80,'Assumptions_&amp;_Inputs'!$I$74,O96)</f>
        <v>0</v>
      </c>
      <c r="Q92" s="37">
        <f>IF(Q$7='Assumptions_&amp;_Inputs'!$I$80,'Assumptions_&amp;_Inputs'!$I$74,P96)</f>
        <v>0</v>
      </c>
      <c r="R92" s="37">
        <f>IF(R$7='Assumptions_&amp;_Inputs'!$I$80,'Assumptions_&amp;_Inputs'!$I$74,Q96)</f>
        <v>0</v>
      </c>
      <c r="S92" s="37">
        <f>IF(S$7='Assumptions_&amp;_Inputs'!$I$80,'Assumptions_&amp;_Inputs'!$I$74,R96)</f>
        <v>0</v>
      </c>
      <c r="T92" s="37">
        <f>IF(T$7='Assumptions_&amp;_Inputs'!$I$80,'Assumptions_&amp;_Inputs'!$I$74,S96)</f>
        <v>0</v>
      </c>
      <c r="U92" s="37">
        <f>IF(U$7='Assumptions_&amp;_Inputs'!$I$80,'Assumptions_&amp;_Inputs'!$I$74,T96)</f>
        <v>0</v>
      </c>
      <c r="V92" s="37">
        <f>IF(V$7='Assumptions_&amp;_Inputs'!$I$80,'Assumptions_&amp;_Inputs'!$I$74,U96)</f>
        <v>0</v>
      </c>
      <c r="W92" s="37">
        <f>IF(W$7='Assumptions_&amp;_Inputs'!$I$80,'Assumptions_&amp;_Inputs'!$I$74,V96)</f>
        <v>0</v>
      </c>
      <c r="X92" s="37">
        <f>IF(X$7='Assumptions_&amp;_Inputs'!$I$80,'Assumptions_&amp;_Inputs'!$I$74,W96)</f>
        <v>4138544.398291734</v>
      </c>
      <c r="Y92" s="37">
        <f>IF(Y$7='Assumptions_&amp;_Inputs'!$I$80,'Assumptions_&amp;_Inputs'!$I$74,X96)</f>
        <v>4138544.398291734</v>
      </c>
      <c r="Z92" s="37">
        <f>IF(Z$7='Assumptions_&amp;_Inputs'!$I$80,'Assumptions_&amp;_Inputs'!$I$74,Y96)</f>
        <v>4134810.8099864856</v>
      </c>
      <c r="AA92" s="37">
        <f>IF(AA$7='Assumptions_&amp;_Inputs'!$I$80,'Assumptions_&amp;_Inputs'!$I$74,Z96)</f>
        <v>4131062.0105803246</v>
      </c>
      <c r="AB92" s="37">
        <f>IF(AB$7='Assumptions_&amp;_Inputs'!$I$80,'Assumptions_&amp;_Inputs'!$I$74,AA96)</f>
        <v>4127297.9381013424</v>
      </c>
      <c r="AC92" s="37">
        <f>IF(AC$7='Assumptions_&amp;_Inputs'!$I$80,'Assumptions_&amp;_Inputs'!$I$74,AB96)</f>
        <v>4123518.5303251506</v>
      </c>
      <c r="AD92" s="37">
        <f>IF(AD$7='Assumptions_&amp;_Inputs'!$I$80,'Assumptions_&amp;_Inputs'!$I$74,AC96)</f>
        <v>4119723.7247738494</v>
      </c>
      <c r="AE92" s="37">
        <f>IF(AE$7='Assumptions_&amp;_Inputs'!$I$80,'Assumptions_&amp;_Inputs'!$I$74,AD96)</f>
        <v>4115913.4587149974</v>
      </c>
      <c r="AF92" s="37">
        <f>IF(AF$7='Assumptions_&amp;_Inputs'!$I$80,'Assumptions_&amp;_Inputs'!$I$74,AE96)</f>
        <v>4112087.6691605733</v>
      </c>
      <c r="AG92" s="37">
        <f>IF(AG$7='Assumptions_&amp;_Inputs'!$I$80,'Assumptions_&amp;_Inputs'!$I$74,AF96)</f>
        <v>4108246.2928659339</v>
      </c>
      <c r="AH92" s="37">
        <f>IF(AH$7='Assumptions_&amp;_Inputs'!$I$80,'Assumptions_&amp;_Inputs'!$I$74,AG96)</f>
        <v>4104389.2663287707</v>
      </c>
      <c r="AI92" s="37">
        <f>IF(AI$7='Assumptions_&amp;_Inputs'!$I$80,'Assumptions_&amp;_Inputs'!$I$74,AH96)</f>
        <v>4100516.5257880581</v>
      </c>
      <c r="AJ92" s="37">
        <f>IF(AJ$7='Assumptions_&amp;_Inputs'!$I$80,'Assumptions_&amp;_Inputs'!$I$74,AI96)</f>
        <v>4096628.0072230007</v>
      </c>
      <c r="AK92" s="37">
        <f>IF(AK$7='Assumptions_&amp;_Inputs'!$I$80,'Assumptions_&amp;_Inputs'!$I$74,AJ96)</f>
        <v>4092723.6463519745</v>
      </c>
      <c r="AL92" s="37">
        <f>IF(AL$7='Assumptions_&amp;_Inputs'!$I$80,'Assumptions_&amp;_Inputs'!$I$74,AK96)</f>
        <v>4088803.3786314637</v>
      </c>
      <c r="AM92" s="37">
        <f>IF(AM$7='Assumptions_&amp;_Inputs'!$I$80,'Assumptions_&amp;_Inputs'!$I$74,AL96)</f>
        <v>4084867.1392549947</v>
      </c>
      <c r="AN92" s="37">
        <f>IF(AN$7='Assumptions_&amp;_Inputs'!$I$80,'Assumptions_&amp;_Inputs'!$I$74,AM96)</f>
        <v>4080914.8631520635</v>
      </c>
      <c r="AO92" s="37">
        <f>IF(AO$7='Assumptions_&amp;_Inputs'!$I$80,'Assumptions_&amp;_Inputs'!$I$74,AN96)</f>
        <v>4076946.4849870619</v>
      </c>
      <c r="AP92" s="37">
        <f>IF(AP$7='Assumptions_&amp;_Inputs'!$I$80,'Assumptions_&amp;_Inputs'!$I$74,AO96)</f>
        <v>4072961.9391581956</v>
      </c>
      <c r="AQ92" s="37">
        <f>IF(AQ$7='Assumptions_&amp;_Inputs'!$I$80,'Assumptions_&amp;_Inputs'!$I$74,AP96)</f>
        <v>4068961.1597964009</v>
      </c>
      <c r="AR92" s="37">
        <f>IF(AR$7='Assumptions_&amp;_Inputs'!$I$80,'Assumptions_&amp;_Inputs'!$I$74,AQ96)</f>
        <v>4064944.0807642555</v>
      </c>
      <c r="AS92" s="37">
        <f>IF(AS$7='Assumptions_&amp;_Inputs'!$I$80,'Assumptions_&amp;_Inputs'!$I$74,AR96)</f>
        <v>4060910.6356548844</v>
      </c>
      <c r="AT92" s="37">
        <f>IF(AT$7='Assumptions_&amp;_Inputs'!$I$80,'Assumptions_&amp;_Inputs'!$I$74,AS96)</f>
        <v>4056860.757790863</v>
      </c>
      <c r="AU92" s="37">
        <f>IF(AU$7='Assumptions_&amp;_Inputs'!$I$80,'Assumptions_&amp;_Inputs'!$I$74,AT96)</f>
        <v>4052794.380223115</v>
      </c>
      <c r="AV92" s="37">
        <f>IF(AV$7='Assumptions_&amp;_Inputs'!$I$80,'Assumptions_&amp;_Inputs'!$I$74,AU96)</f>
        <v>4048711.4357298049</v>
      </c>
      <c r="AW92" s="37">
        <f>IF(AW$7='Assumptions_&amp;_Inputs'!$I$80,'Assumptions_&amp;_Inputs'!$I$74,AV96)</f>
        <v>4044611.8568152273</v>
      </c>
      <c r="AX92" s="37">
        <f>IF(AX$7='Assumptions_&amp;_Inputs'!$I$80,'Assumptions_&amp;_Inputs'!$I$74,AW96)</f>
        <v>4040495.575708691</v>
      </c>
      <c r="AY92" s="37">
        <f>IF(AY$7='Assumptions_&amp;_Inputs'!$I$80,'Assumptions_&amp;_Inputs'!$I$74,AX96)</f>
        <v>4036362.5243633981</v>
      </c>
      <c r="AZ92" s="37">
        <f>IF(AZ$7='Assumptions_&amp;_Inputs'!$I$80,'Assumptions_&amp;_Inputs'!$I$74,AY96)</f>
        <v>4032212.6344553204</v>
      </c>
      <c r="BA92" s="37">
        <f>IF(BA$7='Assumptions_&amp;_Inputs'!$I$80,'Assumptions_&amp;_Inputs'!$I$74,AZ96)</f>
        <v>4028045.8373820689</v>
      </c>
      <c r="BB92" s="37">
        <f>IF(BB$7='Assumptions_&amp;_Inputs'!$I$80,'Assumptions_&amp;_Inputs'!$I$74,BA96)</f>
        <v>4023862.0642617596</v>
      </c>
      <c r="BC92" s="37">
        <f>IF(BC$7='Assumptions_&amp;_Inputs'!$I$80,'Assumptions_&amp;_Inputs'!$I$74,BB96)</f>
        <v>4019661.2459318754</v>
      </c>
      <c r="BD92" s="37">
        <f>IF(BD$7='Assumptions_&amp;_Inputs'!$I$80,'Assumptions_&amp;_Inputs'!$I$74,BC96)</f>
        <v>4015443.3129481226</v>
      </c>
      <c r="BE92" s="37">
        <f>IF(BE$7='Assumptions_&amp;_Inputs'!$I$80,'Assumptions_&amp;_Inputs'!$I$74,BD96)</f>
        <v>4011208.195583283</v>
      </c>
      <c r="BF92" s="37">
        <f>IF(BF$7='Assumptions_&amp;_Inputs'!$I$80,'Assumptions_&amp;_Inputs'!$I$74,BE96)</f>
        <v>4006955.8238260606</v>
      </c>
      <c r="BG92" s="37">
        <f>IF(BG$7='Assumptions_&amp;_Inputs'!$I$80,'Assumptions_&amp;_Inputs'!$I$74,BF96)</f>
        <v>4002686.1273799255</v>
      </c>
      <c r="BH92" s="37">
        <f>IF(BH$7='Assumptions_&amp;_Inputs'!$I$80,'Assumptions_&amp;_Inputs'!$I$74,BG96)</f>
        <v>3998399.0356619498</v>
      </c>
      <c r="BI92" s="37">
        <f>IF(BI$7='Assumptions_&amp;_Inputs'!$I$80,'Assumptions_&amp;_Inputs'!$I$74,BH96)</f>
        <v>3994094.4778016433</v>
      </c>
      <c r="BJ92" s="37">
        <f>IF(BJ$7='Assumptions_&amp;_Inputs'!$I$80,'Assumptions_&amp;_Inputs'!$I$74,BI96)</f>
        <v>3989772.3826397802</v>
      </c>
      <c r="BK92" s="37">
        <f>IF(BK$7='Assumptions_&amp;_Inputs'!$I$80,'Assumptions_&amp;_Inputs'!$I$74,BJ96)</f>
        <v>3985432.6787272226</v>
      </c>
      <c r="BL92" s="37">
        <f>IF(BL$7='Assumptions_&amp;_Inputs'!$I$80,'Assumptions_&amp;_Inputs'!$I$74,BK96)</f>
        <v>3981075.294323741</v>
      </c>
      <c r="BM92" s="37">
        <f>IF(BM$7='Assumptions_&amp;_Inputs'!$I$80,'Assumptions_&amp;_Inputs'!$I$74,BL96)</f>
        <v>3976700.1573968269</v>
      </c>
      <c r="BN92" s="37">
        <f>IF(BN$7='Assumptions_&amp;_Inputs'!$I$80,'Assumptions_&amp;_Inputs'!$I$74,BM96)</f>
        <v>3972307.1956205019</v>
      </c>
      <c r="BO92" s="37">
        <f>IF(BO$7='Assumptions_&amp;_Inputs'!$I$80,'Assumptions_&amp;_Inputs'!$I$74,BN96)</f>
        <v>3967896.3363741236</v>
      </c>
      <c r="BP92" s="37">
        <f>IF(BP$7='Assumptions_&amp;_Inputs'!$I$80,'Assumptions_&amp;_Inputs'!$I$74,BO96)</f>
        <v>3963467.5067411833</v>
      </c>
      <c r="BQ92" s="37">
        <f>IF(BQ$7='Assumptions_&amp;_Inputs'!$I$80,'Assumptions_&amp;_Inputs'!$I$74,BP96)</f>
        <v>3959020.6335081016</v>
      </c>
      <c r="BR92" s="37">
        <f>IF(BR$7='Assumptions_&amp;_Inputs'!$I$80,'Assumptions_&amp;_Inputs'!$I$74,BQ96)</f>
        <v>3954555.6431630179</v>
      </c>
      <c r="BS92" s="37">
        <f>IF(BS$7='Assumptions_&amp;_Inputs'!$I$80,'Assumptions_&amp;_Inputs'!$I$74,BR96)</f>
        <v>3950072.461894576</v>
      </c>
      <c r="BT92" s="37">
        <f>IF(BT$7='Assumptions_&amp;_Inputs'!$I$80,'Assumptions_&amp;_Inputs'!$I$74,BS96)</f>
        <v>3945571.0155907017</v>
      </c>
      <c r="BU92" s="37">
        <f>IF(BU$7='Assumptions_&amp;_Inputs'!$I$80,'Assumptions_&amp;_Inputs'!$I$74,BT96)</f>
        <v>3941051.2298373799</v>
      </c>
      <c r="BV92" s="37">
        <f>IF(BV$7='Assumptions_&amp;_Inputs'!$I$80,'Assumptions_&amp;_Inputs'!$I$74,BU96)</f>
        <v>3936513.0299174236</v>
      </c>
      <c r="BW92" s="37">
        <f>IF(BW$7='Assumptions_&amp;_Inputs'!$I$80,'Assumptions_&amp;_Inputs'!$I$74,BV96)</f>
        <v>3931956.3408092386</v>
      </c>
      <c r="BX92" s="37">
        <f>IF(BX$7='Assumptions_&amp;_Inputs'!$I$80,'Assumptions_&amp;_Inputs'!$I$74,BW96)</f>
        <v>3927381.0871855831</v>
      </c>
      <c r="BY92" s="37">
        <f>IF(BY$7='Assumptions_&amp;_Inputs'!$I$80,'Assumptions_&amp;_Inputs'!$I$74,BX96)</f>
        <v>3922787.193412323</v>
      </c>
      <c r="BZ92" s="37">
        <f>IF(BZ$7='Assumptions_&amp;_Inputs'!$I$80,'Assumptions_&amp;_Inputs'!$I$74,BY96)</f>
        <v>3918174.5835471819</v>
      </c>
      <c r="CA92" s="37">
        <f>IF(CA$7='Assumptions_&amp;_Inputs'!$I$80,'Assumptions_&amp;_Inputs'!$I$74,BZ96)</f>
        <v>3913543.1813384844</v>
      </c>
      <c r="CB92" s="37">
        <f>IF(CB$7='Assumptions_&amp;_Inputs'!$I$80,'Assumptions_&amp;_Inputs'!$I$74,CA96)</f>
        <v>3908892.9102238971</v>
      </c>
      <c r="CC92" s="37">
        <f>IF(CC$7='Assumptions_&amp;_Inputs'!$I$80,'Assumptions_&amp;_Inputs'!$I$74,CB96)</f>
        <v>3904223.693329161</v>
      </c>
      <c r="CD92" s="37">
        <f>IF(CD$7='Assumptions_&amp;_Inputs'!$I$80,'Assumptions_&amp;_Inputs'!$I$74,CC96)</f>
        <v>3899535.4534668233</v>
      </c>
      <c r="CE92" s="37">
        <f>IF(CE$7='Assumptions_&amp;_Inputs'!$I$80,'Assumptions_&amp;_Inputs'!$I$74,CD96)</f>
        <v>3894828.1131349592</v>
      </c>
      <c r="CF92" s="37">
        <f>IF(CF$7='Assumptions_&amp;_Inputs'!$I$80,'Assumptions_&amp;_Inputs'!$I$74,CE96)</f>
        <v>3890101.5945158913</v>
      </c>
      <c r="CG92" s="37">
        <f>IF(CG$7='Assumptions_&amp;_Inputs'!$I$80,'Assumptions_&amp;_Inputs'!$I$74,CF96)</f>
        <v>3885355.8194749034</v>
      </c>
      <c r="CH92" s="37">
        <f>IF(CH$7='Assumptions_&amp;_Inputs'!$I$80,'Assumptions_&amp;_Inputs'!$I$74,CG96)</f>
        <v>3880590.7095589493</v>
      </c>
      <c r="CI92" s="37">
        <f>IF(CI$7='Assumptions_&amp;_Inputs'!$I$80,'Assumptions_&amp;_Inputs'!$I$74,CH96)</f>
        <v>3875806.1859953548</v>
      </c>
      <c r="CJ92" s="37">
        <f>IF(CJ$7='Assumptions_&amp;_Inputs'!$I$80,'Assumptions_&amp;_Inputs'!$I$74,CI96)</f>
        <v>3871002.1696905163</v>
      </c>
      <c r="CK92" s="37">
        <f>IF(CK$7='Assumptions_&amp;_Inputs'!$I$80,'Assumptions_&amp;_Inputs'!$I$74,CJ96)</f>
        <v>3866178.5812285934</v>
      </c>
      <c r="CL92" s="37">
        <f>IF(CL$7='Assumptions_&amp;_Inputs'!$I$80,'Assumptions_&amp;_Inputs'!$I$74,CK96)</f>
        <v>3861335.3408701951</v>
      </c>
      <c r="CM92" s="37">
        <f>IF(CM$7='Assumptions_&amp;_Inputs'!$I$80,'Assumptions_&amp;_Inputs'!$I$74,CL96)</f>
        <v>3856472.3685510629</v>
      </c>
      <c r="CN92" s="37">
        <f>IF(CN$7='Assumptions_&amp;_Inputs'!$I$80,'Assumptions_&amp;_Inputs'!$I$74,CM96)</f>
        <v>3851589.5838807458</v>
      </c>
      <c r="CO92" s="37">
        <f>IF(CO$7='Assumptions_&amp;_Inputs'!$I$80,'Assumptions_&amp;_Inputs'!$I$74,CN96)</f>
        <v>3846686.9061412732</v>
      </c>
      <c r="CP92" s="37">
        <f>IF(CP$7='Assumptions_&amp;_Inputs'!$I$80,'Assumptions_&amp;_Inputs'!$I$74,CO96)</f>
        <v>3841764.2542858184</v>
      </c>
      <c r="CQ92" s="37">
        <f>IF(CQ$7='Assumptions_&amp;_Inputs'!$I$80,'Assumptions_&amp;_Inputs'!$I$74,CP96)</f>
        <v>3836821.5469373609</v>
      </c>
      <c r="CR92" s="37">
        <f>IF(CR$7='Assumptions_&amp;_Inputs'!$I$80,'Assumptions_&amp;_Inputs'!$I$74,CQ96)</f>
        <v>3831858.7023873394</v>
      </c>
      <c r="CS92" s="37">
        <f>IF(CS$7='Assumptions_&amp;_Inputs'!$I$80,'Assumptions_&amp;_Inputs'!$I$74,CR96)</f>
        <v>3826875.6385943023</v>
      </c>
      <c r="CT92" s="37">
        <f>IF(CT$7='Assumptions_&amp;_Inputs'!$I$80,'Assumptions_&amp;_Inputs'!$I$74,CS96)</f>
        <v>3821872.2731825504</v>
      </c>
      <c r="CU92" s="37">
        <f>IF(CU$7='Assumptions_&amp;_Inputs'!$I$80,'Assumptions_&amp;_Inputs'!$I$74,CT96)</f>
        <v>3816848.5234407764</v>
      </c>
      <c r="CV92" s="37">
        <f>IF(CV$7='Assumptions_&amp;_Inputs'!$I$80,'Assumptions_&amp;_Inputs'!$I$74,CU96)</f>
        <v>3811804.3063206961</v>
      </c>
      <c r="CW92" s="37">
        <f>IF(CW$7='Assumptions_&amp;_Inputs'!$I$80,'Assumptions_&amp;_Inputs'!$I$74,CV96)</f>
        <v>3806739.5384356771</v>
      </c>
      <c r="CX92" s="37">
        <f>IF(CX$7='Assumptions_&amp;_Inputs'!$I$80,'Assumptions_&amp;_Inputs'!$I$74,CW96)</f>
        <v>3801654.1360593592</v>
      </c>
      <c r="CY92" s="37">
        <f>IF(CY$7='Assumptions_&amp;_Inputs'!$I$80,'Assumptions_&amp;_Inputs'!$I$74,CX96)</f>
        <v>3796548.0151242702</v>
      </c>
      <c r="CZ92" s="37">
        <f>IF(CZ$7='Assumptions_&amp;_Inputs'!$I$80,'Assumptions_&amp;_Inputs'!$I$74,CY96)</f>
        <v>3791421.0912204375</v>
      </c>
      <c r="DA92" s="37">
        <f>IF(DA$7='Assumptions_&amp;_Inputs'!$I$80,'Assumptions_&amp;_Inputs'!$I$74,CZ96)</f>
        <v>3786273.2795939911</v>
      </c>
      <c r="DB92" s="37">
        <f>IF(DB$7='Assumptions_&amp;_Inputs'!$I$80,'Assumptions_&amp;_Inputs'!$I$74,DA96)</f>
        <v>3781104.4951457637</v>
      </c>
      <c r="DC92" s="37">
        <f>IF(DC$7='Assumptions_&amp;_Inputs'!$I$80,'Assumptions_&amp;_Inputs'!$I$74,DB96)</f>
        <v>3775914.6524298834</v>
      </c>
      <c r="DD92" s="37">
        <f>IF(DD$7='Assumptions_&amp;_Inputs'!$I$80,'Assumptions_&amp;_Inputs'!$I$74,DC96)</f>
        <v>3770703.6656523608</v>
      </c>
      <c r="DE92" s="37">
        <f>IF(DE$7='Assumptions_&amp;_Inputs'!$I$80,'Assumptions_&amp;_Inputs'!$I$74,DD96)</f>
        <v>3765471.4486696715</v>
      </c>
      <c r="DF92" s="37">
        <f>IF(DF$7='Assumptions_&amp;_Inputs'!$I$80,'Assumptions_&amp;_Inputs'!$I$74,DE96)</f>
        <v>3760217.9149873322</v>
      </c>
      <c r="DG92" s="37">
        <f>IF(DG$7='Assumptions_&amp;_Inputs'!$I$80,'Assumptions_&amp;_Inputs'!$I$74,DF96)</f>
        <v>3754942.9777584691</v>
      </c>
      <c r="DH92" s="37">
        <f>IF(DH$7='Assumptions_&amp;_Inputs'!$I$80,'Assumptions_&amp;_Inputs'!$I$74,DG96)</f>
        <v>3749646.5497823847</v>
      </c>
      <c r="DI92" s="37">
        <f>IF(DI$7='Assumptions_&amp;_Inputs'!$I$80,'Assumptions_&amp;_Inputs'!$I$74,DH96)</f>
        <v>3744328.5435031145</v>
      </c>
      <c r="DJ92" s="37">
        <f>IF(DJ$7='Assumptions_&amp;_Inputs'!$I$80,'Assumptions_&amp;_Inputs'!$I$74,DI96)</f>
        <v>3738988.8710079803</v>
      </c>
      <c r="DK92" s="37">
        <f>IF(DK$7='Assumptions_&amp;_Inputs'!$I$80,'Assumptions_&amp;_Inputs'!$I$74,DJ96)</f>
        <v>3733627.4440261368</v>
      </c>
      <c r="DL92" s="37">
        <f>IF(DL$7='Assumptions_&amp;_Inputs'!$I$80,'Assumptions_&amp;_Inputs'!$I$74,DK96)</f>
        <v>3728244.1739271125</v>
      </c>
      <c r="DM92" s="37">
        <f>IF(DM$7='Assumptions_&amp;_Inputs'!$I$80,'Assumptions_&amp;_Inputs'!$I$74,DL96)</f>
        <v>3722838.9717193437</v>
      </c>
      <c r="DN92" s="37">
        <f>IF(DN$7='Assumptions_&amp;_Inputs'!$I$80,'Assumptions_&amp;_Inputs'!$I$74,DM96)</f>
        <v>3717411.748048705</v>
      </c>
      <c r="DO92" s="37">
        <f>IF(DO$7='Assumptions_&amp;_Inputs'!$I$80,'Assumptions_&amp;_Inputs'!$I$74,DN96)</f>
        <v>3711962.4131970308</v>
      </c>
      <c r="DP92" s="37">
        <f>IF(DP$7='Assumptions_&amp;_Inputs'!$I$80,'Assumptions_&amp;_Inputs'!$I$74,DO96)</f>
        <v>3706490.8770806319</v>
      </c>
      <c r="DQ92" s="37">
        <f>IF(DQ$7='Assumptions_&amp;_Inputs'!$I$80,'Assumptions_&amp;_Inputs'!$I$74,DP96)</f>
        <v>3700997.0492488085</v>
      </c>
      <c r="DR92" s="37">
        <f>IF(DR$7='Assumptions_&amp;_Inputs'!$I$80,'Assumptions_&amp;_Inputs'!$I$74,DQ96)</f>
        <v>3695480.8388823522</v>
      </c>
      <c r="DS92" s="37">
        <f>IF(DS$7='Assumptions_&amp;_Inputs'!$I$80,'Assumptions_&amp;_Inputs'!$I$74,DR96)</f>
        <v>3689942.1547920462</v>
      </c>
      <c r="DT92" s="37">
        <f>IF(DT$7='Assumptions_&amp;_Inputs'!$I$80,'Assumptions_&amp;_Inputs'!$I$74,DS96)</f>
        <v>3684380.9054171578</v>
      </c>
      <c r="DU92" s="37">
        <f>IF(DU$7='Assumptions_&amp;_Inputs'!$I$80,'Assumptions_&amp;_Inputs'!$I$74,DT96)</f>
        <v>3678796.9988239245</v>
      </c>
      <c r="DV92" s="37">
        <f>IF(DV$7='Assumptions_&amp;_Inputs'!$I$80,'Assumptions_&amp;_Inputs'!$I$74,DU96)</f>
        <v>3673190.3427040339</v>
      </c>
      <c r="DW92" s="37">
        <f>IF(DW$7='Assumptions_&amp;_Inputs'!$I$80,'Assumptions_&amp;_Inputs'!$I$74,DV96)</f>
        <v>0</v>
      </c>
      <c r="DX92" s="37">
        <f>IF(DX$7='Assumptions_&amp;_Inputs'!$I$80,'Assumptions_&amp;_Inputs'!$I$74,DW96)</f>
        <v>0</v>
      </c>
      <c r="DY92" s="37">
        <f>IF(DY$7='Assumptions_&amp;_Inputs'!$I$80,'Assumptions_&amp;_Inputs'!$I$74,DX96)</f>
        <v>0</v>
      </c>
      <c r="DZ92" s="37">
        <f>IF(DZ$7='Assumptions_&amp;_Inputs'!$I$80,'Assumptions_&amp;_Inputs'!$I$74,DY96)</f>
        <v>0</v>
      </c>
      <c r="EA92" s="37">
        <f>IF(EA$7='Assumptions_&amp;_Inputs'!$I$80,'Assumptions_&amp;_Inputs'!$I$74,DZ96)</f>
        <v>0</v>
      </c>
      <c r="EB92" s="37">
        <f>IF(EB$7='Assumptions_&amp;_Inputs'!$I$80,'Assumptions_&amp;_Inputs'!$I$74,EA96)</f>
        <v>0</v>
      </c>
      <c r="EC92" s="37">
        <f>IF(EC$7='Assumptions_&amp;_Inputs'!$I$80,'Assumptions_&amp;_Inputs'!$I$74,EB96)</f>
        <v>0</v>
      </c>
      <c r="ED92" s="37">
        <f>IF(ED$7='Assumptions_&amp;_Inputs'!$I$80,'Assumptions_&amp;_Inputs'!$I$74,EC96)</f>
        <v>0</v>
      </c>
      <c r="EE92" s="37">
        <f>IF(EE$7='Assumptions_&amp;_Inputs'!$I$80,'Assumptions_&amp;_Inputs'!$I$74,ED96)</f>
        <v>0</v>
      </c>
      <c r="EF92" s="37">
        <f>IF(EF$7='Assumptions_&amp;_Inputs'!$I$80,'Assumptions_&amp;_Inputs'!$I$74,EE96)</f>
        <v>0</v>
      </c>
      <c r="EG92" s="37">
        <f>IF(EG$7='Assumptions_&amp;_Inputs'!$I$80,'Assumptions_&amp;_Inputs'!$I$74,EF96)</f>
        <v>0</v>
      </c>
      <c r="EH92" s="37">
        <f>IF(EH$7='Assumptions_&amp;_Inputs'!$I$80,'Assumptions_&amp;_Inputs'!$I$74,EG96)</f>
        <v>0</v>
      </c>
      <c r="EI92" s="37">
        <f>IF(EI$7='Assumptions_&amp;_Inputs'!$I$80,'Assumptions_&amp;_Inputs'!$I$74,EH96)</f>
        <v>0</v>
      </c>
      <c r="EJ92" s="37">
        <f>IF(EJ$7='Assumptions_&amp;_Inputs'!$I$80,'Assumptions_&amp;_Inputs'!$I$74,EI96)</f>
        <v>0</v>
      </c>
      <c r="EK92" s="37">
        <f>IF(EK$7='Assumptions_&amp;_Inputs'!$I$80,'Assumptions_&amp;_Inputs'!$I$74,EJ96)</f>
        <v>0</v>
      </c>
      <c r="EL92" s="37">
        <f>IF(EL$7='Assumptions_&amp;_Inputs'!$I$80,'Assumptions_&amp;_Inputs'!$I$74,EK96)</f>
        <v>0</v>
      </c>
      <c r="EM92" s="37">
        <f>IF(EM$7='Assumptions_&amp;_Inputs'!$I$80,'Assumptions_&amp;_Inputs'!$I$74,EL96)</f>
        <v>0</v>
      </c>
      <c r="EN92" s="37">
        <f>IF(EN$7='Assumptions_&amp;_Inputs'!$I$80,'Assumptions_&amp;_Inputs'!$I$74,EM96)</f>
        <v>0</v>
      </c>
      <c r="EO92" s="37">
        <f>IF(EO$7='Assumptions_&amp;_Inputs'!$I$80,'Assumptions_&amp;_Inputs'!$I$74,EN96)</f>
        <v>0</v>
      </c>
      <c r="EP92" s="37">
        <f>IF(EP$7='Assumptions_&amp;_Inputs'!$I$80,'Assumptions_&amp;_Inputs'!$I$74,EO96)</f>
        <v>0</v>
      </c>
      <c r="EQ92" s="37">
        <f>IF(EQ$7='Assumptions_&amp;_Inputs'!$I$80,'Assumptions_&amp;_Inputs'!$I$74,EP96)</f>
        <v>0</v>
      </c>
      <c r="ER92" s="37">
        <f>IF(ER$7='Assumptions_&amp;_Inputs'!$I$80,'Assumptions_&amp;_Inputs'!$I$74,EQ96)</f>
        <v>0</v>
      </c>
      <c r="ES92" s="37">
        <f>IF(ES$7='Assumptions_&amp;_Inputs'!$I$80,'Assumptions_&amp;_Inputs'!$I$74,ER96)</f>
        <v>0</v>
      </c>
      <c r="ET92" s="37">
        <f>IF(ET$7='Assumptions_&amp;_Inputs'!$I$80,'Assumptions_&amp;_Inputs'!$I$74,ES96)</f>
        <v>0</v>
      </c>
      <c r="EU92" s="37">
        <f>IF(EU$7='Assumptions_&amp;_Inputs'!$I$80,'Assumptions_&amp;_Inputs'!$I$74,ET96)</f>
        <v>0</v>
      </c>
      <c r="EV92" s="37">
        <f>IF(EV$7='Assumptions_&amp;_Inputs'!$I$80,'Assumptions_&amp;_Inputs'!$I$74,EU96)</f>
        <v>0</v>
      </c>
      <c r="EW92" s="37">
        <f>IF(EW$7='Assumptions_&amp;_Inputs'!$I$80,'Assumptions_&amp;_Inputs'!$I$74,EV96)</f>
        <v>0</v>
      </c>
      <c r="EX92" s="37">
        <f>IF(EX$7='Assumptions_&amp;_Inputs'!$I$80,'Assumptions_&amp;_Inputs'!$I$74,EW96)</f>
        <v>0</v>
      </c>
      <c r="EY92" s="37">
        <f>IF(EY$7='Assumptions_&amp;_Inputs'!$I$80,'Assumptions_&amp;_Inputs'!$I$74,EX96)</f>
        <v>0</v>
      </c>
      <c r="EZ92" s="37">
        <f>IF(EZ$7='Assumptions_&amp;_Inputs'!$I$80,'Assumptions_&amp;_Inputs'!$I$74,EY96)</f>
        <v>0</v>
      </c>
      <c r="FA92" s="37">
        <f>IF(FA$7='Assumptions_&amp;_Inputs'!$I$80,'Assumptions_&amp;_Inputs'!$I$74,EZ96)</f>
        <v>0</v>
      </c>
      <c r="FB92" s="37">
        <f>IF(FB$7='Assumptions_&amp;_Inputs'!$I$80,'Assumptions_&amp;_Inputs'!$I$74,FA96)</f>
        <v>0</v>
      </c>
      <c r="FC92" s="37">
        <f>IF(FC$7='Assumptions_&amp;_Inputs'!$I$80,'Assumptions_&amp;_Inputs'!$I$74,FB96)</f>
        <v>0</v>
      </c>
      <c r="FD92" s="37">
        <f>IF(FD$7='Assumptions_&amp;_Inputs'!$I$80,'Assumptions_&amp;_Inputs'!$I$74,FC96)</f>
        <v>0</v>
      </c>
      <c r="FE92" s="37">
        <f>IF(FE$7='Assumptions_&amp;_Inputs'!$I$80,'Assumptions_&amp;_Inputs'!$I$74,FD96)</f>
        <v>0</v>
      </c>
      <c r="FF92" s="37">
        <f>IF(FF$7='Assumptions_&amp;_Inputs'!$I$80,'Assumptions_&amp;_Inputs'!$I$74,FE96)</f>
        <v>0</v>
      </c>
      <c r="FG92" s="37">
        <f>IF(FG$7='Assumptions_&amp;_Inputs'!$I$80,'Assumptions_&amp;_Inputs'!$I$74,FF96)</f>
        <v>0</v>
      </c>
      <c r="FH92" s="37">
        <f>IF(FH$7='Assumptions_&amp;_Inputs'!$I$80,'Assumptions_&amp;_Inputs'!$I$74,FG96)</f>
        <v>0</v>
      </c>
      <c r="FI92" s="37">
        <f>IF(FI$7='Assumptions_&amp;_Inputs'!$I$80,'Assumptions_&amp;_Inputs'!$I$74,FH96)</f>
        <v>0</v>
      </c>
      <c r="FJ92" s="37">
        <f>IF(FJ$7='Assumptions_&amp;_Inputs'!$I$80,'Assumptions_&amp;_Inputs'!$I$74,FI96)</f>
        <v>0</v>
      </c>
      <c r="FK92" s="37">
        <f>IF(FK$7='Assumptions_&amp;_Inputs'!$I$80,'Assumptions_&amp;_Inputs'!$I$74,FJ96)</f>
        <v>0</v>
      </c>
      <c r="FL92" s="37">
        <f>IF(FL$7='Assumptions_&amp;_Inputs'!$I$80,'Assumptions_&amp;_Inputs'!$I$74,FK96)</f>
        <v>0</v>
      </c>
      <c r="FM92" s="37">
        <f>IF(FM$7='Assumptions_&amp;_Inputs'!$I$80,'Assumptions_&amp;_Inputs'!$I$74,FL96)</f>
        <v>0</v>
      </c>
      <c r="FN92" s="37">
        <f>IF(FN$7='Assumptions_&amp;_Inputs'!$I$80,'Assumptions_&amp;_Inputs'!$I$74,FM96)</f>
        <v>0</v>
      </c>
      <c r="FO92" s="37">
        <f>IF(FO$7='Assumptions_&amp;_Inputs'!$I$80,'Assumptions_&amp;_Inputs'!$I$74,FN96)</f>
        <v>0</v>
      </c>
      <c r="FP92" s="37">
        <f>IF(FP$7='Assumptions_&amp;_Inputs'!$I$80,'Assumptions_&amp;_Inputs'!$I$74,FO96)</f>
        <v>0</v>
      </c>
      <c r="FQ92" s="37">
        <f>IF(FQ$7='Assumptions_&amp;_Inputs'!$I$80,'Assumptions_&amp;_Inputs'!$I$74,FP96)</f>
        <v>0</v>
      </c>
      <c r="FR92" s="37">
        <f>IF(FR$7='Assumptions_&amp;_Inputs'!$I$80,'Assumptions_&amp;_Inputs'!$I$74,FQ96)</f>
        <v>0</v>
      </c>
      <c r="FS92" s="37">
        <f>IF(FS$7='Assumptions_&amp;_Inputs'!$I$80,'Assumptions_&amp;_Inputs'!$I$74,FR96)</f>
        <v>0</v>
      </c>
      <c r="FT92" s="37">
        <f>IF(FT$7='Assumptions_&amp;_Inputs'!$I$80,'Assumptions_&amp;_Inputs'!$I$74,FS96)</f>
        <v>0</v>
      </c>
      <c r="FU92" s="37">
        <f>IF(FU$7='Assumptions_&amp;_Inputs'!$I$80,'Assumptions_&amp;_Inputs'!$I$74,FT96)</f>
        <v>0</v>
      </c>
      <c r="FV92" s="37">
        <f>IF(FV$7='Assumptions_&amp;_Inputs'!$I$80,'Assumptions_&amp;_Inputs'!$I$74,FU96)</f>
        <v>0</v>
      </c>
      <c r="FW92" s="37">
        <f>IF(FW$7='Assumptions_&amp;_Inputs'!$I$80,'Assumptions_&amp;_Inputs'!$I$74,FV96)</f>
        <v>0</v>
      </c>
      <c r="FX92" s="37">
        <f>IF(FX$7='Assumptions_&amp;_Inputs'!$I$80,'Assumptions_&amp;_Inputs'!$I$74,FW96)</f>
        <v>0</v>
      </c>
      <c r="FY92" s="37">
        <f>IF(FY$7='Assumptions_&amp;_Inputs'!$I$80,'Assumptions_&amp;_Inputs'!$I$74,FX96)</f>
        <v>0</v>
      </c>
      <c r="FZ92" s="37">
        <f>IF(FZ$7='Assumptions_&amp;_Inputs'!$I$80,'Assumptions_&amp;_Inputs'!$I$74,FY96)</f>
        <v>0</v>
      </c>
      <c r="GA92" s="37">
        <f>IF(GA$7='Assumptions_&amp;_Inputs'!$I$80,'Assumptions_&amp;_Inputs'!$I$74,FZ96)</f>
        <v>0</v>
      </c>
      <c r="GB92" s="37">
        <f>IF(GB$7='Assumptions_&amp;_Inputs'!$I$80,'Assumptions_&amp;_Inputs'!$I$74,GA96)</f>
        <v>0</v>
      </c>
      <c r="GC92" s="37">
        <f>IF(GC$7='Assumptions_&amp;_Inputs'!$I$80,'Assumptions_&amp;_Inputs'!$I$74,GB96)</f>
        <v>0</v>
      </c>
      <c r="GD92" s="37">
        <f>IF(GD$7='Assumptions_&amp;_Inputs'!$I$80,'Assumptions_&amp;_Inputs'!$I$74,GC96)</f>
        <v>0</v>
      </c>
      <c r="GE92" s="37">
        <f>IF(GE$7='Assumptions_&amp;_Inputs'!$I$80,'Assumptions_&amp;_Inputs'!$I$74,GD96)</f>
        <v>0</v>
      </c>
      <c r="GF92" s="37">
        <f>IF(GF$7='Assumptions_&amp;_Inputs'!$I$80,'Assumptions_&amp;_Inputs'!$I$74,GE96)</f>
        <v>0</v>
      </c>
      <c r="GG92" s="37">
        <f>IF(GG$7='Assumptions_&amp;_Inputs'!$I$80,'Assumptions_&amp;_Inputs'!$I$74,GF96)</f>
        <v>0</v>
      </c>
      <c r="GH92" s="37">
        <f>IF(GH$7='Assumptions_&amp;_Inputs'!$I$80,'Assumptions_&amp;_Inputs'!$I$74,GG96)</f>
        <v>0</v>
      </c>
      <c r="GI92" s="37">
        <f>IF(GI$7='Assumptions_&amp;_Inputs'!$I$80,'Assumptions_&amp;_Inputs'!$I$74,GH96)</f>
        <v>0</v>
      </c>
      <c r="GJ92" s="37">
        <f>IF(GJ$7='Assumptions_&amp;_Inputs'!$I$80,'Assumptions_&amp;_Inputs'!$I$74,GI96)</f>
        <v>0</v>
      </c>
      <c r="GK92" s="37">
        <f>IF(GK$7='Assumptions_&amp;_Inputs'!$I$80,'Assumptions_&amp;_Inputs'!$I$74,GJ96)</f>
        <v>0</v>
      </c>
      <c r="GL92" s="37">
        <f>IF(GL$7='Assumptions_&amp;_Inputs'!$I$80,'Assumptions_&amp;_Inputs'!$I$74,GK96)</f>
        <v>0</v>
      </c>
      <c r="GM92" s="37">
        <f>IF(GM$7='Assumptions_&amp;_Inputs'!$I$80,'Assumptions_&amp;_Inputs'!$I$74,GL96)</f>
        <v>0</v>
      </c>
      <c r="GN92" s="63"/>
      <c r="GO92" s="63"/>
      <c r="GP92" s="63"/>
      <c r="GQ92" s="27"/>
      <c r="GR92" s="27"/>
      <c r="GS92" s="27"/>
      <c r="GT92" s="27"/>
      <c r="GU92" s="27"/>
      <c r="GV92" s="27"/>
      <c r="GW92" s="27"/>
      <c r="GX92" s="27"/>
      <c r="GY92" s="27"/>
      <c r="GZ92" s="27"/>
      <c r="HA92" s="27"/>
      <c r="HB92" s="27"/>
      <c r="HC92" s="27"/>
      <c r="HD92" s="27"/>
      <c r="HE92" s="27"/>
      <c r="HF92" s="27"/>
      <c r="HG92" s="27"/>
      <c r="HH92" s="27"/>
      <c r="HI92" s="27"/>
      <c r="HJ92" s="27"/>
      <c r="HK92" s="27"/>
      <c r="HL92" s="27"/>
      <c r="HM92" s="27"/>
      <c r="HN92" s="27"/>
      <c r="HO92" s="27"/>
      <c r="HP92" s="27"/>
      <c r="HQ92" s="27"/>
      <c r="HR92" s="27"/>
      <c r="HS92" s="27"/>
      <c r="HT92" s="27"/>
      <c r="HU92" s="27"/>
      <c r="HV92" s="27"/>
      <c r="HW92" s="27"/>
      <c r="HX92" s="27"/>
      <c r="HY92" s="27"/>
      <c r="HZ92" s="27"/>
      <c r="IA92" s="27"/>
      <c r="IB92" s="27"/>
      <c r="IC92" s="27"/>
      <c r="ID92" s="27"/>
      <c r="IE92" s="27"/>
      <c r="IF92" s="27"/>
      <c r="IG92" s="27"/>
      <c r="IH92" s="27"/>
      <c r="II92" s="27"/>
      <c r="IJ92" s="27"/>
      <c r="IK92" s="27"/>
      <c r="IL92" s="27"/>
      <c r="IM92" s="27"/>
      <c r="IN92" s="27"/>
      <c r="IO92" s="27"/>
      <c r="IP92" s="27"/>
      <c r="IQ92" s="27"/>
      <c r="IR92" s="27"/>
      <c r="IS92" s="27"/>
      <c r="IT92" s="27"/>
      <c r="IU92" s="27"/>
      <c r="IV92" s="27"/>
      <c r="IW92" s="27"/>
      <c r="IX92" s="27"/>
      <c r="IY92" s="27"/>
      <c r="IZ92" s="27"/>
      <c r="JA92" s="27"/>
      <c r="JB92" s="27"/>
      <c r="JC92" s="27"/>
      <c r="JD92" s="27"/>
      <c r="JE92" s="27"/>
      <c r="JF92" s="27"/>
      <c r="JG92" s="27"/>
      <c r="JH92" s="27"/>
      <c r="JI92" s="27"/>
      <c r="JJ92" s="27"/>
      <c r="JK92" s="27"/>
      <c r="JL92" s="27"/>
      <c r="JM92" s="27"/>
      <c r="JN92" s="27"/>
      <c r="JO92" s="27"/>
      <c r="JP92" s="27"/>
      <c r="JQ92" s="27"/>
      <c r="JR92" s="27"/>
      <c r="JS92" s="27"/>
      <c r="JT92" s="27"/>
      <c r="JU92" s="27"/>
      <c r="JV92" s="27"/>
      <c r="JW92" s="27"/>
      <c r="JX92" s="27"/>
      <c r="JY92" s="27"/>
      <c r="JZ92" s="27"/>
      <c r="KA92" s="27"/>
      <c r="KB92" s="27"/>
      <c r="KC92" s="27"/>
      <c r="KD92" s="27"/>
      <c r="KE92" s="27"/>
      <c r="KF92" s="27"/>
      <c r="KG92" s="27"/>
      <c r="KH92" s="27"/>
      <c r="KI92" s="27"/>
      <c r="KJ92" s="27"/>
      <c r="KK92" s="27"/>
      <c r="KL92" s="27"/>
      <c r="KM92" s="27"/>
      <c r="KN92" s="27"/>
      <c r="KO92" s="27"/>
      <c r="KP92" s="27"/>
      <c r="KQ92" s="27"/>
      <c r="KR92" s="27"/>
      <c r="KS92" s="27"/>
      <c r="KT92" s="27"/>
      <c r="KU92" s="27"/>
      <c r="KV92" s="27"/>
      <c r="KW92" s="27"/>
      <c r="KX92" s="27"/>
      <c r="KY92" s="27"/>
      <c r="KZ92" s="27"/>
      <c r="LA92" s="27"/>
      <c r="LB92" s="27"/>
      <c r="LC92" s="27"/>
      <c r="LD92" s="27"/>
      <c r="LE92" s="27"/>
      <c r="LF92" s="27"/>
      <c r="LG92" s="27"/>
      <c r="LH92" s="27"/>
      <c r="LI92" s="27"/>
      <c r="LJ92" s="27"/>
      <c r="LK92" s="27"/>
      <c r="LL92" s="27"/>
      <c r="LM92" s="27"/>
      <c r="LN92" s="27"/>
      <c r="LO92" s="27"/>
      <c r="LP92" s="27"/>
      <c r="LQ92" s="27"/>
      <c r="LR92" s="27"/>
      <c r="LS92" s="27"/>
      <c r="LT92" s="27"/>
      <c r="LU92" s="27"/>
      <c r="LV92" s="27"/>
      <c r="LW92" s="27"/>
      <c r="LX92" s="27"/>
      <c r="LY92" s="27"/>
      <c r="LZ92" s="27"/>
      <c r="MA92" s="27"/>
      <c r="MB92" s="27"/>
      <c r="MC92" s="27"/>
      <c r="MD92" s="27"/>
      <c r="ME92" s="27"/>
      <c r="MF92" s="27"/>
      <c r="MG92" s="27"/>
      <c r="MH92" s="27"/>
      <c r="MI92" s="27"/>
      <c r="MJ92" s="27"/>
      <c r="MK92" s="27"/>
      <c r="ML92" s="27"/>
      <c r="MM92" s="27"/>
      <c r="MN92" s="27"/>
      <c r="MO92" s="27"/>
      <c r="MP92" s="27"/>
      <c r="MQ92" s="27"/>
      <c r="MR92" s="27"/>
      <c r="MS92" s="27"/>
      <c r="MT92" s="27"/>
      <c r="MU92" s="27"/>
      <c r="MV92" s="27"/>
      <c r="MW92" s="27"/>
      <c r="MX92" s="27"/>
      <c r="MY92" s="27"/>
      <c r="MZ92" s="27"/>
      <c r="NA92" s="27"/>
      <c r="NB92" s="27"/>
    </row>
    <row r="93" spans="2:366" ht="16" customHeight="1" x14ac:dyDescent="0.15">
      <c r="B93" s="31" t="s">
        <v>257</v>
      </c>
      <c r="C93" s="312" t="s">
        <v>150</v>
      </c>
      <c r="D93" s="363"/>
      <c r="E93"/>
      <c r="F93" s="37">
        <f>IF(F$7&gt;'Assumptions_&amp;_Inputs'!$I$80,IPMT('Assumptions_&amp;_Inputs'!$I$76,'Monthly_P&amp;L'!F$7-'Assumptions_&amp;_Inputs'!$I$80,'Assumptions_&amp;_Inputs'!$I$78*12,'Assumptions_&amp;_Inputs'!$I$74),0)</f>
        <v>0</v>
      </c>
      <c r="G93" s="37">
        <f>(IF(G$7&gt;'Assumptions_&amp;_Inputs'!$I$80,IPMT('Assumptions_&amp;_Inputs'!$I$76,G$7-'Assumptions_&amp;_Inputs'!$I$80,'Assumptions_&amp;_Inputs'!$I$78*12,'Assumptions_&amp;_Inputs'!$I$74),0))*G$10</f>
        <v>0</v>
      </c>
      <c r="H93" s="37">
        <f>(IF(H$7&gt;'Assumptions_&amp;_Inputs'!$I$80,IPMT('Assumptions_&amp;_Inputs'!$I$76,H$7-'Assumptions_&amp;_Inputs'!$I$80,'Assumptions_&amp;_Inputs'!$I$78*12,'Assumptions_&amp;_Inputs'!$I$74),0))*H$10</f>
        <v>0</v>
      </c>
      <c r="I93" s="37">
        <f>(IF(I$7&gt;'Assumptions_&amp;_Inputs'!$I$80,IPMT('Assumptions_&amp;_Inputs'!$I$76,I$7-'Assumptions_&amp;_Inputs'!$I$80,'Assumptions_&amp;_Inputs'!$I$78*12,'Assumptions_&amp;_Inputs'!$I$74),0))*I$10</f>
        <v>0</v>
      </c>
      <c r="J93" s="37">
        <f>(IF(J$7&gt;'Assumptions_&amp;_Inputs'!$I$80,IPMT('Assumptions_&amp;_Inputs'!$I$76,J$7-'Assumptions_&amp;_Inputs'!$I$80,'Assumptions_&amp;_Inputs'!$I$78*12,'Assumptions_&amp;_Inputs'!$I$74),0))*J$10</f>
        <v>0</v>
      </c>
      <c r="K93" s="37">
        <f>(IF(K$7&gt;'Assumptions_&amp;_Inputs'!$I$80,IPMT('Assumptions_&amp;_Inputs'!$I$76,K$7-'Assumptions_&amp;_Inputs'!$I$80,'Assumptions_&amp;_Inputs'!$I$78*12,'Assumptions_&amp;_Inputs'!$I$74),0))*K$10</f>
        <v>0</v>
      </c>
      <c r="L93" s="37">
        <f>(IF(L$7&gt;'Assumptions_&amp;_Inputs'!$I$80,IPMT('Assumptions_&amp;_Inputs'!$I$76,L$7-'Assumptions_&amp;_Inputs'!$I$80,'Assumptions_&amp;_Inputs'!$I$78*12,'Assumptions_&amp;_Inputs'!$I$74),0))*L$10</f>
        <v>0</v>
      </c>
      <c r="M93" s="37">
        <f>(IF(M$7&gt;'Assumptions_&amp;_Inputs'!$I$80,IPMT('Assumptions_&amp;_Inputs'!$I$76,M$7-'Assumptions_&amp;_Inputs'!$I$80,'Assumptions_&amp;_Inputs'!$I$78*12,'Assumptions_&amp;_Inputs'!$I$74),0))*M$10</f>
        <v>0</v>
      </c>
      <c r="N93" s="37">
        <f>(IF(N$7&gt;'Assumptions_&amp;_Inputs'!$I$80,IPMT('Assumptions_&amp;_Inputs'!$I$76,N$7-'Assumptions_&amp;_Inputs'!$I$80,'Assumptions_&amp;_Inputs'!$I$78*12,'Assumptions_&amp;_Inputs'!$I$74),0))*N$10</f>
        <v>0</v>
      </c>
      <c r="O93" s="37">
        <f>(IF(O$7&gt;'Assumptions_&amp;_Inputs'!$I$80,IPMT('Assumptions_&amp;_Inputs'!$I$76,O$7-'Assumptions_&amp;_Inputs'!$I$80,'Assumptions_&amp;_Inputs'!$I$78*12,'Assumptions_&amp;_Inputs'!$I$74),0))*O$10</f>
        <v>0</v>
      </c>
      <c r="P93" s="37">
        <f>(IF(P$7&gt;'Assumptions_&amp;_Inputs'!$I$80,IPMT('Assumptions_&amp;_Inputs'!$I$76,P$7-'Assumptions_&amp;_Inputs'!$I$80,'Assumptions_&amp;_Inputs'!$I$78*12,'Assumptions_&amp;_Inputs'!$I$74),0))*P$10</f>
        <v>0</v>
      </c>
      <c r="Q93" s="37">
        <f>(IF(Q$7&gt;'Assumptions_&amp;_Inputs'!$I$80,IPMT('Assumptions_&amp;_Inputs'!$I$76,Q$7-'Assumptions_&amp;_Inputs'!$I$80,'Assumptions_&amp;_Inputs'!$I$78*12,'Assumptions_&amp;_Inputs'!$I$74),0))*Q$10</f>
        <v>0</v>
      </c>
      <c r="R93" s="37">
        <f>(IF(R$7&gt;'Assumptions_&amp;_Inputs'!$I$80,IPMT('Assumptions_&amp;_Inputs'!$I$76,R$7-'Assumptions_&amp;_Inputs'!$I$80,'Assumptions_&amp;_Inputs'!$I$78*12,'Assumptions_&amp;_Inputs'!$I$74),0))*R$10</f>
        <v>0</v>
      </c>
      <c r="S93" s="37">
        <f>(IF(S$7&gt;'Assumptions_&amp;_Inputs'!$I$80,IPMT('Assumptions_&amp;_Inputs'!$I$76,S$7-'Assumptions_&amp;_Inputs'!$I$80,'Assumptions_&amp;_Inputs'!$I$78*12,'Assumptions_&amp;_Inputs'!$I$74),0))*S$10</f>
        <v>0</v>
      </c>
      <c r="T93" s="37">
        <f>(IF(T$7&gt;'Assumptions_&amp;_Inputs'!$I$80,IPMT('Assumptions_&amp;_Inputs'!$I$76,T$7-'Assumptions_&amp;_Inputs'!$I$80,'Assumptions_&amp;_Inputs'!$I$78*12,'Assumptions_&amp;_Inputs'!$I$74),0))*T$10</f>
        <v>0</v>
      </c>
      <c r="U93" s="37">
        <f>(IF(U$7&gt;'Assumptions_&amp;_Inputs'!$I$80,IPMT('Assumptions_&amp;_Inputs'!$I$76,U$7-'Assumptions_&amp;_Inputs'!$I$80,'Assumptions_&amp;_Inputs'!$I$78*12,'Assumptions_&amp;_Inputs'!$I$74),0))*U$10</f>
        <v>0</v>
      </c>
      <c r="V93" s="37">
        <f>(IF(V$7&gt;'Assumptions_&amp;_Inputs'!$I$80,IPMT('Assumptions_&amp;_Inputs'!$I$76,V$7-'Assumptions_&amp;_Inputs'!$I$80,'Assumptions_&amp;_Inputs'!$I$78*12,'Assumptions_&amp;_Inputs'!$I$74),0))*V$10</f>
        <v>0</v>
      </c>
      <c r="W93" s="37">
        <f>(IF(W$7&gt;'Assumptions_&amp;_Inputs'!$I$80,IPMT('Assumptions_&amp;_Inputs'!$I$76,W$7-'Assumptions_&amp;_Inputs'!$I$80,'Assumptions_&amp;_Inputs'!$I$78*12,'Assumptions_&amp;_Inputs'!$I$74),0))*W$10</f>
        <v>0</v>
      </c>
      <c r="X93" s="37">
        <f>(IF(X$7&gt;'Assumptions_&amp;_Inputs'!$I$80,IPMT('Assumptions_&amp;_Inputs'!$I$76,X$7-'Assumptions_&amp;_Inputs'!$I$80,'Assumptions_&amp;_Inputs'!$I$78*12,'Assumptions_&amp;_Inputs'!$I$74),0))*X$10</f>
        <v>0</v>
      </c>
      <c r="Y93" s="37">
        <f>(IF(Y$7&gt;'Assumptions_&amp;_Inputs'!$I$80,IPMT('Assumptions_&amp;_Inputs'!$I$76,Y$7-'Assumptions_&amp;_Inputs'!$I$80,'Assumptions_&amp;_Inputs'!$I$78*12,'Assumptions_&amp;_Inputs'!$I$74),0))*Y$10</f>
        <v>-16860.942162765019</v>
      </c>
      <c r="Z93" s="37">
        <f>(IF(Z$7&gt;'Assumptions_&amp;_Inputs'!$I$80,IPMT('Assumptions_&amp;_Inputs'!$I$76,Z$7-'Assumptions_&amp;_Inputs'!$I$80,'Assumptions_&amp;_Inputs'!$I$78*12,'Assumptions_&amp;_Inputs'!$I$74),0))*Z$10</f>
        <v>-16845.731061852253</v>
      </c>
      <c r="AA93" s="37">
        <f>(IF(AA$7&gt;'Assumptions_&amp;_Inputs'!$I$80,IPMT('Assumptions_&amp;_Inputs'!$I$76,AA$7-'Assumptions_&amp;_Inputs'!$I$80,'Assumptions_&amp;_Inputs'!$I$78*12,'Assumptions_&amp;_Inputs'!$I$74),0))*AA$10</f>
        <v>-16830.457989031485</v>
      </c>
      <c r="AB93" s="37">
        <f>(IF(AB$7&gt;'Assumptions_&amp;_Inputs'!$I$80,IPMT('Assumptions_&amp;_Inputs'!$I$76,AB$7-'Assumptions_&amp;_Inputs'!$I$80,'Assumptions_&amp;_Inputs'!$I$78*12,'Assumptions_&amp;_Inputs'!$I$74),0))*AB$10</f>
        <v>-16815.122691821489</v>
      </c>
      <c r="AC93" s="37">
        <f>(IF(AC$7&gt;'Assumptions_&amp;_Inputs'!$I$80,IPMT('Assumptions_&amp;_Inputs'!$I$76,AC$7-'Assumptions_&amp;_Inputs'!$I$80,'Assumptions_&amp;_Inputs'!$I$78*12,'Assumptions_&amp;_Inputs'!$I$74),0))*AC$10</f>
        <v>-16799.724916712399</v>
      </c>
      <c r="AD93" s="37">
        <f>(IF(AD$7&gt;'Assumptions_&amp;_Inputs'!$I$80,IPMT('Assumptions_&amp;_Inputs'!$I$76,AD$7-'Assumptions_&amp;_Inputs'!$I$80,'Assumptions_&amp;_Inputs'!$I$78*12,'Assumptions_&amp;_Inputs'!$I$74),0))*AD$10</f>
        <v>-16784.264409161522</v>
      </c>
      <c r="AE93" s="37">
        <f>(IF(AE$7&gt;'Assumptions_&amp;_Inputs'!$I$80,IPMT('Assumptions_&amp;_Inputs'!$I$76,AE$7-'Assumptions_&amp;_Inputs'!$I$80,'Assumptions_&amp;_Inputs'!$I$78*12,'Assumptions_&amp;_Inputs'!$I$74),0))*AE$10</f>
        <v>-16768.740913589125</v>
      </c>
      <c r="AF93" s="37">
        <f>(IF(AF$7&gt;'Assumptions_&amp;_Inputs'!$I$80,IPMT('Assumptions_&amp;_Inputs'!$I$76,AF$7-'Assumptions_&amp;_Inputs'!$I$80,'Assumptions_&amp;_Inputs'!$I$78*12,'Assumptions_&amp;_Inputs'!$I$74),0))*AF$10</f>
        <v>-16753.154173374212</v>
      </c>
      <c r="AG93" s="37">
        <f>(IF(AG$7&gt;'Assumptions_&amp;_Inputs'!$I$80,IPMT('Assumptions_&amp;_Inputs'!$I$76,AG$7-'Assumptions_&amp;_Inputs'!$I$80,'Assumptions_&amp;_Inputs'!$I$78*12,'Assumptions_&amp;_Inputs'!$I$74),0))*AG$10</f>
        <v>-16737.503930850282</v>
      </c>
      <c r="AH93" s="37">
        <f>(IF(AH$7&gt;'Assumptions_&amp;_Inputs'!$I$80,IPMT('Assumptions_&amp;_Inputs'!$I$76,AH$7-'Assumptions_&amp;_Inputs'!$I$80,'Assumptions_&amp;_Inputs'!$I$78*12,'Assumptions_&amp;_Inputs'!$I$74),0))*AH$10</f>
        <v>-16721.789927301059</v>
      </c>
      <c r="AI93" s="37">
        <f>(IF(AI$7&gt;'Assumptions_&amp;_Inputs'!$I$80,IPMT('Assumptions_&amp;_Inputs'!$I$76,AI$7-'Assumptions_&amp;_Inputs'!$I$80,'Assumptions_&amp;_Inputs'!$I$78*12,'Assumptions_&amp;_Inputs'!$I$74),0))*AI$10</f>
        <v>-16706.011902956245</v>
      </c>
      <c r="AJ93" s="37">
        <f>(IF(AJ$7&gt;'Assumptions_&amp;_Inputs'!$I$80,IPMT('Assumptions_&amp;_Inputs'!$I$76,AJ$7-'Assumptions_&amp;_Inputs'!$I$80,'Assumptions_&amp;_Inputs'!$I$78*12,'Assumptions_&amp;_Inputs'!$I$74),0))*AJ$10</f>
        <v>-16690.169596987187</v>
      </c>
      <c r="AK93" s="37">
        <f>(IF(AK$7&gt;'Assumptions_&amp;_Inputs'!$I$80,IPMT('Assumptions_&amp;_Inputs'!$I$76,AK$7-'Assumptions_&amp;_Inputs'!$I$80,'Assumptions_&amp;_Inputs'!$I$78*12,'Assumptions_&amp;_Inputs'!$I$74),0))*AK$10</f>
        <v>-16674.262747502595</v>
      </c>
      <c r="AL93" s="37">
        <f>(IF(AL$7&gt;'Assumptions_&amp;_Inputs'!$I$80,IPMT('Assumptions_&amp;_Inputs'!$I$76,AL$7-'Assumptions_&amp;_Inputs'!$I$80,'Assumptions_&amp;_Inputs'!$I$78*12,'Assumptions_&amp;_Inputs'!$I$74),0))*AL$10</f>
        <v>-16658.291091544193</v>
      </c>
      <c r="AM93" s="37">
        <f>(IF(AM$7&gt;'Assumptions_&amp;_Inputs'!$I$80,IPMT('Assumptions_&amp;_Inputs'!$I$76,AM$7-'Assumptions_&amp;_Inputs'!$I$80,'Assumptions_&amp;_Inputs'!$I$78*12,'Assumptions_&amp;_Inputs'!$I$74),0))*AM$10</f>
        <v>-16642.254365082383</v>
      </c>
      <c r="AN93" s="37">
        <f>(IF(AN$7&gt;'Assumptions_&amp;_Inputs'!$I$80,IPMT('Assumptions_&amp;_Inputs'!$I$76,AN$7-'Assumptions_&amp;_Inputs'!$I$80,'Assumptions_&amp;_Inputs'!$I$78*12,'Assumptions_&amp;_Inputs'!$I$74),0))*AN$10</f>
        <v>-16626.152303011888</v>
      </c>
      <c r="AO93" s="37">
        <f>(IF(AO$7&gt;'Assumptions_&amp;_Inputs'!$I$80,IPMT('Assumptions_&amp;_Inputs'!$I$76,AO$7-'Assumptions_&amp;_Inputs'!$I$80,'Assumptions_&amp;_Inputs'!$I$78*12,'Assumptions_&amp;_Inputs'!$I$74),0))*AO$10</f>
        <v>-16609.984639147344</v>
      </c>
      <c r="AP93" s="37">
        <f>(IF(AP$7&gt;'Assumptions_&amp;_Inputs'!$I$80,IPMT('Assumptions_&amp;_Inputs'!$I$76,AP$7-'Assumptions_&amp;_Inputs'!$I$80,'Assumptions_&amp;_Inputs'!$I$78*12,'Assumptions_&amp;_Inputs'!$I$74),0))*AP$10</f>
        <v>-16593.751106218926</v>
      </c>
      <c r="AQ93" s="37">
        <f>(IF(AQ$7&gt;'Assumptions_&amp;_Inputs'!$I$80,IPMT('Assumptions_&amp;_Inputs'!$I$76,AQ$7-'Assumptions_&amp;_Inputs'!$I$80,'Assumptions_&amp;_Inputs'!$I$78*12,'Assumptions_&amp;_Inputs'!$I$74),0))*AQ$10</f>
        <v>-16577.451435867908</v>
      </c>
      <c r="AR93" s="37">
        <f>(IF(AR$7&gt;'Assumptions_&amp;_Inputs'!$I$80,IPMT('Assumptions_&amp;_Inputs'!$I$76,AR$7-'Assumptions_&amp;_Inputs'!$I$80,'Assumptions_&amp;_Inputs'!$I$78*12,'Assumptions_&amp;_Inputs'!$I$74),0))*AR$10</f>
        <v>-16561.085358642249</v>
      </c>
      <c r="AS93" s="37">
        <f>(IF(AS$7&gt;'Assumptions_&amp;_Inputs'!$I$80,IPMT('Assumptions_&amp;_Inputs'!$I$76,AS$7-'Assumptions_&amp;_Inputs'!$I$80,'Assumptions_&amp;_Inputs'!$I$78*12,'Assumptions_&amp;_Inputs'!$I$74),0))*AS$10</f>
        <v>-16544.652603992119</v>
      </c>
      <c r="AT93" s="37">
        <f>(IF(AT$7&gt;'Assumptions_&amp;_Inputs'!$I$80,IPMT('Assumptions_&amp;_Inputs'!$I$76,AT$7-'Assumptions_&amp;_Inputs'!$I$80,'Assumptions_&amp;_Inputs'!$I$78*12,'Assumptions_&amp;_Inputs'!$I$74),0))*AT$10</f>
        <v>-16528.152900265439</v>
      </c>
      <c r="AU93" s="37">
        <f>(IF(AU$7&gt;'Assumptions_&amp;_Inputs'!$I$80,IPMT('Assumptions_&amp;_Inputs'!$I$76,AU$7-'Assumptions_&amp;_Inputs'!$I$80,'Assumptions_&amp;_Inputs'!$I$78*12,'Assumptions_&amp;_Inputs'!$I$74),0))*AU$10</f>
        <v>-16511.585974703383</v>
      </c>
      <c r="AV93" s="37">
        <f>(IF(AV$7&gt;'Assumptions_&amp;_Inputs'!$I$80,IPMT('Assumptions_&amp;_Inputs'!$I$76,AV$7-'Assumptions_&amp;_Inputs'!$I$80,'Assumptions_&amp;_Inputs'!$I$78*12,'Assumptions_&amp;_Inputs'!$I$74),0))*AV$10</f>
        <v>-16494.951553435872</v>
      </c>
      <c r="AW93" s="37">
        <f>(IF(AW$7&gt;'Assumptions_&amp;_Inputs'!$I$80,IPMT('Assumptions_&amp;_Inputs'!$I$76,AW$7-'Assumptions_&amp;_Inputs'!$I$80,'Assumptions_&amp;_Inputs'!$I$78*12,'Assumptions_&amp;_Inputs'!$I$74),0))*AW$10</f>
        <v>-16478.249361477046</v>
      </c>
      <c r="AX93" s="37">
        <f>(IF(AX$7&gt;'Assumptions_&amp;_Inputs'!$I$80,IPMT('Assumptions_&amp;_Inputs'!$I$76,AX$7-'Assumptions_&amp;_Inputs'!$I$80,'Assumptions_&amp;_Inputs'!$I$78*12,'Assumptions_&amp;_Inputs'!$I$74),0))*AX$10</f>
        <v>-16461.479122720728</v>
      </c>
      <c r="AY93" s="37">
        <f>(IF(AY$7&gt;'Assumptions_&amp;_Inputs'!$I$80,IPMT('Assumptions_&amp;_Inputs'!$I$76,AY$7-'Assumptions_&amp;_Inputs'!$I$80,'Assumptions_&amp;_Inputs'!$I$78*12,'Assumptions_&amp;_Inputs'!$I$74),0))*AY$10</f>
        <v>-16444.64055993583</v>
      </c>
      <c r="AZ93" s="37">
        <f>(IF(AZ$7&gt;'Assumptions_&amp;_Inputs'!$I$80,IPMT('Assumptions_&amp;_Inputs'!$I$76,AZ$7-'Assumptions_&amp;_Inputs'!$I$80,'Assumptions_&amp;_Inputs'!$I$78*12,'Assumptions_&amp;_Inputs'!$I$74),0))*AZ$10</f>
        <v>-16427.733394761806</v>
      </c>
      <c r="BA93" s="37">
        <f>(IF(BA$7&gt;'Assumptions_&amp;_Inputs'!$I$80,IPMT('Assumptions_&amp;_Inputs'!$I$76,BA$7-'Assumptions_&amp;_Inputs'!$I$80,'Assumptions_&amp;_Inputs'!$I$78*12,'Assumptions_&amp;_Inputs'!$I$74),0))*BA$10</f>
        <v>-16410.757347704035</v>
      </c>
      <c r="BB93" s="37">
        <f>(IF(BB$7&gt;'Assumptions_&amp;_Inputs'!$I$80,IPMT('Assumptions_&amp;_Inputs'!$I$76,BB$7-'Assumptions_&amp;_Inputs'!$I$80,'Assumptions_&amp;_Inputs'!$I$78*12,'Assumptions_&amp;_Inputs'!$I$74),0))*BB$10</f>
        <v>-16393.712138129194</v>
      </c>
      <c r="BC93" s="37">
        <f>(IF(BC$7&gt;'Assumptions_&amp;_Inputs'!$I$80,IPMT('Assumptions_&amp;_Inputs'!$I$76,BC$7-'Assumptions_&amp;_Inputs'!$I$80,'Assumptions_&amp;_Inputs'!$I$78*12,'Assumptions_&amp;_Inputs'!$I$74),0))*BC$10</f>
        <v>-16376.597484260628</v>
      </c>
      <c r="BD93" s="37">
        <f>(IF(BD$7&gt;'Assumptions_&amp;_Inputs'!$I$80,IPMT('Assumptions_&amp;_Inputs'!$I$76,BD$7-'Assumptions_&amp;_Inputs'!$I$80,'Assumptions_&amp;_Inputs'!$I$78*12,'Assumptions_&amp;_Inputs'!$I$74),0))*BD$10</f>
        <v>-16359.413103173687</v>
      </c>
      <c r="BE93" s="37">
        <f>(IF(BE$7&gt;'Assumptions_&amp;_Inputs'!$I$80,IPMT('Assumptions_&amp;_Inputs'!$I$76,BE$7-'Assumptions_&amp;_Inputs'!$I$80,'Assumptions_&amp;_Inputs'!$I$78*12,'Assumptions_&amp;_Inputs'!$I$74),0))*BE$10</f>
        <v>-16342.158710791051</v>
      </c>
      <c r="BF93" s="37">
        <f>(IF(BF$7&gt;'Assumptions_&amp;_Inputs'!$I$80,IPMT('Assumptions_&amp;_Inputs'!$I$76,BF$7-'Assumptions_&amp;_Inputs'!$I$80,'Assumptions_&amp;_Inputs'!$I$78*12,'Assumptions_&amp;_Inputs'!$I$74),0))*BF$10</f>
        <v>-16324.834021878038</v>
      </c>
      <c r="BG93" s="37">
        <f>(IF(BG$7&gt;'Assumptions_&amp;_Inputs'!$I$80,IPMT('Assumptions_&amp;_Inputs'!$I$76,BG$7-'Assumptions_&amp;_Inputs'!$I$80,'Assumptions_&amp;_Inputs'!$I$78*12,'Assumptions_&amp;_Inputs'!$I$74),0))*BG$10</f>
        <v>-16307.43875003788</v>
      </c>
      <c r="BH93" s="37">
        <f>(IF(BH$7&gt;'Assumptions_&amp;_Inputs'!$I$80,IPMT('Assumptions_&amp;_Inputs'!$I$76,BH$7-'Assumptions_&amp;_Inputs'!$I$80,'Assumptions_&amp;_Inputs'!$I$78*12,'Assumptions_&amp;_Inputs'!$I$74),0))*BH$10</f>
        <v>-16289.972607706992</v>
      </c>
      <c r="BI93" s="37">
        <f>(IF(BI$7&gt;'Assumptions_&amp;_Inputs'!$I$80,IPMT('Assumptions_&amp;_Inputs'!$I$76,BI$7-'Assumptions_&amp;_Inputs'!$I$80,'Assumptions_&amp;_Inputs'!$I$78*12,'Assumptions_&amp;_Inputs'!$I$74),0))*BI$10</f>
        <v>-16272.435306150226</v>
      </c>
      <c r="BJ93" s="37">
        <f>(IF(BJ$7&gt;'Assumptions_&amp;_Inputs'!$I$80,IPMT('Assumptions_&amp;_Inputs'!$I$76,BJ$7-'Assumptions_&amp;_Inputs'!$I$80,'Assumptions_&amp;_Inputs'!$I$78*12,'Assumptions_&amp;_Inputs'!$I$74),0))*BJ$10</f>
        <v>-16254.826555456088</v>
      </c>
      <c r="BK93" s="37">
        <f>(IF(BK$7&gt;'Assumptions_&amp;_Inputs'!$I$80,IPMT('Assumptions_&amp;_Inputs'!$I$76,BK$7-'Assumptions_&amp;_Inputs'!$I$80,'Assumptions_&amp;_Inputs'!$I$78*12,'Assumptions_&amp;_Inputs'!$I$74),0))*BK$10</f>
        <v>-16237.146064531948</v>
      </c>
      <c r="BL93" s="37">
        <f>(IF(BL$7&gt;'Assumptions_&amp;_Inputs'!$I$80,IPMT('Assumptions_&amp;_Inputs'!$I$76,BL$7-'Assumptions_&amp;_Inputs'!$I$80,'Assumptions_&amp;_Inputs'!$I$78*12,'Assumptions_&amp;_Inputs'!$I$74),0))*BL$10</f>
        <v>-16219.393541099224</v>
      </c>
      <c r="BM93" s="37">
        <f>(IF(BM$7&gt;'Assumptions_&amp;_Inputs'!$I$80,IPMT('Assumptions_&amp;_Inputs'!$I$76,BM$7-'Assumptions_&amp;_Inputs'!$I$80,'Assumptions_&amp;_Inputs'!$I$78*12,'Assumptions_&amp;_Inputs'!$I$74),0))*BM$10</f>
        <v>-16201.568691688564</v>
      </c>
      <c r="BN93" s="37">
        <f>(IF(BN$7&gt;'Assumptions_&amp;_Inputs'!$I$80,IPMT('Assumptions_&amp;_Inputs'!$I$76,BN$7-'Assumptions_&amp;_Inputs'!$I$80,'Assumptions_&amp;_Inputs'!$I$78*12,'Assumptions_&amp;_Inputs'!$I$74),0))*BN$10</f>
        <v>-16183.671221634981</v>
      </c>
      <c r="BO93" s="37">
        <f>(IF(BO$7&gt;'Assumptions_&amp;_Inputs'!$I$80,IPMT('Assumptions_&amp;_Inputs'!$I$76,BO$7-'Assumptions_&amp;_Inputs'!$I$80,'Assumptions_&amp;_Inputs'!$I$78*12,'Assumptions_&amp;_Inputs'!$I$74),0))*BO$10</f>
        <v>-16165.700835072988</v>
      </c>
      <c r="BP93" s="37">
        <f>(IF(BP$7&gt;'Assumptions_&amp;_Inputs'!$I$80,IPMT('Assumptions_&amp;_Inputs'!$I$76,BP$7-'Assumptions_&amp;_Inputs'!$I$80,'Assumptions_&amp;_Inputs'!$I$78*12,'Assumptions_&amp;_Inputs'!$I$74),0))*BP$10</f>
        <v>-16147.657234931696</v>
      </c>
      <c r="BQ93" s="37">
        <f>(IF(BQ$7&gt;'Assumptions_&amp;_Inputs'!$I$80,IPMT('Assumptions_&amp;_Inputs'!$I$76,BQ$7-'Assumptions_&amp;_Inputs'!$I$80,'Assumptions_&amp;_Inputs'!$I$78*12,'Assumptions_&amp;_Inputs'!$I$74),0))*BQ$10</f>
        <v>-16129.54012292993</v>
      </c>
      <c r="BR93" s="37">
        <f>(IF(BR$7&gt;'Assumptions_&amp;_Inputs'!$I$80,IPMT('Assumptions_&amp;_Inputs'!$I$76,BR$7-'Assumptions_&amp;_Inputs'!$I$80,'Assumptions_&amp;_Inputs'!$I$78*12,'Assumptions_&amp;_Inputs'!$I$74),0))*BR$10</f>
        <v>-16111.349199571263</v>
      </c>
      <c r="BS93" s="37">
        <f>(IF(BS$7&gt;'Assumptions_&amp;_Inputs'!$I$80,IPMT('Assumptions_&amp;_Inputs'!$I$76,BS$7-'Assumptions_&amp;_Inputs'!$I$80,'Assumptions_&amp;_Inputs'!$I$78*12,'Assumptions_&amp;_Inputs'!$I$74),0))*BS$10</f>
        <v>-16093.084164139098</v>
      </c>
      <c r="BT93" s="37">
        <f>(IF(BT$7&gt;'Assumptions_&amp;_Inputs'!$I$80,IPMT('Assumptions_&amp;_Inputs'!$I$76,BT$7-'Assumptions_&amp;_Inputs'!$I$80,'Assumptions_&amp;_Inputs'!$I$78*12,'Assumptions_&amp;_Inputs'!$I$74),0))*BT$10</f>
        <v>-16074.744714691666</v>
      </c>
      <c r="BU93" s="37">
        <f>(IF(BU$7&gt;'Assumptions_&amp;_Inputs'!$I$80,IPMT('Assumptions_&amp;_Inputs'!$I$76,BU$7-'Assumptions_&amp;_Inputs'!$I$80,'Assumptions_&amp;_Inputs'!$I$78*12,'Assumptions_&amp;_Inputs'!$I$74),0))*BU$10</f>
        <v>-16056.330548057065</v>
      </c>
      <c r="BV93" s="37">
        <f>(IF(BV$7&gt;'Assumptions_&amp;_Inputs'!$I$80,IPMT('Assumptions_&amp;_Inputs'!$I$76,BV$7-'Assumptions_&amp;_Inputs'!$I$80,'Assumptions_&amp;_Inputs'!$I$78*12,'Assumptions_&amp;_Inputs'!$I$74),0))*BV$10</f>
        <v>-16037.841359828217</v>
      </c>
      <c r="BW93" s="37">
        <f>(IF(BW$7&gt;'Assumptions_&amp;_Inputs'!$I$80,IPMT('Assumptions_&amp;_Inputs'!$I$76,BW$7-'Assumptions_&amp;_Inputs'!$I$80,'Assumptions_&amp;_Inputs'!$I$78*12,'Assumptions_&amp;_Inputs'!$I$74),0))*BW$10</f>
        <v>-16019.27684435787</v>
      </c>
      <c r="BX93" s="37">
        <f>(IF(BX$7&gt;'Assumptions_&amp;_Inputs'!$I$80,IPMT('Assumptions_&amp;_Inputs'!$I$76,BX$7-'Assumptions_&amp;_Inputs'!$I$80,'Assumptions_&amp;_Inputs'!$I$78*12,'Assumptions_&amp;_Inputs'!$I$74),0))*BX$10</f>
        <v>-16000.63669475351</v>
      </c>
      <c r="BY93" s="37">
        <f>(IF(BY$7&gt;'Assumptions_&amp;_Inputs'!$I$80,IPMT('Assumptions_&amp;_Inputs'!$I$76,BY$7-'Assumptions_&amp;_Inputs'!$I$80,'Assumptions_&amp;_Inputs'!$I$78*12,'Assumptions_&amp;_Inputs'!$I$74),0))*BY$10</f>
        <v>-15981.920602872318</v>
      </c>
      <c r="BZ93" s="37">
        <f>(IF(BZ$7&gt;'Assumptions_&amp;_Inputs'!$I$80,IPMT('Assumptions_&amp;_Inputs'!$I$76,BZ$7-'Assumptions_&amp;_Inputs'!$I$80,'Assumptions_&amp;_Inputs'!$I$78*12,'Assumptions_&amp;_Inputs'!$I$74),0))*BZ$10</f>
        <v>-15963.128259316056</v>
      </c>
      <c r="CA93" s="37">
        <f>(IF(CA$7&gt;'Assumptions_&amp;_Inputs'!$I$80,IPMT('Assumptions_&amp;_Inputs'!$I$76,CA$7-'Assumptions_&amp;_Inputs'!$I$80,'Assumptions_&amp;_Inputs'!$I$78*12,'Assumptions_&amp;_Inputs'!$I$74),0))*CA$10</f>
        <v>-15944.259353425963</v>
      </c>
      <c r="CB93" s="37">
        <f>(IF(CB$7&gt;'Assumptions_&amp;_Inputs'!$I$80,IPMT('Assumptions_&amp;_Inputs'!$I$76,CB$7-'Assumptions_&amp;_Inputs'!$I$80,'Assumptions_&amp;_Inputs'!$I$78*12,'Assumptions_&amp;_Inputs'!$I$74),0))*CB$10</f>
        <v>-15925.313573277605</v>
      </c>
      <c r="CC93" s="37">
        <f>(IF(CC$7&gt;'Assumptions_&amp;_Inputs'!$I$80,IPMT('Assumptions_&amp;_Inputs'!$I$76,CC$7-'Assumptions_&amp;_Inputs'!$I$80,'Assumptions_&amp;_Inputs'!$I$78*12,'Assumptions_&amp;_Inputs'!$I$74),0))*CC$10</f>
        <v>-15906.290605675751</v>
      </c>
      <c r="CD93" s="37">
        <f>(IF(CD$7&gt;'Assumptions_&amp;_Inputs'!$I$80,IPMT('Assumptions_&amp;_Inputs'!$I$76,CD$7-'Assumptions_&amp;_Inputs'!$I$80,'Assumptions_&amp;_Inputs'!$I$78*12,'Assumptions_&amp;_Inputs'!$I$74),0))*CD$10</f>
        <v>-15887.190136149151</v>
      </c>
      <c r="CE93" s="37">
        <f>(IF(CE$7&gt;'Assumptions_&amp;_Inputs'!$I$80,IPMT('Assumptions_&amp;_Inputs'!$I$76,CE$7-'Assumptions_&amp;_Inputs'!$I$80,'Assumptions_&amp;_Inputs'!$I$78*12,'Assumptions_&amp;_Inputs'!$I$74),0))*CE$10</f>
        <v>-15868.011848945378</v>
      </c>
      <c r="CF93" s="37">
        <f>(IF(CF$7&gt;'Assumptions_&amp;_Inputs'!$I$80,IPMT('Assumptions_&amp;_Inputs'!$I$76,CF$7-'Assumptions_&amp;_Inputs'!$I$80,'Assumptions_&amp;_Inputs'!$I$78*12,'Assumptions_&amp;_Inputs'!$I$74),0))*CF$10</f>
        <v>-15848.755427025575</v>
      </c>
      <c r="CG93" s="37">
        <f>(IF(CG$7&gt;'Assumptions_&amp;_Inputs'!$I$80,IPMT('Assumptions_&amp;_Inputs'!$I$76,CG$7-'Assumptions_&amp;_Inputs'!$I$80,'Assumptions_&amp;_Inputs'!$I$78*12,'Assumptions_&amp;_Inputs'!$I$74),0))*CG$10</f>
        <v>-15829.42055205924</v>
      </c>
      <c r="CH93" s="37">
        <f>(IF(CH$7&gt;'Assumptions_&amp;_Inputs'!$I$80,IPMT('Assumptions_&amp;_Inputs'!$I$76,CH$7-'Assumptions_&amp;_Inputs'!$I$80,'Assumptions_&amp;_Inputs'!$I$78*12,'Assumptions_&amp;_Inputs'!$I$74),0))*CH$10</f>
        <v>-15810.006904418955</v>
      </c>
      <c r="CI93" s="37">
        <f>(IF(CI$7&gt;'Assumptions_&amp;_Inputs'!$I$80,IPMT('Assumptions_&amp;_Inputs'!$I$76,CI$7-'Assumptions_&amp;_Inputs'!$I$80,'Assumptions_&amp;_Inputs'!$I$78*12,'Assumptions_&amp;_Inputs'!$I$74),0))*CI$10</f>
        <v>-15790.514163175087</v>
      </c>
      <c r="CJ93" s="37">
        <f>(IF(CJ$7&gt;'Assumptions_&amp;_Inputs'!$I$80,IPMT('Assumptions_&amp;_Inputs'!$I$76,CJ$7-'Assumptions_&amp;_Inputs'!$I$80,'Assumptions_&amp;_Inputs'!$I$78*12,'Assumptions_&amp;_Inputs'!$I$74),0))*CJ$10</f>
        <v>-15770.942006090512</v>
      </c>
      <c r="CK93" s="37">
        <f>(IF(CK$7&gt;'Assumptions_&amp;_Inputs'!$I$80,IPMT('Assumptions_&amp;_Inputs'!$I$76,CK$7-'Assumptions_&amp;_Inputs'!$I$80,'Assumptions_&amp;_Inputs'!$I$78*12,'Assumptions_&amp;_Inputs'!$I$74),0))*CK$10</f>
        <v>-15751.29010961526</v>
      </c>
      <c r="CL93" s="37">
        <f>(IF(CL$7&gt;'Assumptions_&amp;_Inputs'!$I$80,IPMT('Assumptions_&amp;_Inputs'!$I$76,CL$7-'Assumptions_&amp;_Inputs'!$I$80,'Assumptions_&amp;_Inputs'!$I$78*12,'Assumptions_&amp;_Inputs'!$I$74),0))*CL$10</f>
        <v>-15731.558148881182</v>
      </c>
      <c r="CM93" s="37">
        <f>(IF(CM$7&gt;'Assumptions_&amp;_Inputs'!$I$80,IPMT('Assumptions_&amp;_Inputs'!$I$76,CM$7-'Assumptions_&amp;_Inputs'!$I$80,'Assumptions_&amp;_Inputs'!$I$78*12,'Assumptions_&amp;_Inputs'!$I$74),0))*CM$10</f>
        <v>-15711.745797696583</v>
      </c>
      <c r="CN93" s="37">
        <f>(IF(CN$7&gt;'Assumptions_&amp;_Inputs'!$I$80,IPMT('Assumptions_&amp;_Inputs'!$I$76,CN$7-'Assumptions_&amp;_Inputs'!$I$80,'Assumptions_&amp;_Inputs'!$I$78*12,'Assumptions_&amp;_Inputs'!$I$74),0))*CN$10</f>
        <v>-15691.852728540811</v>
      </c>
      <c r="CO93" s="37">
        <f>(IF(CO$7&gt;'Assumptions_&amp;_Inputs'!$I$80,IPMT('Assumptions_&amp;_Inputs'!$I$76,CO$7-'Assumptions_&amp;_Inputs'!$I$80,'Assumptions_&amp;_Inputs'!$I$78*12,'Assumptions_&amp;_Inputs'!$I$74),0))*CO$10</f>
        <v>-15671.878612558863</v>
      </c>
      <c r="CP93" s="37">
        <f>(IF(CP$7&gt;'Assumptions_&amp;_Inputs'!$I$80,IPMT('Assumptions_&amp;_Inputs'!$I$76,CP$7-'Assumptions_&amp;_Inputs'!$I$80,'Assumptions_&amp;_Inputs'!$I$78*12,'Assumptions_&amp;_Inputs'!$I$74),0))*CP$10</f>
        <v>-15651.823119555937</v>
      </c>
      <c r="CQ93" s="37">
        <f>(IF(CQ$7&gt;'Assumptions_&amp;_Inputs'!$I$80,IPMT('Assumptions_&amp;_Inputs'!$I$76,CQ$7-'Assumptions_&amp;_Inputs'!$I$80,'Assumptions_&amp;_Inputs'!$I$78*12,'Assumptions_&amp;_Inputs'!$I$74),0))*CQ$10</f>
        <v>-15631.685917991972</v>
      </c>
      <c r="CR93" s="37">
        <f>(IF(CR$7&gt;'Assumptions_&amp;_Inputs'!$I$80,IPMT('Assumptions_&amp;_Inputs'!$I$76,CR$7-'Assumptions_&amp;_Inputs'!$I$80,'Assumptions_&amp;_Inputs'!$I$78*12,'Assumptions_&amp;_Inputs'!$I$74),0))*CR$10</f>
        <v>-15611.46667497618</v>
      </c>
      <c r="CS93" s="37">
        <f>(IF(CS$7&gt;'Assumptions_&amp;_Inputs'!$I$80,IPMT('Assumptions_&amp;_Inputs'!$I$76,CS$7-'Assumptions_&amp;_Inputs'!$I$80,'Assumptions_&amp;_Inputs'!$I$78*12,'Assumptions_&amp;_Inputs'!$I$74),0))*CS$10</f>
        <v>-15591.16505626153</v>
      </c>
      <c r="CT93" s="37">
        <f>(IF(CT$7&gt;'Assumptions_&amp;_Inputs'!$I$80,IPMT('Assumptions_&amp;_Inputs'!$I$76,CT$7-'Assumptions_&amp;_Inputs'!$I$80,'Assumptions_&amp;_Inputs'!$I$78*12,'Assumptions_&amp;_Inputs'!$I$74),0))*CT$10</f>
        <v>-15570.780726239227</v>
      </c>
      <c r="CU93" s="37">
        <f>(IF(CU$7&gt;'Assumptions_&amp;_Inputs'!$I$80,IPMT('Assumptions_&amp;_Inputs'!$I$76,CU$7-'Assumptions_&amp;_Inputs'!$I$80,'Assumptions_&amp;_Inputs'!$I$78*12,'Assumptions_&amp;_Inputs'!$I$74),0))*CU$10</f>
        <v>-15550.313347933166</v>
      </c>
      <c r="CV93" s="37">
        <f>(IF(CV$7&gt;'Assumptions_&amp;_Inputs'!$I$80,IPMT('Assumptions_&amp;_Inputs'!$I$76,CV$7-'Assumptions_&amp;_Inputs'!$I$80,'Assumptions_&amp;_Inputs'!$I$78*12,'Assumptions_&amp;_Inputs'!$I$74),0))*CV$10</f>
        <v>-15529.762582994361</v>
      </c>
      <c r="CW93" s="37">
        <f>(IF(CW$7&gt;'Assumptions_&amp;_Inputs'!$I$80,IPMT('Assumptions_&amp;_Inputs'!$I$76,CW$7-'Assumptions_&amp;_Inputs'!$I$80,'Assumptions_&amp;_Inputs'!$I$78*12,'Assumptions_&amp;_Inputs'!$I$74),0))*CW$10</f>
        <v>-15509.128091695347</v>
      </c>
      <c r="CX93" s="37">
        <f>(IF(CX$7&gt;'Assumptions_&amp;_Inputs'!$I$80,IPMT('Assumptions_&amp;_Inputs'!$I$76,CX$7-'Assumptions_&amp;_Inputs'!$I$80,'Assumptions_&amp;_Inputs'!$I$78*12,'Assumptions_&amp;_Inputs'!$I$74),0))*CX$10</f>
        <v>-15488.409532924567</v>
      </c>
      <c r="CY93" s="37">
        <f>(IF(CY$7&gt;'Assumptions_&amp;_Inputs'!$I$80,IPMT('Assumptions_&amp;_Inputs'!$I$76,CY$7-'Assumptions_&amp;_Inputs'!$I$80,'Assumptions_&amp;_Inputs'!$I$78*12,'Assumptions_&amp;_Inputs'!$I$74),0))*CY$10</f>
        <v>-15467.606564180738</v>
      </c>
      <c r="CZ93" s="37">
        <f>(IF(CZ$7&gt;'Assumptions_&amp;_Inputs'!$I$80,IPMT('Assumptions_&amp;_Inputs'!$I$76,CZ$7-'Assumptions_&amp;_Inputs'!$I$80,'Assumptions_&amp;_Inputs'!$I$78*12,'Assumptions_&amp;_Inputs'!$I$74),0))*CZ$10</f>
        <v>-15446.718841567177</v>
      </c>
      <c r="DA93" s="37">
        <f>(IF(DA$7&gt;'Assumptions_&amp;_Inputs'!$I$80,IPMT('Assumptions_&amp;_Inputs'!$I$76,DA$7-'Assumptions_&amp;_Inputs'!$I$80,'Assumptions_&amp;_Inputs'!$I$78*12,'Assumptions_&amp;_Inputs'!$I$74),0))*DA$10</f>
        <v>-15425.746019786131</v>
      </c>
      <c r="DB93" s="37">
        <f>(IF(DB$7&gt;'Assumptions_&amp;_Inputs'!$I$80,IPMT('Assumptions_&amp;_Inputs'!$I$76,DB$7-'Assumptions_&amp;_Inputs'!$I$80,'Assumptions_&amp;_Inputs'!$I$78*12,'Assumptions_&amp;_Inputs'!$I$74),0))*DB$10</f>
        <v>-15404.687752133057</v>
      </c>
      <c r="DC93" s="37">
        <f>(IF(DC$7&gt;'Assumptions_&amp;_Inputs'!$I$80,IPMT('Assumptions_&amp;_Inputs'!$I$76,DC$7-'Assumptions_&amp;_Inputs'!$I$80,'Assumptions_&amp;_Inputs'!$I$78*12,'Assumptions_&amp;_Inputs'!$I$74),0))*DC$10</f>
        <v>-15383.543690490897</v>
      </c>
      <c r="DD93" s="37">
        <f>(IF(DD$7&gt;'Assumptions_&amp;_Inputs'!$I$80,IPMT('Assumptions_&amp;_Inputs'!$I$76,DD$7-'Assumptions_&amp;_Inputs'!$I$80,'Assumptions_&amp;_Inputs'!$I$78*12,'Assumptions_&amp;_Inputs'!$I$74),0))*DD$10</f>
        <v>-15362.313485324312</v>
      </c>
      <c r="DE93" s="37">
        <f>(IF(DE$7&gt;'Assumptions_&amp;_Inputs'!$I$80,IPMT('Assumptions_&amp;_Inputs'!$I$76,DE$7-'Assumptions_&amp;_Inputs'!$I$80,'Assumptions_&amp;_Inputs'!$I$78*12,'Assumptions_&amp;_Inputs'!$I$74),0))*DE$10</f>
        <v>-15340.996785673929</v>
      </c>
      <c r="DF93" s="37">
        <f>(IF(DF$7&gt;'Assumptions_&amp;_Inputs'!$I$80,IPMT('Assumptions_&amp;_Inputs'!$I$76,DF$7-'Assumptions_&amp;_Inputs'!$I$80,'Assumptions_&amp;_Inputs'!$I$78*12,'Assumptions_&amp;_Inputs'!$I$74),0))*DF$10</f>
        <v>-15319.593239150514</v>
      </c>
      <c r="DG93" s="37">
        <f>(IF(DG$7&gt;'Assumptions_&amp;_Inputs'!$I$80,IPMT('Assumptions_&amp;_Inputs'!$I$76,DG$7-'Assumptions_&amp;_Inputs'!$I$80,'Assumptions_&amp;_Inputs'!$I$78*12,'Assumptions_&amp;_Inputs'!$I$74),0))*DG$10</f>
        <v>-15298.10249192915</v>
      </c>
      <c r="DH93" s="37">
        <f>(IF(DH$7&gt;'Assumptions_&amp;_Inputs'!$I$80,IPMT('Assumptions_&amp;_Inputs'!$I$76,DH$7-'Assumptions_&amp;_Inputs'!$I$80,'Assumptions_&amp;_Inputs'!$I$78*12,'Assumptions_&amp;_Inputs'!$I$74),0))*DH$10</f>
        <v>-15276.524188743404</v>
      </c>
      <c r="DI93" s="37">
        <f>(IF(DI$7&gt;'Assumptions_&amp;_Inputs'!$I$80,IPMT('Assumptions_&amp;_Inputs'!$I$76,DI$7-'Assumptions_&amp;_Inputs'!$I$80,'Assumptions_&amp;_Inputs'!$I$78*12,'Assumptions_&amp;_Inputs'!$I$74),0))*DI$10</f>
        <v>-15254.857972879439</v>
      </c>
      <c r="DJ93" s="37">
        <f>(IF(DJ$7&gt;'Assumptions_&amp;_Inputs'!$I$80,IPMT('Assumptions_&amp;_Inputs'!$I$76,DJ$7-'Assumptions_&amp;_Inputs'!$I$80,'Assumptions_&amp;_Inputs'!$I$78*12,'Assumptions_&amp;_Inputs'!$I$74),0))*DJ$10</f>
        <v>-15233.103486170121</v>
      </c>
      <c r="DK93" s="37">
        <f>(IF(DK$7&gt;'Assumptions_&amp;_Inputs'!$I$80,IPMT('Assumptions_&amp;_Inputs'!$I$76,DK$7-'Assumptions_&amp;_Inputs'!$I$80,'Assumptions_&amp;_Inputs'!$I$78*12,'Assumptions_&amp;_Inputs'!$I$74),0))*DK$10</f>
        <v>-15211.260368989098</v>
      </c>
      <c r="DL93" s="37">
        <f>(IF(DL$7&gt;'Assumptions_&amp;_Inputs'!$I$80,IPMT('Assumptions_&amp;_Inputs'!$I$76,DL$7-'Assumptions_&amp;_Inputs'!$I$80,'Assumptions_&amp;_Inputs'!$I$78*12,'Assumptions_&amp;_Inputs'!$I$74),0))*DL$10</f>
        <v>-15189.32826024486</v>
      </c>
      <c r="DM93" s="37">
        <f>(IF(DM$7&gt;'Assumptions_&amp;_Inputs'!$I$80,IPMT('Assumptions_&amp;_Inputs'!$I$76,DM$7-'Assumptions_&amp;_Inputs'!$I$80,'Assumptions_&amp;_Inputs'!$I$78*12,'Assumptions_&amp;_Inputs'!$I$74),0))*DM$10</f>
        <v>-15167.306797374762</v>
      </c>
      <c r="DN93" s="37">
        <f>(IF(DN$7&gt;'Assumptions_&amp;_Inputs'!$I$80,IPMT('Assumptions_&amp;_Inputs'!$I$76,DN$7-'Assumptions_&amp;_Inputs'!$I$80,'Assumptions_&amp;_Inputs'!$I$78*12,'Assumptions_&amp;_Inputs'!$I$74),0))*DN$10</f>
        <v>-15145.195616339031</v>
      </c>
      <c r="DO93" s="37">
        <f>(IF(DO$7&gt;'Assumptions_&amp;_Inputs'!$I$80,IPMT('Assumptions_&amp;_Inputs'!$I$76,DO$7-'Assumptions_&amp;_Inputs'!$I$80,'Assumptions_&amp;_Inputs'!$I$78*12,'Assumptions_&amp;_Inputs'!$I$74),0))*DO$10</f>
        <v>-15122.994351614761</v>
      </c>
      <c r="DP93" s="37">
        <f>(IF(DP$7&gt;'Assumptions_&amp;_Inputs'!$I$80,IPMT('Assumptions_&amp;_Inputs'!$I$76,DP$7-'Assumptions_&amp;_Inputs'!$I$80,'Assumptions_&amp;_Inputs'!$I$78*12,'Assumptions_&amp;_Inputs'!$I$74),0))*DP$10</f>
        <v>-15100.702636189852</v>
      </c>
      <c r="DQ93" s="37">
        <f>(IF(DQ$7&gt;'Assumptions_&amp;_Inputs'!$I$80,IPMT('Assumptions_&amp;_Inputs'!$I$76,DQ$7-'Assumptions_&amp;_Inputs'!$I$80,'Assumptions_&amp;_Inputs'!$I$78*12,'Assumptions_&amp;_Inputs'!$I$74),0))*DQ$10</f>
        <v>-15078.320101556952</v>
      </c>
      <c r="DR93" s="37">
        <f>(IF(DR$7&gt;'Assumptions_&amp;_Inputs'!$I$80,IPMT('Assumptions_&amp;_Inputs'!$I$76,DR$7-'Assumptions_&amp;_Inputs'!$I$80,'Assumptions_&amp;_Inputs'!$I$78*12,'Assumptions_&amp;_Inputs'!$I$74),0))*DR$10</f>
        <v>-15055.846377707365</v>
      </c>
      <c r="DS93" s="37">
        <f>(IF(DS$7&gt;'Assumptions_&amp;_Inputs'!$I$80,IPMT('Assumptions_&amp;_Inputs'!$I$76,DS$7-'Assumptions_&amp;_Inputs'!$I$80,'Assumptions_&amp;_Inputs'!$I$78*12,'Assumptions_&amp;_Inputs'!$I$74),0))*DS$10</f>
        <v>-15033.281093124933</v>
      </c>
      <c r="DT93" s="37">
        <f>(IF(DT$7&gt;'Assumptions_&amp;_Inputs'!$I$80,IPMT('Assumptions_&amp;_Inputs'!$I$76,DT$7-'Assumptions_&amp;_Inputs'!$I$80,'Assumptions_&amp;_Inputs'!$I$78*12,'Assumptions_&amp;_Inputs'!$I$74),0))*DT$10</f>
        <v>-15010.6238747799</v>
      </c>
      <c r="DU93" s="37">
        <f>(IF(DU$7&gt;'Assumptions_&amp;_Inputs'!$I$80,IPMT('Assumptions_&amp;_Inputs'!$I$76,DU$7-'Assumptions_&amp;_Inputs'!$I$80,'Assumptions_&amp;_Inputs'!$I$78*12,'Assumptions_&amp;_Inputs'!$I$74),0))*DU$10</f>
        <v>-14987.874348122734</v>
      </c>
      <c r="DV93" s="37">
        <f>(IF(DV$7&gt;'Assumptions_&amp;_Inputs'!$I$80,IPMT('Assumptions_&amp;_Inputs'!$I$76,DV$7-'Assumptions_&amp;_Inputs'!$I$80,'Assumptions_&amp;_Inputs'!$I$78*12,'Assumptions_&amp;_Inputs'!$I$74),0))*DV$10</f>
        <v>-14965.032137077951</v>
      </c>
      <c r="DW93" s="37">
        <f>(IF(DW$7&gt;'Assumptions_&amp;_Inputs'!$I$80,IPMT('Assumptions_&amp;_Inputs'!$I$76,DW$7-'Assumptions_&amp;_Inputs'!$I$80,'Assumptions_&amp;_Inputs'!$I$78*12,'Assumptions_&amp;_Inputs'!$I$74),0))*DW$10</f>
        <v>0</v>
      </c>
      <c r="DX93" s="37">
        <f>(IF(DX$7&gt;'Assumptions_&amp;_Inputs'!$I$80,IPMT('Assumptions_&amp;_Inputs'!$I$76,DX$7-'Assumptions_&amp;_Inputs'!$I$80,'Assumptions_&amp;_Inputs'!$I$78*12,'Assumptions_&amp;_Inputs'!$I$74),0))*DX$10</f>
        <v>0</v>
      </c>
      <c r="DY93" s="37">
        <f>(IF(DY$7&gt;'Assumptions_&amp;_Inputs'!$I$80,IPMT('Assumptions_&amp;_Inputs'!$I$76,DY$7-'Assumptions_&amp;_Inputs'!$I$80,'Assumptions_&amp;_Inputs'!$I$78*12,'Assumptions_&amp;_Inputs'!$I$74),0))*DY$10</f>
        <v>0</v>
      </c>
      <c r="DZ93" s="37">
        <f>(IF(DZ$7&gt;'Assumptions_&amp;_Inputs'!$I$80,IPMT('Assumptions_&amp;_Inputs'!$I$76,DZ$7-'Assumptions_&amp;_Inputs'!$I$80,'Assumptions_&amp;_Inputs'!$I$78*12,'Assumptions_&amp;_Inputs'!$I$74),0))*DZ$10</f>
        <v>0</v>
      </c>
      <c r="EA93" s="37">
        <f>(IF(EA$7&gt;'Assumptions_&amp;_Inputs'!$I$80,IPMT('Assumptions_&amp;_Inputs'!$I$76,EA$7-'Assumptions_&amp;_Inputs'!$I$80,'Assumptions_&amp;_Inputs'!$I$78*12,'Assumptions_&amp;_Inputs'!$I$74),0))*EA$10</f>
        <v>0</v>
      </c>
      <c r="EB93" s="37">
        <f>(IF(EB$7&gt;'Assumptions_&amp;_Inputs'!$I$80,IPMT('Assumptions_&amp;_Inputs'!$I$76,EB$7-'Assumptions_&amp;_Inputs'!$I$80,'Assumptions_&amp;_Inputs'!$I$78*12,'Assumptions_&amp;_Inputs'!$I$74),0))*EB$10</f>
        <v>0</v>
      </c>
      <c r="EC93" s="37">
        <f>(IF(EC$7&gt;'Assumptions_&amp;_Inputs'!$I$80,IPMT('Assumptions_&amp;_Inputs'!$I$76,EC$7-'Assumptions_&amp;_Inputs'!$I$80,'Assumptions_&amp;_Inputs'!$I$78*12,'Assumptions_&amp;_Inputs'!$I$74),0))*EC$10</f>
        <v>0</v>
      </c>
      <c r="ED93" s="37">
        <f>(IF(ED$7&gt;'Assumptions_&amp;_Inputs'!$I$80,IPMT('Assumptions_&amp;_Inputs'!$I$76,ED$7-'Assumptions_&amp;_Inputs'!$I$80,'Assumptions_&amp;_Inputs'!$I$78*12,'Assumptions_&amp;_Inputs'!$I$74),0))*ED$10</f>
        <v>0</v>
      </c>
      <c r="EE93" s="37">
        <f>(IF(EE$7&gt;'Assumptions_&amp;_Inputs'!$I$80,IPMT('Assumptions_&amp;_Inputs'!$I$76,EE$7-'Assumptions_&amp;_Inputs'!$I$80,'Assumptions_&amp;_Inputs'!$I$78*12,'Assumptions_&amp;_Inputs'!$I$74),0))*EE$10</f>
        <v>0</v>
      </c>
      <c r="EF93" s="37">
        <f>(IF(EF$7&gt;'Assumptions_&amp;_Inputs'!$I$80,IPMT('Assumptions_&amp;_Inputs'!$I$76,EF$7-'Assumptions_&amp;_Inputs'!$I$80,'Assumptions_&amp;_Inputs'!$I$78*12,'Assumptions_&amp;_Inputs'!$I$74),0))*EF$10</f>
        <v>0</v>
      </c>
      <c r="EG93" s="37">
        <f>(IF(EG$7&gt;'Assumptions_&amp;_Inputs'!$I$80,IPMT('Assumptions_&amp;_Inputs'!$I$76,EG$7-'Assumptions_&amp;_Inputs'!$I$80,'Assumptions_&amp;_Inputs'!$I$78*12,'Assumptions_&amp;_Inputs'!$I$74),0))*EG$10</f>
        <v>0</v>
      </c>
      <c r="EH93" s="37">
        <f>(IF(EH$7&gt;'Assumptions_&amp;_Inputs'!$I$80,IPMT('Assumptions_&amp;_Inputs'!$I$76,EH$7-'Assumptions_&amp;_Inputs'!$I$80,'Assumptions_&amp;_Inputs'!$I$78*12,'Assumptions_&amp;_Inputs'!$I$74),0))*EH$10</f>
        <v>0</v>
      </c>
      <c r="EI93" s="37">
        <f>(IF(EI$7&gt;'Assumptions_&amp;_Inputs'!$I$80,IPMT('Assumptions_&amp;_Inputs'!$I$76,EI$7-'Assumptions_&amp;_Inputs'!$I$80,'Assumptions_&amp;_Inputs'!$I$78*12,'Assumptions_&amp;_Inputs'!$I$74),0))*EI$10</f>
        <v>0</v>
      </c>
      <c r="EJ93" s="37">
        <f>(IF(EJ$7&gt;'Assumptions_&amp;_Inputs'!$I$80,IPMT('Assumptions_&amp;_Inputs'!$I$76,EJ$7-'Assumptions_&amp;_Inputs'!$I$80,'Assumptions_&amp;_Inputs'!$I$78*12,'Assumptions_&amp;_Inputs'!$I$74),0))*EJ$10</f>
        <v>0</v>
      </c>
      <c r="EK93" s="37">
        <f>(IF(EK$7&gt;'Assumptions_&amp;_Inputs'!$I$80,IPMT('Assumptions_&amp;_Inputs'!$I$76,EK$7-'Assumptions_&amp;_Inputs'!$I$80,'Assumptions_&amp;_Inputs'!$I$78*12,'Assumptions_&amp;_Inputs'!$I$74),0))*EK$10</f>
        <v>0</v>
      </c>
      <c r="EL93" s="37">
        <f>(IF(EL$7&gt;'Assumptions_&amp;_Inputs'!$I$80,IPMT('Assumptions_&amp;_Inputs'!$I$76,EL$7-'Assumptions_&amp;_Inputs'!$I$80,'Assumptions_&amp;_Inputs'!$I$78*12,'Assumptions_&amp;_Inputs'!$I$74),0))*EL$10</f>
        <v>0</v>
      </c>
      <c r="EM93" s="37">
        <f>(IF(EM$7&gt;'Assumptions_&amp;_Inputs'!$I$80,IPMT('Assumptions_&amp;_Inputs'!$I$76,EM$7-'Assumptions_&amp;_Inputs'!$I$80,'Assumptions_&amp;_Inputs'!$I$78*12,'Assumptions_&amp;_Inputs'!$I$74),0))*EM$10</f>
        <v>0</v>
      </c>
      <c r="EN93" s="37">
        <f>(IF(EN$7&gt;'Assumptions_&amp;_Inputs'!$I$80,IPMT('Assumptions_&amp;_Inputs'!$I$76,EN$7-'Assumptions_&amp;_Inputs'!$I$80,'Assumptions_&amp;_Inputs'!$I$78*12,'Assumptions_&amp;_Inputs'!$I$74),0))*EN$10</f>
        <v>0</v>
      </c>
      <c r="EO93" s="37">
        <f>(IF(EO$7&gt;'Assumptions_&amp;_Inputs'!$I$80,IPMT('Assumptions_&amp;_Inputs'!$I$76,EO$7-'Assumptions_&amp;_Inputs'!$I$80,'Assumptions_&amp;_Inputs'!$I$78*12,'Assumptions_&amp;_Inputs'!$I$74),0))*EO$10</f>
        <v>0</v>
      </c>
      <c r="EP93" s="37">
        <f>(IF(EP$7&gt;'Assumptions_&amp;_Inputs'!$I$80,IPMT('Assumptions_&amp;_Inputs'!$I$76,EP$7-'Assumptions_&amp;_Inputs'!$I$80,'Assumptions_&amp;_Inputs'!$I$78*12,'Assumptions_&amp;_Inputs'!$I$74),0))*EP$10</f>
        <v>0</v>
      </c>
      <c r="EQ93" s="37">
        <f>(IF(EQ$7&gt;'Assumptions_&amp;_Inputs'!$I$80,IPMT('Assumptions_&amp;_Inputs'!$I$76,EQ$7-'Assumptions_&amp;_Inputs'!$I$80,'Assumptions_&amp;_Inputs'!$I$78*12,'Assumptions_&amp;_Inputs'!$I$74),0))*EQ$10</f>
        <v>0</v>
      </c>
      <c r="ER93" s="37">
        <f>(IF(ER$7&gt;'Assumptions_&amp;_Inputs'!$I$80,IPMT('Assumptions_&amp;_Inputs'!$I$76,ER$7-'Assumptions_&amp;_Inputs'!$I$80,'Assumptions_&amp;_Inputs'!$I$78*12,'Assumptions_&amp;_Inputs'!$I$74),0))*ER$10</f>
        <v>0</v>
      </c>
      <c r="ES93" s="37">
        <f>(IF(ES$7&gt;'Assumptions_&amp;_Inputs'!$I$80,IPMT('Assumptions_&amp;_Inputs'!$I$76,ES$7-'Assumptions_&amp;_Inputs'!$I$80,'Assumptions_&amp;_Inputs'!$I$78*12,'Assumptions_&amp;_Inputs'!$I$74),0))*ES$10</f>
        <v>0</v>
      </c>
      <c r="ET93" s="37">
        <f>(IF(ET$7&gt;'Assumptions_&amp;_Inputs'!$I$80,IPMT('Assumptions_&amp;_Inputs'!$I$76,ET$7-'Assumptions_&amp;_Inputs'!$I$80,'Assumptions_&amp;_Inputs'!$I$78*12,'Assumptions_&amp;_Inputs'!$I$74),0))*ET$10</f>
        <v>0</v>
      </c>
      <c r="EU93" s="37">
        <f>(IF(EU$7&gt;'Assumptions_&amp;_Inputs'!$I$80,IPMT('Assumptions_&amp;_Inputs'!$I$76,EU$7-'Assumptions_&amp;_Inputs'!$I$80,'Assumptions_&amp;_Inputs'!$I$78*12,'Assumptions_&amp;_Inputs'!$I$74),0))*EU$10</f>
        <v>0</v>
      </c>
      <c r="EV93" s="37">
        <f>(IF(EV$7&gt;'Assumptions_&amp;_Inputs'!$I$80,IPMT('Assumptions_&amp;_Inputs'!$I$76,EV$7-'Assumptions_&amp;_Inputs'!$I$80,'Assumptions_&amp;_Inputs'!$I$78*12,'Assumptions_&amp;_Inputs'!$I$74),0))*EV$10</f>
        <v>0</v>
      </c>
      <c r="EW93" s="37">
        <f>(IF(EW$7&gt;'Assumptions_&amp;_Inputs'!$I$80,IPMT('Assumptions_&amp;_Inputs'!$I$76,EW$7-'Assumptions_&amp;_Inputs'!$I$80,'Assumptions_&amp;_Inputs'!$I$78*12,'Assumptions_&amp;_Inputs'!$I$74),0))*EW$10</f>
        <v>0</v>
      </c>
      <c r="EX93" s="37">
        <f>(IF(EX$7&gt;'Assumptions_&amp;_Inputs'!$I$80,IPMT('Assumptions_&amp;_Inputs'!$I$76,EX$7-'Assumptions_&amp;_Inputs'!$I$80,'Assumptions_&amp;_Inputs'!$I$78*12,'Assumptions_&amp;_Inputs'!$I$74),0))*EX$10</f>
        <v>0</v>
      </c>
      <c r="EY93" s="37">
        <f>(IF(EY$7&gt;'Assumptions_&amp;_Inputs'!$I$80,IPMT('Assumptions_&amp;_Inputs'!$I$76,EY$7-'Assumptions_&amp;_Inputs'!$I$80,'Assumptions_&amp;_Inputs'!$I$78*12,'Assumptions_&amp;_Inputs'!$I$74),0))*EY$10</f>
        <v>0</v>
      </c>
      <c r="EZ93" s="37">
        <f>(IF(EZ$7&gt;'Assumptions_&amp;_Inputs'!$I$80,IPMT('Assumptions_&amp;_Inputs'!$I$76,EZ$7-'Assumptions_&amp;_Inputs'!$I$80,'Assumptions_&amp;_Inputs'!$I$78*12,'Assumptions_&amp;_Inputs'!$I$74),0))*EZ$10</f>
        <v>0</v>
      </c>
      <c r="FA93" s="37">
        <f>(IF(FA$7&gt;'Assumptions_&amp;_Inputs'!$I$80,IPMT('Assumptions_&amp;_Inputs'!$I$76,FA$7-'Assumptions_&amp;_Inputs'!$I$80,'Assumptions_&amp;_Inputs'!$I$78*12,'Assumptions_&amp;_Inputs'!$I$74),0))*FA$10</f>
        <v>0</v>
      </c>
      <c r="FB93" s="37">
        <f>(IF(FB$7&gt;'Assumptions_&amp;_Inputs'!$I$80,IPMT('Assumptions_&amp;_Inputs'!$I$76,FB$7-'Assumptions_&amp;_Inputs'!$I$80,'Assumptions_&amp;_Inputs'!$I$78*12,'Assumptions_&amp;_Inputs'!$I$74),0))*FB$10</f>
        <v>0</v>
      </c>
      <c r="FC93" s="37">
        <f>(IF(FC$7&gt;'Assumptions_&amp;_Inputs'!$I$80,IPMT('Assumptions_&amp;_Inputs'!$I$76,FC$7-'Assumptions_&amp;_Inputs'!$I$80,'Assumptions_&amp;_Inputs'!$I$78*12,'Assumptions_&amp;_Inputs'!$I$74),0))*FC$10</f>
        <v>0</v>
      </c>
      <c r="FD93" s="37">
        <f>(IF(FD$7&gt;'Assumptions_&amp;_Inputs'!$I$80,IPMT('Assumptions_&amp;_Inputs'!$I$76,FD$7-'Assumptions_&amp;_Inputs'!$I$80,'Assumptions_&amp;_Inputs'!$I$78*12,'Assumptions_&amp;_Inputs'!$I$74),0))*FD$10</f>
        <v>0</v>
      </c>
      <c r="FE93" s="37">
        <f>(IF(FE$7&gt;'Assumptions_&amp;_Inputs'!$I$80,IPMT('Assumptions_&amp;_Inputs'!$I$76,FE$7-'Assumptions_&amp;_Inputs'!$I$80,'Assumptions_&amp;_Inputs'!$I$78*12,'Assumptions_&amp;_Inputs'!$I$74),0))*FE$10</f>
        <v>0</v>
      </c>
      <c r="FF93" s="37">
        <f>(IF(FF$7&gt;'Assumptions_&amp;_Inputs'!$I$80,IPMT('Assumptions_&amp;_Inputs'!$I$76,FF$7-'Assumptions_&amp;_Inputs'!$I$80,'Assumptions_&amp;_Inputs'!$I$78*12,'Assumptions_&amp;_Inputs'!$I$74),0))*FF$10</f>
        <v>0</v>
      </c>
      <c r="FG93" s="37">
        <f>(IF(FG$7&gt;'Assumptions_&amp;_Inputs'!$I$80,IPMT('Assumptions_&amp;_Inputs'!$I$76,FG$7-'Assumptions_&amp;_Inputs'!$I$80,'Assumptions_&amp;_Inputs'!$I$78*12,'Assumptions_&amp;_Inputs'!$I$74),0))*FG$10</f>
        <v>0</v>
      </c>
      <c r="FH93" s="37">
        <f>(IF(FH$7&gt;'Assumptions_&amp;_Inputs'!$I$80,IPMT('Assumptions_&amp;_Inputs'!$I$76,FH$7-'Assumptions_&amp;_Inputs'!$I$80,'Assumptions_&amp;_Inputs'!$I$78*12,'Assumptions_&amp;_Inputs'!$I$74),0))*FH$10</f>
        <v>0</v>
      </c>
      <c r="FI93" s="37">
        <f>(IF(FI$7&gt;'Assumptions_&amp;_Inputs'!$I$80,IPMT('Assumptions_&amp;_Inputs'!$I$76,FI$7-'Assumptions_&amp;_Inputs'!$I$80,'Assumptions_&amp;_Inputs'!$I$78*12,'Assumptions_&amp;_Inputs'!$I$74),0))*FI$10</f>
        <v>0</v>
      </c>
      <c r="FJ93" s="37">
        <f>(IF(FJ$7&gt;'Assumptions_&amp;_Inputs'!$I$80,IPMT('Assumptions_&amp;_Inputs'!$I$76,FJ$7-'Assumptions_&amp;_Inputs'!$I$80,'Assumptions_&amp;_Inputs'!$I$78*12,'Assumptions_&amp;_Inputs'!$I$74),0))*FJ$10</f>
        <v>0</v>
      </c>
      <c r="FK93" s="37">
        <f>(IF(FK$7&gt;'Assumptions_&amp;_Inputs'!$I$80,IPMT('Assumptions_&amp;_Inputs'!$I$76,FK$7-'Assumptions_&amp;_Inputs'!$I$80,'Assumptions_&amp;_Inputs'!$I$78*12,'Assumptions_&amp;_Inputs'!$I$74),0))*FK$10</f>
        <v>0</v>
      </c>
      <c r="FL93" s="37">
        <f>(IF(FL$7&gt;'Assumptions_&amp;_Inputs'!$I$80,IPMT('Assumptions_&amp;_Inputs'!$I$76,FL$7-'Assumptions_&amp;_Inputs'!$I$80,'Assumptions_&amp;_Inputs'!$I$78*12,'Assumptions_&amp;_Inputs'!$I$74),0))*FL$10</f>
        <v>0</v>
      </c>
      <c r="FM93" s="37">
        <f>(IF(FM$7&gt;'Assumptions_&amp;_Inputs'!$I$80,IPMT('Assumptions_&amp;_Inputs'!$I$76,FM$7-'Assumptions_&amp;_Inputs'!$I$80,'Assumptions_&amp;_Inputs'!$I$78*12,'Assumptions_&amp;_Inputs'!$I$74),0))*FM$10</f>
        <v>0</v>
      </c>
      <c r="FN93" s="37">
        <f>(IF(FN$7&gt;'Assumptions_&amp;_Inputs'!$I$80,IPMT('Assumptions_&amp;_Inputs'!$I$76,FN$7-'Assumptions_&amp;_Inputs'!$I$80,'Assumptions_&amp;_Inputs'!$I$78*12,'Assumptions_&amp;_Inputs'!$I$74),0))*FN$10</f>
        <v>0</v>
      </c>
      <c r="FO93" s="37">
        <f>(IF(FO$7&gt;'Assumptions_&amp;_Inputs'!$I$80,IPMT('Assumptions_&amp;_Inputs'!$I$76,FO$7-'Assumptions_&amp;_Inputs'!$I$80,'Assumptions_&amp;_Inputs'!$I$78*12,'Assumptions_&amp;_Inputs'!$I$74),0))*FO$10</f>
        <v>0</v>
      </c>
      <c r="FP93" s="37">
        <f>(IF(FP$7&gt;'Assumptions_&amp;_Inputs'!$I$80,IPMT('Assumptions_&amp;_Inputs'!$I$76,FP$7-'Assumptions_&amp;_Inputs'!$I$80,'Assumptions_&amp;_Inputs'!$I$78*12,'Assumptions_&amp;_Inputs'!$I$74),0))*FP$10</f>
        <v>0</v>
      </c>
      <c r="FQ93" s="37">
        <f>(IF(FQ$7&gt;'Assumptions_&amp;_Inputs'!$I$80,IPMT('Assumptions_&amp;_Inputs'!$I$76,FQ$7-'Assumptions_&amp;_Inputs'!$I$80,'Assumptions_&amp;_Inputs'!$I$78*12,'Assumptions_&amp;_Inputs'!$I$74),0))*FQ$10</f>
        <v>0</v>
      </c>
      <c r="FR93" s="37">
        <f>(IF(FR$7&gt;'Assumptions_&amp;_Inputs'!$I$80,IPMT('Assumptions_&amp;_Inputs'!$I$76,FR$7-'Assumptions_&amp;_Inputs'!$I$80,'Assumptions_&amp;_Inputs'!$I$78*12,'Assumptions_&amp;_Inputs'!$I$74),0))*FR$10</f>
        <v>0</v>
      </c>
      <c r="FS93" s="37">
        <f>(IF(FS$7&gt;'Assumptions_&amp;_Inputs'!$I$80,IPMT('Assumptions_&amp;_Inputs'!$I$76,FS$7-'Assumptions_&amp;_Inputs'!$I$80,'Assumptions_&amp;_Inputs'!$I$78*12,'Assumptions_&amp;_Inputs'!$I$74),0))*FS$10</f>
        <v>0</v>
      </c>
      <c r="FT93" s="37">
        <f>(IF(FT$7&gt;'Assumptions_&amp;_Inputs'!$I$80,IPMT('Assumptions_&amp;_Inputs'!$I$76,FT$7-'Assumptions_&amp;_Inputs'!$I$80,'Assumptions_&amp;_Inputs'!$I$78*12,'Assumptions_&amp;_Inputs'!$I$74),0))*FT$10</f>
        <v>0</v>
      </c>
      <c r="FU93" s="37">
        <f>(IF(FU$7&gt;'Assumptions_&amp;_Inputs'!$I$80,IPMT('Assumptions_&amp;_Inputs'!$I$76,FU$7-'Assumptions_&amp;_Inputs'!$I$80,'Assumptions_&amp;_Inputs'!$I$78*12,'Assumptions_&amp;_Inputs'!$I$74),0))*FU$10</f>
        <v>0</v>
      </c>
      <c r="FV93" s="37">
        <f>(IF(FV$7&gt;'Assumptions_&amp;_Inputs'!$I$80,IPMT('Assumptions_&amp;_Inputs'!$I$76,FV$7-'Assumptions_&amp;_Inputs'!$I$80,'Assumptions_&amp;_Inputs'!$I$78*12,'Assumptions_&amp;_Inputs'!$I$74),0))*FV$10</f>
        <v>0</v>
      </c>
      <c r="FW93" s="37">
        <f>(IF(FW$7&gt;'Assumptions_&amp;_Inputs'!$I$80,IPMT('Assumptions_&amp;_Inputs'!$I$76,FW$7-'Assumptions_&amp;_Inputs'!$I$80,'Assumptions_&amp;_Inputs'!$I$78*12,'Assumptions_&amp;_Inputs'!$I$74),0))*FW$10</f>
        <v>0</v>
      </c>
      <c r="FX93" s="37">
        <f>(IF(FX$7&gt;'Assumptions_&amp;_Inputs'!$I$80,IPMT('Assumptions_&amp;_Inputs'!$I$76,FX$7-'Assumptions_&amp;_Inputs'!$I$80,'Assumptions_&amp;_Inputs'!$I$78*12,'Assumptions_&amp;_Inputs'!$I$74),0))*FX$10</f>
        <v>0</v>
      </c>
      <c r="FY93" s="37">
        <f>(IF(FY$7&gt;'Assumptions_&amp;_Inputs'!$I$80,IPMT('Assumptions_&amp;_Inputs'!$I$76,FY$7-'Assumptions_&amp;_Inputs'!$I$80,'Assumptions_&amp;_Inputs'!$I$78*12,'Assumptions_&amp;_Inputs'!$I$74),0))*FY$10</f>
        <v>0</v>
      </c>
      <c r="FZ93" s="37">
        <f>(IF(FZ$7&gt;'Assumptions_&amp;_Inputs'!$I$80,IPMT('Assumptions_&amp;_Inputs'!$I$76,FZ$7-'Assumptions_&amp;_Inputs'!$I$80,'Assumptions_&amp;_Inputs'!$I$78*12,'Assumptions_&amp;_Inputs'!$I$74),0))*FZ$10</f>
        <v>0</v>
      </c>
      <c r="GA93" s="37">
        <f>(IF(GA$7&gt;'Assumptions_&amp;_Inputs'!$I$80,IPMT('Assumptions_&amp;_Inputs'!$I$76,GA$7-'Assumptions_&amp;_Inputs'!$I$80,'Assumptions_&amp;_Inputs'!$I$78*12,'Assumptions_&amp;_Inputs'!$I$74),0))*GA$10</f>
        <v>0</v>
      </c>
      <c r="GB93" s="37">
        <f>(IF(GB$7&gt;'Assumptions_&amp;_Inputs'!$I$80,IPMT('Assumptions_&amp;_Inputs'!$I$76,GB$7-'Assumptions_&amp;_Inputs'!$I$80,'Assumptions_&amp;_Inputs'!$I$78*12,'Assumptions_&amp;_Inputs'!$I$74),0))*GB$10</f>
        <v>0</v>
      </c>
      <c r="GC93" s="37">
        <f>(IF(GC$7&gt;'Assumptions_&amp;_Inputs'!$I$80,IPMT('Assumptions_&amp;_Inputs'!$I$76,GC$7-'Assumptions_&amp;_Inputs'!$I$80,'Assumptions_&amp;_Inputs'!$I$78*12,'Assumptions_&amp;_Inputs'!$I$74),0))*GC$10</f>
        <v>0</v>
      </c>
      <c r="GD93" s="37">
        <f>(IF(GD$7&gt;'Assumptions_&amp;_Inputs'!$I$80,IPMT('Assumptions_&amp;_Inputs'!$I$76,GD$7-'Assumptions_&amp;_Inputs'!$I$80,'Assumptions_&amp;_Inputs'!$I$78*12,'Assumptions_&amp;_Inputs'!$I$74),0))*GD$10</f>
        <v>0</v>
      </c>
      <c r="GE93" s="37">
        <f>(IF(GE$7&gt;'Assumptions_&amp;_Inputs'!$I$80,IPMT('Assumptions_&amp;_Inputs'!$I$76,GE$7-'Assumptions_&amp;_Inputs'!$I$80,'Assumptions_&amp;_Inputs'!$I$78*12,'Assumptions_&amp;_Inputs'!$I$74),0))*GE$10</f>
        <v>0</v>
      </c>
      <c r="GF93" s="37">
        <f>(IF(GF$7&gt;'Assumptions_&amp;_Inputs'!$I$80,IPMT('Assumptions_&amp;_Inputs'!$I$76,GF$7-'Assumptions_&amp;_Inputs'!$I$80,'Assumptions_&amp;_Inputs'!$I$78*12,'Assumptions_&amp;_Inputs'!$I$74),0))*GF$10</f>
        <v>0</v>
      </c>
      <c r="GG93" s="37">
        <f>(IF(GG$7&gt;'Assumptions_&amp;_Inputs'!$I$80,IPMT('Assumptions_&amp;_Inputs'!$I$76,GG$7-'Assumptions_&amp;_Inputs'!$I$80,'Assumptions_&amp;_Inputs'!$I$78*12,'Assumptions_&amp;_Inputs'!$I$74),0))*GG$10</f>
        <v>0</v>
      </c>
      <c r="GH93" s="37">
        <f>(IF(GH$7&gt;'Assumptions_&amp;_Inputs'!$I$80,IPMT('Assumptions_&amp;_Inputs'!$I$76,GH$7-'Assumptions_&amp;_Inputs'!$I$80,'Assumptions_&amp;_Inputs'!$I$78*12,'Assumptions_&amp;_Inputs'!$I$74),0))*GH$10</f>
        <v>0</v>
      </c>
      <c r="GI93" s="37">
        <f>(IF(GI$7&gt;'Assumptions_&amp;_Inputs'!$I$80,IPMT('Assumptions_&amp;_Inputs'!$I$76,GI$7-'Assumptions_&amp;_Inputs'!$I$80,'Assumptions_&amp;_Inputs'!$I$78*12,'Assumptions_&amp;_Inputs'!$I$74),0))*GI$10</f>
        <v>0</v>
      </c>
      <c r="GJ93" s="37">
        <f>(IF(GJ$7&gt;'Assumptions_&amp;_Inputs'!$I$80,IPMT('Assumptions_&amp;_Inputs'!$I$76,GJ$7-'Assumptions_&amp;_Inputs'!$I$80,'Assumptions_&amp;_Inputs'!$I$78*12,'Assumptions_&amp;_Inputs'!$I$74),0))*GJ$10</f>
        <v>0</v>
      </c>
      <c r="GK93" s="37">
        <f>(IF(GK$7&gt;'Assumptions_&amp;_Inputs'!$I$80,IPMT('Assumptions_&amp;_Inputs'!$I$76,GK$7-'Assumptions_&amp;_Inputs'!$I$80,'Assumptions_&amp;_Inputs'!$I$78*12,'Assumptions_&amp;_Inputs'!$I$74),0))*GK$10</f>
        <v>0</v>
      </c>
      <c r="GL93" s="37">
        <f>(IF(GL$7&gt;'Assumptions_&amp;_Inputs'!$I$80,IPMT('Assumptions_&amp;_Inputs'!$I$76,GL$7-'Assumptions_&amp;_Inputs'!$I$80,'Assumptions_&amp;_Inputs'!$I$78*12,'Assumptions_&amp;_Inputs'!$I$74),0))*GL$10</f>
        <v>0</v>
      </c>
      <c r="GM93" s="37">
        <f>(IF(GM$7&gt;'Assumptions_&amp;_Inputs'!$I$80,IPMT('Assumptions_&amp;_Inputs'!$I$76,GM$7-'Assumptions_&amp;_Inputs'!$I$80,'Assumptions_&amp;_Inputs'!$I$78*12,'Assumptions_&amp;_Inputs'!$I$74),0))*GM$10</f>
        <v>0</v>
      </c>
      <c r="GN93" s="63"/>
      <c r="GO93" s="63"/>
      <c r="GP93" s="63"/>
      <c r="GQ93" s="27"/>
      <c r="GR93" s="27"/>
      <c r="GS93" s="27"/>
      <c r="GT93" s="27"/>
      <c r="GU93" s="27"/>
      <c r="GV93" s="27"/>
      <c r="GW93" s="27"/>
      <c r="GX93" s="27"/>
      <c r="GY93" s="27"/>
      <c r="GZ93" s="27"/>
      <c r="HA93" s="27"/>
      <c r="HB93" s="27"/>
      <c r="HC93" s="27"/>
      <c r="HD93" s="27"/>
      <c r="HE93" s="27"/>
      <c r="HF93" s="27"/>
      <c r="HG93" s="27"/>
      <c r="HH93" s="27"/>
      <c r="HI93" s="27"/>
      <c r="HJ93" s="27"/>
      <c r="HK93" s="27"/>
      <c r="HL93" s="27"/>
      <c r="HM93" s="27"/>
      <c r="HN93" s="27"/>
      <c r="HO93" s="27"/>
      <c r="HP93" s="27"/>
      <c r="HQ93" s="27"/>
      <c r="HR93" s="27"/>
      <c r="HS93" s="27"/>
      <c r="HT93" s="27"/>
      <c r="HU93" s="27"/>
      <c r="HV93" s="27"/>
      <c r="HW93" s="27"/>
      <c r="HX93" s="27"/>
      <c r="HY93" s="27"/>
      <c r="HZ93" s="27"/>
      <c r="IA93" s="27"/>
      <c r="IB93" s="27"/>
      <c r="IC93" s="27"/>
      <c r="ID93" s="27"/>
      <c r="IE93" s="27"/>
      <c r="IF93" s="27"/>
      <c r="IG93" s="27"/>
      <c r="IH93" s="27"/>
      <c r="II93" s="27"/>
      <c r="IJ93" s="27"/>
      <c r="IK93" s="27"/>
      <c r="IL93" s="27"/>
      <c r="IM93" s="27"/>
      <c r="IN93" s="27"/>
      <c r="IO93" s="27"/>
      <c r="IP93" s="27"/>
      <c r="IQ93" s="27"/>
      <c r="IR93" s="27"/>
      <c r="IS93" s="27"/>
      <c r="IT93" s="27"/>
      <c r="IU93" s="27"/>
      <c r="IV93" s="27"/>
      <c r="IW93" s="27"/>
      <c r="IX93" s="27"/>
      <c r="IY93" s="27"/>
      <c r="IZ93" s="27"/>
      <c r="JA93" s="27"/>
      <c r="JB93" s="27"/>
      <c r="JC93" s="27"/>
      <c r="JD93" s="27"/>
      <c r="JE93" s="27"/>
      <c r="JF93" s="27"/>
      <c r="JG93" s="27"/>
      <c r="JH93" s="27"/>
      <c r="JI93" s="27"/>
      <c r="JJ93" s="27"/>
      <c r="JK93" s="27"/>
      <c r="JL93" s="27"/>
      <c r="JM93" s="27"/>
      <c r="JN93" s="27"/>
      <c r="JO93" s="27"/>
      <c r="JP93" s="27"/>
      <c r="JQ93" s="27"/>
      <c r="JR93" s="27"/>
      <c r="JS93" s="27"/>
      <c r="JT93" s="27"/>
      <c r="JU93" s="27"/>
      <c r="JV93" s="27"/>
      <c r="JW93" s="27"/>
      <c r="JX93" s="27"/>
      <c r="JY93" s="27"/>
      <c r="JZ93" s="27"/>
      <c r="KA93" s="27"/>
      <c r="KB93" s="27"/>
      <c r="KC93" s="27"/>
      <c r="KD93" s="27"/>
      <c r="KE93" s="27"/>
      <c r="KF93" s="27"/>
      <c r="KG93" s="27"/>
      <c r="KH93" s="27"/>
      <c r="KI93" s="27"/>
      <c r="KJ93" s="27"/>
      <c r="KK93" s="27"/>
      <c r="KL93" s="27"/>
      <c r="KM93" s="27"/>
      <c r="KN93" s="27"/>
      <c r="KO93" s="27"/>
      <c r="KP93" s="27"/>
      <c r="KQ93" s="27"/>
      <c r="KR93" s="27"/>
      <c r="KS93" s="27"/>
      <c r="KT93" s="27"/>
      <c r="KU93" s="27"/>
      <c r="KV93" s="27"/>
      <c r="KW93" s="27"/>
      <c r="KX93" s="27"/>
      <c r="KY93" s="27"/>
      <c r="KZ93" s="27"/>
      <c r="LA93" s="27"/>
      <c r="LB93" s="27"/>
      <c r="LC93" s="27"/>
      <c r="LD93" s="27"/>
      <c r="LE93" s="27"/>
      <c r="LF93" s="27"/>
      <c r="LG93" s="27"/>
      <c r="LH93" s="27"/>
      <c r="LI93" s="27"/>
      <c r="LJ93" s="27"/>
      <c r="LK93" s="27"/>
      <c r="LL93" s="27"/>
      <c r="LM93" s="27"/>
      <c r="LN93" s="27"/>
      <c r="LO93" s="27"/>
      <c r="LP93" s="27"/>
      <c r="LQ93" s="27"/>
      <c r="LR93" s="27"/>
      <c r="LS93" s="27"/>
      <c r="LT93" s="27"/>
      <c r="LU93" s="27"/>
      <c r="LV93" s="27"/>
      <c r="LW93" s="27"/>
      <c r="LX93" s="27"/>
      <c r="LY93" s="27"/>
      <c r="LZ93" s="27"/>
      <c r="MA93" s="27"/>
      <c r="MB93" s="27"/>
      <c r="MC93" s="27"/>
      <c r="MD93" s="27"/>
      <c r="ME93" s="27"/>
      <c r="MF93" s="27"/>
      <c r="MG93" s="27"/>
      <c r="MH93" s="27"/>
      <c r="MI93" s="27"/>
      <c r="MJ93" s="27"/>
      <c r="MK93" s="27"/>
      <c r="ML93" s="27"/>
      <c r="MM93" s="27"/>
      <c r="MN93" s="27"/>
      <c r="MO93" s="27"/>
      <c r="MP93" s="27"/>
      <c r="MQ93" s="27"/>
      <c r="MR93" s="27"/>
      <c r="MS93" s="27"/>
      <c r="MT93" s="27"/>
      <c r="MU93" s="27"/>
      <c r="MV93" s="27"/>
      <c r="MW93" s="27"/>
      <c r="MX93" s="27"/>
      <c r="MY93" s="27"/>
      <c r="MZ93" s="27"/>
      <c r="NA93" s="27"/>
      <c r="NB93" s="27"/>
    </row>
    <row r="94" spans="2:366" ht="16" customHeight="1" x14ac:dyDescent="0.15">
      <c r="B94" s="31" t="s">
        <v>55</v>
      </c>
      <c r="C94" s="312" t="s">
        <v>150</v>
      </c>
      <c r="D94" s="97"/>
      <c r="F94" s="37">
        <f>IF('Assumptions_&amp;_Inputs'!$I$77="Interest-only",0,IF(F$7&gt;'Assumptions_&amp;_Inputs'!$I$80,PPMT('Assumptions_&amp;_Inputs'!$I$76,'Monthly_P&amp;L'!F$7-'Assumptions_&amp;_Inputs'!$I$80,'Assumptions_&amp;_Inputs'!$I$78*12,'Assumptions_&amp;_Inputs'!$I$74),0))</f>
        <v>0</v>
      </c>
      <c r="G94" s="37">
        <f>(IF('Assumptions_&amp;_Inputs'!$I$77="Interest-only",0,IF(G$7&gt;'Assumptions_&amp;_Inputs'!$I$80,PPMT('Assumptions_&amp;_Inputs'!$I$76,'Monthly_P&amp;L'!G$7-'Assumptions_&amp;_Inputs'!$I$80,'Assumptions_&amp;_Inputs'!$I$78*12,'Assumptions_&amp;_Inputs'!$I$74),0)))*G$10</f>
        <v>0</v>
      </c>
      <c r="H94" s="37">
        <f>(IF('Assumptions_&amp;_Inputs'!$I$77="Interest-only",0,IF(H$7&gt;'Assumptions_&amp;_Inputs'!$I$80,PPMT('Assumptions_&amp;_Inputs'!$I$76,'Monthly_P&amp;L'!H$7-'Assumptions_&amp;_Inputs'!$I$80,'Assumptions_&amp;_Inputs'!$I$78*12,'Assumptions_&amp;_Inputs'!$I$74),0)))*H$10</f>
        <v>0</v>
      </c>
      <c r="I94" s="37">
        <f>(IF('Assumptions_&amp;_Inputs'!$I$77="Interest-only",0,IF(I$7&gt;'Assumptions_&amp;_Inputs'!$I$80,PPMT('Assumptions_&amp;_Inputs'!$I$76,'Monthly_P&amp;L'!I$7-'Assumptions_&amp;_Inputs'!$I$80,'Assumptions_&amp;_Inputs'!$I$78*12,'Assumptions_&amp;_Inputs'!$I$74),0)))*I$10</f>
        <v>0</v>
      </c>
      <c r="J94" s="37">
        <f>(IF('Assumptions_&amp;_Inputs'!$I$77="Interest-only",0,IF(J$7&gt;'Assumptions_&amp;_Inputs'!$I$80,PPMT('Assumptions_&amp;_Inputs'!$I$76,'Monthly_P&amp;L'!J$7-'Assumptions_&amp;_Inputs'!$I$80,'Assumptions_&amp;_Inputs'!$I$78*12,'Assumptions_&amp;_Inputs'!$I$74),0)))*J$10</f>
        <v>0</v>
      </c>
      <c r="K94" s="37">
        <f>(IF('Assumptions_&amp;_Inputs'!$I$77="Interest-only",0,IF(K$7&gt;'Assumptions_&amp;_Inputs'!$I$80,PPMT('Assumptions_&amp;_Inputs'!$I$76,'Monthly_P&amp;L'!K$7-'Assumptions_&amp;_Inputs'!$I$80,'Assumptions_&amp;_Inputs'!$I$78*12,'Assumptions_&amp;_Inputs'!$I$74),0)))*K$10</f>
        <v>0</v>
      </c>
      <c r="L94" s="37">
        <f>(IF('Assumptions_&amp;_Inputs'!$I$77="Interest-only",0,IF(L$7&gt;'Assumptions_&amp;_Inputs'!$I$80,PPMT('Assumptions_&amp;_Inputs'!$I$76,'Monthly_P&amp;L'!L$7-'Assumptions_&amp;_Inputs'!$I$80,'Assumptions_&amp;_Inputs'!$I$78*12,'Assumptions_&amp;_Inputs'!$I$74),0)))*L$10</f>
        <v>0</v>
      </c>
      <c r="M94" s="37">
        <f>(IF('Assumptions_&amp;_Inputs'!$I$77="Interest-only",0,IF(M$7&gt;'Assumptions_&amp;_Inputs'!$I$80,PPMT('Assumptions_&amp;_Inputs'!$I$76,'Monthly_P&amp;L'!M$7-'Assumptions_&amp;_Inputs'!$I$80,'Assumptions_&amp;_Inputs'!$I$78*12,'Assumptions_&amp;_Inputs'!$I$74),0)))*M$10</f>
        <v>0</v>
      </c>
      <c r="N94" s="37">
        <f>(IF('Assumptions_&amp;_Inputs'!$I$77="Interest-only",0,IF(N$7&gt;'Assumptions_&amp;_Inputs'!$I$80,PPMT('Assumptions_&amp;_Inputs'!$I$76,'Monthly_P&amp;L'!N$7-'Assumptions_&amp;_Inputs'!$I$80,'Assumptions_&amp;_Inputs'!$I$78*12,'Assumptions_&amp;_Inputs'!$I$74),0)))*N$10</f>
        <v>0</v>
      </c>
      <c r="O94" s="37">
        <f>(IF('Assumptions_&amp;_Inputs'!$I$77="Interest-only",0,IF(O$7&gt;'Assumptions_&amp;_Inputs'!$I$80,PPMT('Assumptions_&amp;_Inputs'!$I$76,'Monthly_P&amp;L'!O$7-'Assumptions_&amp;_Inputs'!$I$80,'Assumptions_&amp;_Inputs'!$I$78*12,'Assumptions_&amp;_Inputs'!$I$74),0)))*O$10</f>
        <v>0</v>
      </c>
      <c r="P94" s="37">
        <f>(IF('Assumptions_&amp;_Inputs'!$I$77="Interest-only",0,IF(P$7&gt;'Assumptions_&amp;_Inputs'!$I$80,PPMT('Assumptions_&amp;_Inputs'!$I$76,'Monthly_P&amp;L'!P$7-'Assumptions_&amp;_Inputs'!$I$80,'Assumptions_&amp;_Inputs'!$I$78*12,'Assumptions_&amp;_Inputs'!$I$74),0)))*P$10</f>
        <v>0</v>
      </c>
      <c r="Q94" s="37">
        <f>(IF('Assumptions_&amp;_Inputs'!$I$77="Interest-only",0,IF(Q$7&gt;'Assumptions_&amp;_Inputs'!$I$80,PPMT('Assumptions_&amp;_Inputs'!$I$76,'Monthly_P&amp;L'!Q$7-'Assumptions_&amp;_Inputs'!$I$80,'Assumptions_&amp;_Inputs'!$I$78*12,'Assumptions_&amp;_Inputs'!$I$74),0)))*Q$10</f>
        <v>0</v>
      </c>
      <c r="R94" s="37">
        <f>(IF('Assumptions_&amp;_Inputs'!$I$77="Interest-only",0,IF(R$7&gt;'Assumptions_&amp;_Inputs'!$I$80,PPMT('Assumptions_&amp;_Inputs'!$I$76,'Monthly_P&amp;L'!R$7-'Assumptions_&amp;_Inputs'!$I$80,'Assumptions_&amp;_Inputs'!$I$78*12,'Assumptions_&amp;_Inputs'!$I$74),0)))*R$10</f>
        <v>0</v>
      </c>
      <c r="S94" s="37">
        <f>(IF('Assumptions_&amp;_Inputs'!$I$77="Interest-only",0,IF(S$7&gt;'Assumptions_&amp;_Inputs'!$I$80,PPMT('Assumptions_&amp;_Inputs'!$I$76,'Monthly_P&amp;L'!S$7-'Assumptions_&amp;_Inputs'!$I$80,'Assumptions_&amp;_Inputs'!$I$78*12,'Assumptions_&amp;_Inputs'!$I$74),0)))*S$10</f>
        <v>0</v>
      </c>
      <c r="T94" s="37">
        <f>(IF('Assumptions_&amp;_Inputs'!$I$77="Interest-only",0,IF(T$7&gt;'Assumptions_&amp;_Inputs'!$I$80,PPMT('Assumptions_&amp;_Inputs'!$I$76,'Monthly_P&amp;L'!T$7-'Assumptions_&amp;_Inputs'!$I$80,'Assumptions_&amp;_Inputs'!$I$78*12,'Assumptions_&amp;_Inputs'!$I$74),0)))*T$10</f>
        <v>0</v>
      </c>
      <c r="U94" s="37">
        <f>(IF('Assumptions_&amp;_Inputs'!$I$77="Interest-only",0,IF(U$7&gt;'Assumptions_&amp;_Inputs'!$I$80,PPMT('Assumptions_&amp;_Inputs'!$I$76,'Monthly_P&amp;L'!U$7-'Assumptions_&amp;_Inputs'!$I$80,'Assumptions_&amp;_Inputs'!$I$78*12,'Assumptions_&amp;_Inputs'!$I$74),0)))*U$10</f>
        <v>0</v>
      </c>
      <c r="V94" s="37">
        <f>(IF('Assumptions_&amp;_Inputs'!$I$77="Interest-only",0,IF(V$7&gt;'Assumptions_&amp;_Inputs'!$I$80,PPMT('Assumptions_&amp;_Inputs'!$I$76,'Monthly_P&amp;L'!V$7-'Assumptions_&amp;_Inputs'!$I$80,'Assumptions_&amp;_Inputs'!$I$78*12,'Assumptions_&amp;_Inputs'!$I$74),0)))*V$10</f>
        <v>0</v>
      </c>
      <c r="W94" s="37">
        <f>(IF('Assumptions_&amp;_Inputs'!$I$77="Interest-only",0,IF(W$7&gt;'Assumptions_&amp;_Inputs'!$I$80,PPMT('Assumptions_&amp;_Inputs'!$I$76,'Monthly_P&amp;L'!W$7-'Assumptions_&amp;_Inputs'!$I$80,'Assumptions_&amp;_Inputs'!$I$78*12,'Assumptions_&amp;_Inputs'!$I$74),0)))*W$10</f>
        <v>0</v>
      </c>
      <c r="X94" s="37">
        <f>(IF('Assumptions_&amp;_Inputs'!$I$77="Interest-only",0,IF(X$7&gt;'Assumptions_&amp;_Inputs'!$I$80,PPMT('Assumptions_&amp;_Inputs'!$I$76,'Monthly_P&amp;L'!X$7-'Assumptions_&amp;_Inputs'!$I$80,'Assumptions_&amp;_Inputs'!$I$78*12,'Assumptions_&amp;_Inputs'!$I$74),0)))*X$10</f>
        <v>0</v>
      </c>
      <c r="Y94" s="37">
        <f>(IF('Assumptions_&amp;_Inputs'!$I$77="Interest-only",0,IF(Y$7&gt;'Assumptions_&amp;_Inputs'!$I$80,PPMT('Assumptions_&amp;_Inputs'!$I$76,'Monthly_P&amp;L'!Y$7-'Assumptions_&amp;_Inputs'!$I$80,'Assumptions_&amp;_Inputs'!$I$78*12,'Assumptions_&amp;_Inputs'!$I$74),0)))*Y$10</f>
        <v>-3733.5883052484219</v>
      </c>
      <c r="Z94" s="37">
        <f>(IF('Assumptions_&amp;_Inputs'!$I$77="Interest-only",0,IF(Z$7&gt;'Assumptions_&amp;_Inputs'!$I$80,PPMT('Assumptions_&amp;_Inputs'!$I$76,'Monthly_P&amp;L'!Z$7-'Assumptions_&amp;_Inputs'!$I$80,'Assumptions_&amp;_Inputs'!$I$78*12,'Assumptions_&amp;_Inputs'!$I$74),0)))*Z$10</f>
        <v>-3748.7994061611853</v>
      </c>
      <c r="AA94" s="37">
        <f>(IF('Assumptions_&amp;_Inputs'!$I$77="Interest-only",0,IF(AA$7&gt;'Assumptions_&amp;_Inputs'!$I$80,PPMT('Assumptions_&amp;_Inputs'!$I$76,'Monthly_P&amp;L'!AA$7-'Assumptions_&amp;_Inputs'!$I$80,'Assumptions_&amp;_Inputs'!$I$78*12,'Assumptions_&amp;_Inputs'!$I$74),0)))*AA$10</f>
        <v>-3764.0724789819537</v>
      </c>
      <c r="AB94" s="37">
        <f>(IF('Assumptions_&amp;_Inputs'!$I$77="Interest-only",0,IF(AB$7&gt;'Assumptions_&amp;_Inputs'!$I$80,PPMT('Assumptions_&amp;_Inputs'!$I$76,'Monthly_P&amp;L'!AB$7-'Assumptions_&amp;_Inputs'!$I$80,'Assumptions_&amp;_Inputs'!$I$78*12,'Assumptions_&amp;_Inputs'!$I$74),0)))*AB$10</f>
        <v>-3779.4077761919498</v>
      </c>
      <c r="AC94" s="37">
        <f>(IF('Assumptions_&amp;_Inputs'!$I$77="Interest-only",0,IF(AC$7&gt;'Assumptions_&amp;_Inputs'!$I$80,PPMT('Assumptions_&amp;_Inputs'!$I$76,'Monthly_P&amp;L'!AC$7-'Assumptions_&amp;_Inputs'!$I$80,'Assumptions_&amp;_Inputs'!$I$78*12,'Assumptions_&amp;_Inputs'!$I$74),0)))*AC$10</f>
        <v>-3794.8055513010395</v>
      </c>
      <c r="AD94" s="37">
        <f>(IF('Assumptions_&amp;_Inputs'!$I$77="Interest-only",0,IF(AD$7&gt;'Assumptions_&amp;_Inputs'!$I$80,PPMT('Assumptions_&amp;_Inputs'!$I$76,'Monthly_P&amp;L'!AD$7-'Assumptions_&amp;_Inputs'!$I$80,'Assumptions_&amp;_Inputs'!$I$78*12,'Assumptions_&amp;_Inputs'!$I$74),0)))*AD$10</f>
        <v>-3810.2660588519157</v>
      </c>
      <c r="AE94" s="37">
        <f>(IF('Assumptions_&amp;_Inputs'!$I$77="Interest-only",0,IF(AE$7&gt;'Assumptions_&amp;_Inputs'!$I$80,PPMT('Assumptions_&amp;_Inputs'!$I$76,'Monthly_P&amp;L'!AE$7-'Assumptions_&amp;_Inputs'!$I$80,'Assumptions_&amp;_Inputs'!$I$78*12,'Assumptions_&amp;_Inputs'!$I$74),0)))*AE$10</f>
        <v>-3825.7895544243129</v>
      </c>
      <c r="AF94" s="37">
        <f>(IF('Assumptions_&amp;_Inputs'!$I$77="Interest-only",0,IF(AF$7&gt;'Assumptions_&amp;_Inputs'!$I$80,PPMT('Assumptions_&amp;_Inputs'!$I$76,'Monthly_P&amp;L'!AF$7-'Assumptions_&amp;_Inputs'!$I$80,'Assumptions_&amp;_Inputs'!$I$78*12,'Assumptions_&amp;_Inputs'!$I$74),0)))*AF$10</f>
        <v>-3841.3762946392258</v>
      </c>
      <c r="AG94" s="37">
        <f>(IF('Assumptions_&amp;_Inputs'!$I$77="Interest-only",0,IF(AG$7&gt;'Assumptions_&amp;_Inputs'!$I$80,PPMT('Assumptions_&amp;_Inputs'!$I$76,'Monthly_P&amp;L'!AG$7-'Assumptions_&amp;_Inputs'!$I$80,'Assumptions_&amp;_Inputs'!$I$78*12,'Assumptions_&amp;_Inputs'!$I$74),0)))*AG$10</f>
        <v>-3857.0265371631585</v>
      </c>
      <c r="AH94" s="37">
        <f>(IF('Assumptions_&amp;_Inputs'!$I$77="Interest-only",0,IF(AH$7&gt;'Assumptions_&amp;_Inputs'!$I$80,PPMT('Assumptions_&amp;_Inputs'!$I$76,'Monthly_P&amp;L'!AH$7-'Assumptions_&amp;_Inputs'!$I$80,'Assumptions_&amp;_Inputs'!$I$78*12,'Assumptions_&amp;_Inputs'!$I$74),0)))*AH$10</f>
        <v>-3872.7405407123774</v>
      </c>
      <c r="AI94" s="37">
        <f>(IF('Assumptions_&amp;_Inputs'!$I$77="Interest-only",0,IF(AI$7&gt;'Assumptions_&amp;_Inputs'!$I$80,PPMT('Assumptions_&amp;_Inputs'!$I$76,'Monthly_P&amp;L'!AI$7-'Assumptions_&amp;_Inputs'!$I$80,'Assumptions_&amp;_Inputs'!$I$78*12,'Assumptions_&amp;_Inputs'!$I$74),0)))*AI$10</f>
        <v>-3888.5185650571939</v>
      </c>
      <c r="AJ94" s="37">
        <f>(IF('Assumptions_&amp;_Inputs'!$I$77="Interest-only",0,IF(AJ$7&gt;'Assumptions_&amp;_Inputs'!$I$80,PPMT('Assumptions_&amp;_Inputs'!$I$76,'Monthly_P&amp;L'!AJ$7-'Assumptions_&amp;_Inputs'!$I$80,'Assumptions_&amp;_Inputs'!$I$78*12,'Assumptions_&amp;_Inputs'!$I$74),0)))*AJ$10</f>
        <v>-3904.3608710262506</v>
      </c>
      <c r="AK94" s="37">
        <f>(IF('Assumptions_&amp;_Inputs'!$I$77="Interest-only",0,IF(AK$7&gt;'Assumptions_&amp;_Inputs'!$I$80,PPMT('Assumptions_&amp;_Inputs'!$I$76,'Monthly_P&amp;L'!AK$7-'Assumptions_&amp;_Inputs'!$I$80,'Assumptions_&amp;_Inputs'!$I$78*12,'Assumptions_&amp;_Inputs'!$I$74),0)))*AK$10</f>
        <v>-3920.2677205108453</v>
      </c>
      <c r="AL94" s="37">
        <f>(IF('Assumptions_&amp;_Inputs'!$I$77="Interest-only",0,IF(AL$7&gt;'Assumptions_&amp;_Inputs'!$I$80,PPMT('Assumptions_&amp;_Inputs'!$I$76,'Monthly_P&amp;L'!AL$7-'Assumptions_&amp;_Inputs'!$I$80,'Assumptions_&amp;_Inputs'!$I$78*12,'Assumptions_&amp;_Inputs'!$I$74),0)))*AL$10</f>
        <v>-3936.239376469247</v>
      </c>
      <c r="AM94" s="37">
        <f>(IF('Assumptions_&amp;_Inputs'!$I$77="Interest-only",0,IF(AM$7&gt;'Assumptions_&amp;_Inputs'!$I$80,PPMT('Assumptions_&amp;_Inputs'!$I$76,'Monthly_P&amp;L'!AM$7-'Assumptions_&amp;_Inputs'!$I$80,'Assumptions_&amp;_Inputs'!$I$78*12,'Assumptions_&amp;_Inputs'!$I$74),0)))*AM$10</f>
        <v>-3952.2761029310541</v>
      </c>
      <c r="AN94" s="37">
        <f>(IF('Assumptions_&amp;_Inputs'!$I$77="Interest-only",0,IF(AN$7&gt;'Assumptions_&amp;_Inputs'!$I$80,PPMT('Assumptions_&amp;_Inputs'!$I$76,'Monthly_P&amp;L'!AN$7-'Assumptions_&amp;_Inputs'!$I$80,'Assumptions_&amp;_Inputs'!$I$78*12,'Assumptions_&amp;_Inputs'!$I$74),0)))*AN$10</f>
        <v>-3968.3781650015499</v>
      </c>
      <c r="AO94" s="37">
        <f>(IF('Assumptions_&amp;_Inputs'!$I$77="Interest-only",0,IF(AO$7&gt;'Assumptions_&amp;_Inputs'!$I$80,PPMT('Assumptions_&amp;_Inputs'!$I$76,'Monthly_P&amp;L'!AO$7-'Assumptions_&amp;_Inputs'!$I$80,'Assumptions_&amp;_Inputs'!$I$78*12,'Assumptions_&amp;_Inputs'!$I$74),0)))*AO$10</f>
        <v>-3984.5458288660943</v>
      </c>
      <c r="AP94" s="37">
        <f>(IF('Assumptions_&amp;_Inputs'!$I$77="Interest-only",0,IF(AP$7&gt;'Assumptions_&amp;_Inputs'!$I$80,PPMT('Assumptions_&amp;_Inputs'!$I$76,'Monthly_P&amp;L'!AP$7-'Assumptions_&amp;_Inputs'!$I$80,'Assumptions_&amp;_Inputs'!$I$78*12,'Assumptions_&amp;_Inputs'!$I$74),0)))*AP$10</f>
        <v>-4000.779361794514</v>
      </c>
      <c r="AQ94" s="37">
        <f>(IF('Assumptions_&amp;_Inputs'!$I$77="Interest-only",0,IF(AQ$7&gt;'Assumptions_&amp;_Inputs'!$I$80,PPMT('Assumptions_&amp;_Inputs'!$I$76,'Monthly_P&amp;L'!AQ$7-'Assumptions_&amp;_Inputs'!$I$80,'Assumptions_&amp;_Inputs'!$I$78*12,'Assumptions_&amp;_Inputs'!$I$74),0)))*AQ$10</f>
        <v>-4017.0790321455306</v>
      </c>
      <c r="AR94" s="37">
        <f>(IF('Assumptions_&amp;_Inputs'!$I$77="Interest-only",0,IF(AR$7&gt;'Assumptions_&amp;_Inputs'!$I$80,PPMT('Assumptions_&amp;_Inputs'!$I$76,'Monthly_P&amp;L'!AR$7-'Assumptions_&amp;_Inputs'!$I$80,'Assumptions_&amp;_Inputs'!$I$78*12,'Assumptions_&amp;_Inputs'!$I$74),0)))*AR$10</f>
        <v>-4033.4451093711896</v>
      </c>
      <c r="AS94" s="37">
        <f>(IF('Assumptions_&amp;_Inputs'!$I$77="Interest-only",0,IF(AS$7&gt;'Assumptions_&amp;_Inputs'!$I$80,PPMT('Assumptions_&amp;_Inputs'!$I$76,'Monthly_P&amp;L'!AS$7-'Assumptions_&amp;_Inputs'!$I$80,'Assumptions_&amp;_Inputs'!$I$78*12,'Assumptions_&amp;_Inputs'!$I$74),0)))*AS$10</f>
        <v>-4049.8778640213195</v>
      </c>
      <c r="AT94" s="37">
        <f>(IF('Assumptions_&amp;_Inputs'!$I$77="Interest-only",0,IF(AT$7&gt;'Assumptions_&amp;_Inputs'!$I$80,PPMT('Assumptions_&amp;_Inputs'!$I$76,'Monthly_P&amp;L'!AT$7-'Assumptions_&amp;_Inputs'!$I$80,'Assumptions_&amp;_Inputs'!$I$78*12,'Assumptions_&amp;_Inputs'!$I$74),0)))*AT$10</f>
        <v>-4066.3775677479989</v>
      </c>
      <c r="AU94" s="37">
        <f>(IF('Assumptions_&amp;_Inputs'!$I$77="Interest-only",0,IF(AU$7&gt;'Assumptions_&amp;_Inputs'!$I$80,PPMT('Assumptions_&amp;_Inputs'!$I$76,'Monthly_P&amp;L'!AU$7-'Assumptions_&amp;_Inputs'!$I$80,'Assumptions_&amp;_Inputs'!$I$78*12,'Assumptions_&amp;_Inputs'!$I$74),0)))*AU$10</f>
        <v>-4082.9444933100558</v>
      </c>
      <c r="AV94" s="37">
        <f>(IF('Assumptions_&amp;_Inputs'!$I$77="Interest-only",0,IF(AV$7&gt;'Assumptions_&amp;_Inputs'!$I$80,PPMT('Assumptions_&amp;_Inputs'!$I$76,'Monthly_P&amp;L'!AV$7-'Assumptions_&amp;_Inputs'!$I$80,'Assumptions_&amp;_Inputs'!$I$78*12,'Assumptions_&amp;_Inputs'!$I$74),0)))*AV$10</f>
        <v>-4099.5789145775661</v>
      </c>
      <c r="AW94" s="37">
        <f>(IF('Assumptions_&amp;_Inputs'!$I$77="Interest-only",0,IF(AW$7&gt;'Assumptions_&amp;_Inputs'!$I$80,PPMT('Assumptions_&amp;_Inputs'!$I$76,'Monthly_P&amp;L'!AW$7-'Assumptions_&amp;_Inputs'!$I$80,'Assumptions_&amp;_Inputs'!$I$78*12,'Assumptions_&amp;_Inputs'!$I$74),0)))*AW$10</f>
        <v>-4116.2811065363903</v>
      </c>
      <c r="AX94" s="37">
        <f>(IF('Assumptions_&amp;_Inputs'!$I$77="Interest-only",0,IF(AX$7&gt;'Assumptions_&amp;_Inputs'!$I$80,PPMT('Assumptions_&amp;_Inputs'!$I$76,'Monthly_P&amp;L'!AX$7-'Assumptions_&amp;_Inputs'!$I$80,'Assumptions_&amp;_Inputs'!$I$78*12,'Assumptions_&amp;_Inputs'!$I$74),0)))*AX$10</f>
        <v>-4133.0513452927125</v>
      </c>
      <c r="AY94" s="37">
        <f>(IF('Assumptions_&amp;_Inputs'!$I$77="Interest-only",0,IF(AY$7&gt;'Assumptions_&amp;_Inputs'!$I$80,PPMT('Assumptions_&amp;_Inputs'!$I$76,'Monthly_P&amp;L'!AY$7-'Assumptions_&amp;_Inputs'!$I$80,'Assumptions_&amp;_Inputs'!$I$78*12,'Assumptions_&amp;_Inputs'!$I$74),0)))*AY$10</f>
        <v>-4149.8899080776082</v>
      </c>
      <c r="AZ94" s="37">
        <f>(IF('Assumptions_&amp;_Inputs'!$I$77="Interest-only",0,IF(AZ$7&gt;'Assumptions_&amp;_Inputs'!$I$80,PPMT('Assumptions_&amp;_Inputs'!$I$76,'Monthly_P&amp;L'!AZ$7-'Assumptions_&amp;_Inputs'!$I$80,'Assumptions_&amp;_Inputs'!$I$78*12,'Assumptions_&amp;_Inputs'!$I$74),0)))*AZ$10</f>
        <v>-4166.7970732516305</v>
      </c>
      <c r="BA94" s="37">
        <f>(IF('Assumptions_&amp;_Inputs'!$I$77="Interest-only",0,IF(BA$7&gt;'Assumptions_&amp;_Inputs'!$I$80,PPMT('Assumptions_&amp;_Inputs'!$I$76,'Monthly_P&amp;L'!BA$7-'Assumptions_&amp;_Inputs'!$I$80,'Assumptions_&amp;_Inputs'!$I$78*12,'Assumptions_&amp;_Inputs'!$I$74),0)))*BA$10</f>
        <v>-4183.7731203094008</v>
      </c>
      <c r="BB94" s="37">
        <f>(IF('Assumptions_&amp;_Inputs'!$I$77="Interest-only",0,IF(BB$7&gt;'Assumptions_&amp;_Inputs'!$I$80,PPMT('Assumptions_&amp;_Inputs'!$I$76,'Monthly_P&amp;L'!BB$7-'Assumptions_&amp;_Inputs'!$I$80,'Assumptions_&amp;_Inputs'!$I$78*12,'Assumptions_&amp;_Inputs'!$I$74),0)))*BB$10</f>
        <v>-4200.8183298842414</v>
      </c>
      <c r="BC94" s="37">
        <f>(IF('Assumptions_&amp;_Inputs'!$I$77="Interest-only",0,IF(BC$7&gt;'Assumptions_&amp;_Inputs'!$I$80,PPMT('Assumptions_&amp;_Inputs'!$I$76,'Monthly_P&amp;L'!BC$7-'Assumptions_&amp;_Inputs'!$I$80,'Assumptions_&amp;_Inputs'!$I$78*12,'Assumptions_&amp;_Inputs'!$I$74),0)))*BC$10</f>
        <v>-4217.9329837528094</v>
      </c>
      <c r="BD94" s="37">
        <f>(IF('Assumptions_&amp;_Inputs'!$I$77="Interest-only",0,IF(BD$7&gt;'Assumptions_&amp;_Inputs'!$I$80,PPMT('Assumptions_&amp;_Inputs'!$I$76,'Monthly_P&amp;L'!BD$7-'Assumptions_&amp;_Inputs'!$I$80,'Assumptions_&amp;_Inputs'!$I$78*12,'Assumptions_&amp;_Inputs'!$I$74),0)))*BD$10</f>
        <v>-4235.1173648397507</v>
      </c>
      <c r="BE94" s="37">
        <f>(IF('Assumptions_&amp;_Inputs'!$I$77="Interest-only",0,IF(BE$7&gt;'Assumptions_&amp;_Inputs'!$I$80,PPMT('Assumptions_&amp;_Inputs'!$I$76,'Monthly_P&amp;L'!BE$7-'Assumptions_&amp;_Inputs'!$I$80,'Assumptions_&amp;_Inputs'!$I$78*12,'Assumptions_&amp;_Inputs'!$I$74),0)))*BE$10</f>
        <v>-4252.3717572223877</v>
      </c>
      <c r="BF94" s="37">
        <f>(IF('Assumptions_&amp;_Inputs'!$I$77="Interest-only",0,IF(BF$7&gt;'Assumptions_&amp;_Inputs'!$I$80,PPMT('Assumptions_&amp;_Inputs'!$I$76,'Monthly_P&amp;L'!BF$7-'Assumptions_&amp;_Inputs'!$I$80,'Assumptions_&amp;_Inputs'!$I$78*12,'Assumptions_&amp;_Inputs'!$I$74),0)))*BF$10</f>
        <v>-4269.6964461354009</v>
      </c>
      <c r="BG94" s="37">
        <f>(IF('Assumptions_&amp;_Inputs'!$I$77="Interest-only",0,IF(BG$7&gt;'Assumptions_&amp;_Inputs'!$I$80,PPMT('Assumptions_&amp;_Inputs'!$I$76,'Monthly_P&amp;L'!BG$7-'Assumptions_&amp;_Inputs'!$I$80,'Assumptions_&amp;_Inputs'!$I$78*12,'Assumptions_&amp;_Inputs'!$I$74),0)))*BG$10</f>
        <v>-4287.0917179755606</v>
      </c>
      <c r="BH94" s="37">
        <f>(IF('Assumptions_&amp;_Inputs'!$I$77="Interest-only",0,IF(BH$7&gt;'Assumptions_&amp;_Inputs'!$I$80,PPMT('Assumptions_&amp;_Inputs'!$I$76,'Monthly_P&amp;L'!BH$7-'Assumptions_&amp;_Inputs'!$I$80,'Assumptions_&amp;_Inputs'!$I$78*12,'Assumptions_&amp;_Inputs'!$I$74),0)))*BH$10</f>
        <v>-4304.5578603064469</v>
      </c>
      <c r="BI94" s="37">
        <f>(IF('Assumptions_&amp;_Inputs'!$I$77="Interest-only",0,IF(BI$7&gt;'Assumptions_&amp;_Inputs'!$I$80,PPMT('Assumptions_&amp;_Inputs'!$I$76,'Monthly_P&amp;L'!BI$7-'Assumptions_&amp;_Inputs'!$I$80,'Assumptions_&amp;_Inputs'!$I$78*12,'Assumptions_&amp;_Inputs'!$I$74),0)))*BI$10</f>
        <v>-4322.0951618632125</v>
      </c>
      <c r="BJ94" s="37">
        <f>(IF('Assumptions_&amp;_Inputs'!$I$77="Interest-only",0,IF(BJ$7&gt;'Assumptions_&amp;_Inputs'!$I$80,PPMT('Assumptions_&amp;_Inputs'!$I$76,'Monthly_P&amp;L'!BJ$7-'Assumptions_&amp;_Inputs'!$I$80,'Assumptions_&amp;_Inputs'!$I$78*12,'Assumptions_&amp;_Inputs'!$I$74),0)))*BJ$10</f>
        <v>-4339.703912557351</v>
      </c>
      <c r="BK94" s="37">
        <f>(IF('Assumptions_&amp;_Inputs'!$I$77="Interest-only",0,IF(BK$7&gt;'Assumptions_&amp;_Inputs'!$I$80,PPMT('Assumptions_&amp;_Inputs'!$I$76,'Monthly_P&amp;L'!BK$7-'Assumptions_&amp;_Inputs'!$I$80,'Assumptions_&amp;_Inputs'!$I$78*12,'Assumptions_&amp;_Inputs'!$I$74),0)))*BK$10</f>
        <v>-4357.384403481492</v>
      </c>
      <c r="BL94" s="37">
        <f>(IF('Assumptions_&amp;_Inputs'!$I$77="Interest-only",0,IF(BL$7&gt;'Assumptions_&amp;_Inputs'!$I$80,PPMT('Assumptions_&amp;_Inputs'!$I$76,'Monthly_P&amp;L'!BL$7-'Assumptions_&amp;_Inputs'!$I$80,'Assumptions_&amp;_Inputs'!$I$78*12,'Assumptions_&amp;_Inputs'!$I$74),0)))*BL$10</f>
        <v>-4375.1369269142151</v>
      </c>
      <c r="BM94" s="37">
        <f>(IF('Assumptions_&amp;_Inputs'!$I$77="Interest-only",0,IF(BM$7&gt;'Assumptions_&amp;_Inputs'!$I$80,PPMT('Assumptions_&amp;_Inputs'!$I$76,'Monthly_P&amp;L'!BM$7-'Assumptions_&amp;_Inputs'!$I$80,'Assumptions_&amp;_Inputs'!$I$78*12,'Assumptions_&amp;_Inputs'!$I$74),0)))*BM$10</f>
        <v>-4392.9617763248743</v>
      </c>
      <c r="BN94" s="37">
        <f>(IF('Assumptions_&amp;_Inputs'!$I$77="Interest-only",0,IF(BN$7&gt;'Assumptions_&amp;_Inputs'!$I$80,PPMT('Assumptions_&amp;_Inputs'!$I$76,'Monthly_P&amp;L'!BN$7-'Assumptions_&amp;_Inputs'!$I$80,'Assumptions_&amp;_Inputs'!$I$78*12,'Assumptions_&amp;_Inputs'!$I$74),0)))*BN$10</f>
        <v>-4410.8592463784571</v>
      </c>
      <c r="BO94" s="37">
        <f>(IF('Assumptions_&amp;_Inputs'!$I$77="Interest-only",0,IF(BO$7&gt;'Assumptions_&amp;_Inputs'!$I$80,PPMT('Assumptions_&amp;_Inputs'!$I$76,'Monthly_P&amp;L'!BO$7-'Assumptions_&amp;_Inputs'!$I$80,'Assumptions_&amp;_Inputs'!$I$78*12,'Assumptions_&amp;_Inputs'!$I$74),0)))*BO$10</f>
        <v>-4428.8296329404529</v>
      </c>
      <c r="BP94" s="37">
        <f>(IF('Assumptions_&amp;_Inputs'!$I$77="Interest-only",0,IF(BP$7&gt;'Assumptions_&amp;_Inputs'!$I$80,PPMT('Assumptions_&amp;_Inputs'!$I$76,'Monthly_P&amp;L'!BP$7-'Assumptions_&amp;_Inputs'!$I$80,'Assumptions_&amp;_Inputs'!$I$78*12,'Assumptions_&amp;_Inputs'!$I$74),0)))*BP$10</f>
        <v>-4446.8732330817429</v>
      </c>
      <c r="BQ94" s="37">
        <f>(IF('Assumptions_&amp;_Inputs'!$I$77="Interest-only",0,IF(BQ$7&gt;'Assumptions_&amp;_Inputs'!$I$80,PPMT('Assumptions_&amp;_Inputs'!$I$76,'Monthly_P&amp;L'!BQ$7-'Assumptions_&amp;_Inputs'!$I$80,'Assumptions_&amp;_Inputs'!$I$78*12,'Assumptions_&amp;_Inputs'!$I$74),0)))*BQ$10</f>
        <v>-4464.99034508351</v>
      </c>
      <c r="BR94" s="37">
        <f>(IF('Assumptions_&amp;_Inputs'!$I$77="Interest-only",0,IF(BR$7&gt;'Assumptions_&amp;_Inputs'!$I$80,PPMT('Assumptions_&amp;_Inputs'!$I$76,'Monthly_P&amp;L'!BR$7-'Assumptions_&amp;_Inputs'!$I$80,'Assumptions_&amp;_Inputs'!$I$78*12,'Assumptions_&amp;_Inputs'!$I$74),0)))*BR$10</f>
        <v>-4483.1812684421748</v>
      </c>
      <c r="BS94" s="37">
        <f>(IF('Assumptions_&amp;_Inputs'!$I$77="Interest-only",0,IF(BS$7&gt;'Assumptions_&amp;_Inputs'!$I$80,PPMT('Assumptions_&amp;_Inputs'!$I$76,'Monthly_P&amp;L'!BS$7-'Assumptions_&amp;_Inputs'!$I$80,'Assumptions_&amp;_Inputs'!$I$78*12,'Assumptions_&amp;_Inputs'!$I$74),0)))*BS$10</f>
        <v>-4501.4463038743415</v>
      </c>
      <c r="BT94" s="37">
        <f>(IF('Assumptions_&amp;_Inputs'!$I$77="Interest-only",0,IF(BT$7&gt;'Assumptions_&amp;_Inputs'!$I$80,PPMT('Assumptions_&amp;_Inputs'!$I$76,'Monthly_P&amp;L'!BT$7-'Assumptions_&amp;_Inputs'!$I$80,'Assumptions_&amp;_Inputs'!$I$78*12,'Assumptions_&amp;_Inputs'!$I$74),0)))*BT$10</f>
        <v>-4519.785753321773</v>
      </c>
      <c r="BU94" s="37">
        <f>(IF('Assumptions_&amp;_Inputs'!$I$77="Interest-only",0,IF(BU$7&gt;'Assumptions_&amp;_Inputs'!$I$80,PPMT('Assumptions_&amp;_Inputs'!$I$76,'Monthly_P&amp;L'!BU$7-'Assumptions_&amp;_Inputs'!$I$80,'Assumptions_&amp;_Inputs'!$I$78*12,'Assumptions_&amp;_Inputs'!$I$74),0)))*BU$10</f>
        <v>-4538.1999199563761</v>
      </c>
      <c r="BV94" s="37">
        <f>(IF('Assumptions_&amp;_Inputs'!$I$77="Interest-only",0,IF(BV$7&gt;'Assumptions_&amp;_Inputs'!$I$80,PPMT('Assumptions_&amp;_Inputs'!$I$76,'Monthly_P&amp;L'!BV$7-'Assumptions_&amp;_Inputs'!$I$80,'Assumptions_&amp;_Inputs'!$I$78*12,'Assumptions_&amp;_Inputs'!$I$74),0)))*BV$10</f>
        <v>-4556.6891081852218</v>
      </c>
      <c r="BW94" s="37">
        <f>(IF('Assumptions_&amp;_Inputs'!$I$77="Interest-only",0,IF(BW$7&gt;'Assumptions_&amp;_Inputs'!$I$80,PPMT('Assumptions_&amp;_Inputs'!$I$76,'Monthly_P&amp;L'!BW$7-'Assumptions_&amp;_Inputs'!$I$80,'Assumptions_&amp;_Inputs'!$I$78*12,'Assumptions_&amp;_Inputs'!$I$74),0)))*BW$10</f>
        <v>-4575.2536236555698</v>
      </c>
      <c r="BX94" s="37">
        <f>(IF('Assumptions_&amp;_Inputs'!$I$77="Interest-only",0,IF(BX$7&gt;'Assumptions_&amp;_Inputs'!$I$80,PPMT('Assumptions_&amp;_Inputs'!$I$76,'Monthly_P&amp;L'!BX$7-'Assumptions_&amp;_Inputs'!$I$80,'Assumptions_&amp;_Inputs'!$I$78*12,'Assumptions_&amp;_Inputs'!$I$74),0)))*BX$10</f>
        <v>-4593.8937732599288</v>
      </c>
      <c r="BY94" s="37">
        <f>(IF('Assumptions_&amp;_Inputs'!$I$77="Interest-only",0,IF(BY$7&gt;'Assumptions_&amp;_Inputs'!$I$80,PPMT('Assumptions_&amp;_Inputs'!$I$76,'Monthly_P&amp;L'!BY$7-'Assumptions_&amp;_Inputs'!$I$80,'Assumptions_&amp;_Inputs'!$I$78*12,'Assumptions_&amp;_Inputs'!$I$74),0)))*BY$10</f>
        <v>-4612.6098651411203</v>
      </c>
      <c r="BZ94" s="37">
        <f>(IF('Assumptions_&amp;_Inputs'!$I$77="Interest-only",0,IF(BZ$7&gt;'Assumptions_&amp;_Inputs'!$I$80,PPMT('Assumptions_&amp;_Inputs'!$I$76,'Monthly_P&amp;L'!BZ$7-'Assumptions_&amp;_Inputs'!$I$80,'Assumptions_&amp;_Inputs'!$I$78*12,'Assumptions_&amp;_Inputs'!$I$74),0)))*BZ$10</f>
        <v>-4631.4022086973828</v>
      </c>
      <c r="CA94" s="37">
        <f>(IF('Assumptions_&amp;_Inputs'!$I$77="Interest-only",0,IF(CA$7&gt;'Assumptions_&amp;_Inputs'!$I$80,PPMT('Assumptions_&amp;_Inputs'!$I$76,'Monthly_P&amp;L'!CA$7-'Assumptions_&amp;_Inputs'!$I$80,'Assumptions_&amp;_Inputs'!$I$78*12,'Assumptions_&amp;_Inputs'!$I$74),0)))*CA$10</f>
        <v>-4650.2711145874782</v>
      </c>
      <c r="CB94" s="37">
        <f>(IF('Assumptions_&amp;_Inputs'!$I$77="Interest-only",0,IF(CB$7&gt;'Assumptions_&amp;_Inputs'!$I$80,PPMT('Assumptions_&amp;_Inputs'!$I$76,'Monthly_P&amp;L'!CB$7-'Assumptions_&amp;_Inputs'!$I$80,'Assumptions_&amp;_Inputs'!$I$78*12,'Assumptions_&amp;_Inputs'!$I$74),0)))*CB$10</f>
        <v>-4669.2168947358323</v>
      </c>
      <c r="CC94" s="37">
        <f>(IF('Assumptions_&amp;_Inputs'!$I$77="Interest-only",0,IF(CC$7&gt;'Assumptions_&amp;_Inputs'!$I$80,PPMT('Assumptions_&amp;_Inputs'!$I$76,'Monthly_P&amp;L'!CC$7-'Assumptions_&amp;_Inputs'!$I$80,'Assumptions_&amp;_Inputs'!$I$78*12,'Assumptions_&amp;_Inputs'!$I$74),0)))*CC$10</f>
        <v>-4688.2398623376876</v>
      </c>
      <c r="CD94" s="37">
        <f>(IF('Assumptions_&amp;_Inputs'!$I$77="Interest-only",0,IF(CD$7&gt;'Assumptions_&amp;_Inputs'!$I$80,PPMT('Assumptions_&amp;_Inputs'!$I$76,'Monthly_P&amp;L'!CD$7-'Assumptions_&amp;_Inputs'!$I$80,'Assumptions_&amp;_Inputs'!$I$78*12,'Assumptions_&amp;_Inputs'!$I$74),0)))*CD$10</f>
        <v>-4707.3403318642868</v>
      </c>
      <c r="CE94" s="37">
        <f>(IF('Assumptions_&amp;_Inputs'!$I$77="Interest-only",0,IF(CE$7&gt;'Assumptions_&amp;_Inputs'!$I$80,PPMT('Assumptions_&amp;_Inputs'!$I$76,'Monthly_P&amp;L'!CE$7-'Assumptions_&amp;_Inputs'!$I$80,'Assumptions_&amp;_Inputs'!$I$78*12,'Assumptions_&amp;_Inputs'!$I$74),0)))*CE$10</f>
        <v>-4726.5186190680624</v>
      </c>
      <c r="CF94" s="37">
        <f>(IF('Assumptions_&amp;_Inputs'!$I$77="Interest-only",0,IF(CF$7&gt;'Assumptions_&amp;_Inputs'!$I$80,PPMT('Assumptions_&amp;_Inputs'!$I$76,'Monthly_P&amp;L'!CF$7-'Assumptions_&amp;_Inputs'!$I$80,'Assumptions_&amp;_Inputs'!$I$78*12,'Assumptions_&amp;_Inputs'!$I$74),0)))*CF$10</f>
        <v>-4745.7750409878645</v>
      </c>
      <c r="CG94" s="37">
        <f>(IF('Assumptions_&amp;_Inputs'!$I$77="Interest-only",0,IF(CG$7&gt;'Assumptions_&amp;_Inputs'!$I$80,PPMT('Assumptions_&amp;_Inputs'!$I$76,'Monthly_P&amp;L'!CG$7-'Assumptions_&amp;_Inputs'!$I$80,'Assumptions_&amp;_Inputs'!$I$78*12,'Assumptions_&amp;_Inputs'!$I$74),0)))*CG$10</f>
        <v>-4765.1099159541973</v>
      </c>
      <c r="CH94" s="37">
        <f>(IF('Assumptions_&amp;_Inputs'!$I$77="Interest-only",0,IF(CH$7&gt;'Assumptions_&amp;_Inputs'!$I$80,PPMT('Assumptions_&amp;_Inputs'!$I$76,'Monthly_P&amp;L'!CH$7-'Assumptions_&amp;_Inputs'!$I$80,'Assumptions_&amp;_Inputs'!$I$78*12,'Assumptions_&amp;_Inputs'!$I$74),0)))*CH$10</f>
        <v>-4784.5235635944855</v>
      </c>
      <c r="CI94" s="37">
        <f>(IF('Assumptions_&amp;_Inputs'!$I$77="Interest-only",0,IF(CI$7&gt;'Assumptions_&amp;_Inputs'!$I$80,PPMT('Assumptions_&amp;_Inputs'!$I$76,'Monthly_P&amp;L'!CI$7-'Assumptions_&amp;_Inputs'!$I$80,'Assumptions_&amp;_Inputs'!$I$78*12,'Assumptions_&amp;_Inputs'!$I$74),0)))*CI$10</f>
        <v>-4804.0163048383511</v>
      </c>
      <c r="CJ94" s="37">
        <f>(IF('Assumptions_&amp;_Inputs'!$I$77="Interest-only",0,IF(CJ$7&gt;'Assumptions_&amp;_Inputs'!$I$80,PPMT('Assumptions_&amp;_Inputs'!$I$76,'Monthly_P&amp;L'!CJ$7-'Assumptions_&amp;_Inputs'!$I$80,'Assumptions_&amp;_Inputs'!$I$78*12,'Assumptions_&amp;_Inputs'!$I$74),0)))*CJ$10</f>
        <v>-4823.5884619229273</v>
      </c>
      <c r="CK94" s="37">
        <f>(IF('Assumptions_&amp;_Inputs'!$I$77="Interest-only",0,IF(CK$7&gt;'Assumptions_&amp;_Inputs'!$I$80,PPMT('Assumptions_&amp;_Inputs'!$I$76,'Monthly_P&amp;L'!CK$7-'Assumptions_&amp;_Inputs'!$I$80,'Assumptions_&amp;_Inputs'!$I$78*12,'Assumptions_&amp;_Inputs'!$I$74),0)))*CK$10</f>
        <v>-4843.2403583981795</v>
      </c>
      <c r="CL94" s="37">
        <f>(IF('Assumptions_&amp;_Inputs'!$I$77="Interest-only",0,IF(CL$7&gt;'Assumptions_&amp;_Inputs'!$I$80,PPMT('Assumptions_&amp;_Inputs'!$I$76,'Monthly_P&amp;L'!CL$7-'Assumptions_&amp;_Inputs'!$I$80,'Assumptions_&amp;_Inputs'!$I$78*12,'Assumptions_&amp;_Inputs'!$I$74),0)))*CL$10</f>
        <v>-4862.9723191322555</v>
      </c>
      <c r="CM94" s="37">
        <f>(IF('Assumptions_&amp;_Inputs'!$I$77="Interest-only",0,IF(CM$7&gt;'Assumptions_&amp;_Inputs'!$I$80,PPMT('Assumptions_&amp;_Inputs'!$I$76,'Monthly_P&amp;L'!CM$7-'Assumptions_&amp;_Inputs'!$I$80,'Assumptions_&amp;_Inputs'!$I$78*12,'Assumptions_&amp;_Inputs'!$I$74),0)))*CM$10</f>
        <v>-4882.7846703168552</v>
      </c>
      <c r="CN94" s="37">
        <f>(IF('Assumptions_&amp;_Inputs'!$I$77="Interest-only",0,IF(CN$7&gt;'Assumptions_&amp;_Inputs'!$I$80,PPMT('Assumptions_&amp;_Inputs'!$I$76,'Monthly_P&amp;L'!CN$7-'Assumptions_&amp;_Inputs'!$I$80,'Assumptions_&amp;_Inputs'!$I$78*12,'Assumptions_&amp;_Inputs'!$I$74),0)))*CN$10</f>
        <v>-4902.6777394726269</v>
      </c>
      <c r="CO94" s="37">
        <f>(IF('Assumptions_&amp;_Inputs'!$I$77="Interest-only",0,IF(CO$7&gt;'Assumptions_&amp;_Inputs'!$I$80,PPMT('Assumptions_&amp;_Inputs'!$I$76,'Monthly_P&amp;L'!CO$7-'Assumptions_&amp;_Inputs'!$I$80,'Assumptions_&amp;_Inputs'!$I$78*12,'Assumptions_&amp;_Inputs'!$I$74),0)))*CO$10</f>
        <v>-4922.6518554545755</v>
      </c>
      <c r="CP94" s="37">
        <f>(IF('Assumptions_&amp;_Inputs'!$I$77="Interest-only",0,IF(CP$7&gt;'Assumptions_&amp;_Inputs'!$I$80,PPMT('Assumptions_&amp;_Inputs'!$I$76,'Monthly_P&amp;L'!CP$7-'Assumptions_&amp;_Inputs'!$I$80,'Assumptions_&amp;_Inputs'!$I$78*12,'Assumptions_&amp;_Inputs'!$I$74),0)))*CP$10</f>
        <v>-4942.7073484575039</v>
      </c>
      <c r="CQ94" s="37">
        <f>(IF('Assumptions_&amp;_Inputs'!$I$77="Interest-only",0,IF(CQ$7&gt;'Assumptions_&amp;_Inputs'!$I$80,PPMT('Assumptions_&amp;_Inputs'!$I$76,'Monthly_P&amp;L'!CQ$7-'Assumptions_&amp;_Inputs'!$I$80,'Assumptions_&amp;_Inputs'!$I$78*12,'Assumptions_&amp;_Inputs'!$I$74),0)))*CQ$10</f>
        <v>-4962.8445500214675</v>
      </c>
      <c r="CR94" s="37">
        <f>(IF('Assumptions_&amp;_Inputs'!$I$77="Interest-only",0,IF(CR$7&gt;'Assumptions_&amp;_Inputs'!$I$80,PPMT('Assumptions_&amp;_Inputs'!$I$76,'Monthly_P&amp;L'!CR$7-'Assumptions_&amp;_Inputs'!$I$80,'Assumptions_&amp;_Inputs'!$I$78*12,'Assumptions_&amp;_Inputs'!$I$74),0)))*CR$10</f>
        <v>-4983.0637930372604</v>
      </c>
      <c r="CS94" s="37">
        <f>(IF('Assumptions_&amp;_Inputs'!$I$77="Interest-only",0,IF(CS$7&gt;'Assumptions_&amp;_Inputs'!$I$80,PPMT('Assumptions_&amp;_Inputs'!$I$76,'Monthly_P&amp;L'!CS$7-'Assumptions_&amp;_Inputs'!$I$80,'Assumptions_&amp;_Inputs'!$I$78*12,'Assumptions_&amp;_Inputs'!$I$74),0)))*CS$10</f>
        <v>-5003.36541175191</v>
      </c>
      <c r="CT94" s="37">
        <f>(IF('Assumptions_&amp;_Inputs'!$I$77="Interest-only",0,IF(CT$7&gt;'Assumptions_&amp;_Inputs'!$I$80,PPMT('Assumptions_&amp;_Inputs'!$I$76,'Monthly_P&amp;L'!CT$7-'Assumptions_&amp;_Inputs'!$I$80,'Assumptions_&amp;_Inputs'!$I$78*12,'Assumptions_&amp;_Inputs'!$I$74),0)))*CT$10</f>
        <v>-5023.7497417742125</v>
      </c>
      <c r="CU94" s="37">
        <f>(IF('Assumptions_&amp;_Inputs'!$I$77="Interest-only",0,IF(CU$7&gt;'Assumptions_&amp;_Inputs'!$I$80,PPMT('Assumptions_&amp;_Inputs'!$I$76,'Monthly_P&amp;L'!CU$7-'Assumptions_&amp;_Inputs'!$I$80,'Assumptions_&amp;_Inputs'!$I$78*12,'Assumptions_&amp;_Inputs'!$I$74),0)))*CU$10</f>
        <v>-5044.2171200802713</v>
      </c>
      <c r="CV94" s="37">
        <f>(IF('Assumptions_&amp;_Inputs'!$I$77="Interest-only",0,IF(CV$7&gt;'Assumptions_&amp;_Inputs'!$I$80,PPMT('Assumptions_&amp;_Inputs'!$I$76,'Monthly_P&amp;L'!CV$7-'Assumptions_&amp;_Inputs'!$I$80,'Assumptions_&amp;_Inputs'!$I$78*12,'Assumptions_&amp;_Inputs'!$I$74),0)))*CV$10</f>
        <v>-5064.7678850190778</v>
      </c>
      <c r="CW94" s="37">
        <f>(IF('Assumptions_&amp;_Inputs'!$I$77="Interest-only",0,IF(CW$7&gt;'Assumptions_&amp;_Inputs'!$I$80,PPMT('Assumptions_&amp;_Inputs'!$I$76,'Monthly_P&amp;L'!CW$7-'Assumptions_&amp;_Inputs'!$I$80,'Assumptions_&amp;_Inputs'!$I$78*12,'Assumptions_&amp;_Inputs'!$I$74),0)))*CW$10</f>
        <v>-5085.4023763180912</v>
      </c>
      <c r="CX94" s="37">
        <f>(IF('Assumptions_&amp;_Inputs'!$I$77="Interest-only",0,IF(CX$7&gt;'Assumptions_&amp;_Inputs'!$I$80,PPMT('Assumptions_&amp;_Inputs'!$I$76,'Monthly_P&amp;L'!CX$7-'Assumptions_&amp;_Inputs'!$I$80,'Assumptions_&amp;_Inputs'!$I$78*12,'Assumptions_&amp;_Inputs'!$I$74),0)))*CX$10</f>
        <v>-5106.1209350888712</v>
      </c>
      <c r="CY94" s="37">
        <f>(IF('Assumptions_&amp;_Inputs'!$I$77="Interest-only",0,IF(CY$7&gt;'Assumptions_&amp;_Inputs'!$I$80,PPMT('Assumptions_&amp;_Inputs'!$I$76,'Monthly_P&amp;L'!CY$7-'Assumptions_&amp;_Inputs'!$I$80,'Assumptions_&amp;_Inputs'!$I$78*12,'Assumptions_&amp;_Inputs'!$I$74),0)))*CY$10</f>
        <v>-5126.9239038327005</v>
      </c>
      <c r="CZ94" s="37">
        <f>(IF('Assumptions_&amp;_Inputs'!$I$77="Interest-only",0,IF(CZ$7&gt;'Assumptions_&amp;_Inputs'!$I$80,PPMT('Assumptions_&amp;_Inputs'!$I$76,'Monthly_P&amp;L'!CZ$7-'Assumptions_&amp;_Inputs'!$I$80,'Assumptions_&amp;_Inputs'!$I$78*12,'Assumptions_&amp;_Inputs'!$I$74),0)))*CZ$10</f>
        <v>-5147.8116264462615</v>
      </c>
      <c r="DA94" s="37">
        <f>(IF('Assumptions_&amp;_Inputs'!$I$77="Interest-only",0,IF(DA$7&gt;'Assumptions_&amp;_Inputs'!$I$80,PPMT('Assumptions_&amp;_Inputs'!$I$76,'Monthly_P&amp;L'!DA$7-'Assumptions_&amp;_Inputs'!$I$80,'Assumptions_&amp;_Inputs'!$I$78*12,'Assumptions_&amp;_Inputs'!$I$74),0)))*DA$10</f>
        <v>-5168.7844482273067</v>
      </c>
      <c r="DB94" s="37">
        <f>(IF('Assumptions_&amp;_Inputs'!$I$77="Interest-only",0,IF(DB$7&gt;'Assumptions_&amp;_Inputs'!$I$80,PPMT('Assumptions_&amp;_Inputs'!$I$76,'Monthly_P&amp;L'!DB$7-'Assumptions_&amp;_Inputs'!$I$80,'Assumptions_&amp;_Inputs'!$I$78*12,'Assumptions_&amp;_Inputs'!$I$74),0)))*DB$10</f>
        <v>-5189.8427158803825</v>
      </c>
      <c r="DC94" s="37">
        <f>(IF('Assumptions_&amp;_Inputs'!$I$77="Interest-only",0,IF(DC$7&gt;'Assumptions_&amp;_Inputs'!$I$80,PPMT('Assumptions_&amp;_Inputs'!$I$76,'Monthly_P&amp;L'!DC$7-'Assumptions_&amp;_Inputs'!$I$80,'Assumptions_&amp;_Inputs'!$I$78*12,'Assumptions_&amp;_Inputs'!$I$74),0)))*DC$10</f>
        <v>-5210.9867775225439</v>
      </c>
      <c r="DD94" s="37">
        <f>(IF('Assumptions_&amp;_Inputs'!$I$77="Interest-only",0,IF(DD$7&gt;'Assumptions_&amp;_Inputs'!$I$80,PPMT('Assumptions_&amp;_Inputs'!$I$76,'Monthly_P&amp;L'!DD$7-'Assumptions_&amp;_Inputs'!$I$80,'Assumptions_&amp;_Inputs'!$I$78*12,'Assumptions_&amp;_Inputs'!$I$74),0)))*DD$10</f>
        <v>-5232.2169826891268</v>
      </c>
      <c r="DE94" s="37">
        <f>(IF('Assumptions_&amp;_Inputs'!$I$77="Interest-only",0,IF(DE$7&gt;'Assumptions_&amp;_Inputs'!$I$80,PPMT('Assumptions_&amp;_Inputs'!$I$76,'Monthly_P&amp;L'!DE$7-'Assumptions_&amp;_Inputs'!$I$80,'Assumptions_&amp;_Inputs'!$I$78*12,'Assumptions_&amp;_Inputs'!$I$74),0)))*DE$10</f>
        <v>-5253.5336823395073</v>
      </c>
      <c r="DF94" s="37">
        <f>(IF('Assumptions_&amp;_Inputs'!$I$77="Interest-only",0,IF(DF$7&gt;'Assumptions_&amp;_Inputs'!$I$80,PPMT('Assumptions_&amp;_Inputs'!$I$76,'Monthly_P&amp;L'!DF$7-'Assumptions_&amp;_Inputs'!$I$80,'Assumptions_&amp;_Inputs'!$I$78*12,'Assumptions_&amp;_Inputs'!$I$74),0)))*DF$10</f>
        <v>-5274.9372288629265</v>
      </c>
      <c r="DG94" s="37">
        <f>(IF('Assumptions_&amp;_Inputs'!$I$77="Interest-only",0,IF(DG$7&gt;'Assumptions_&amp;_Inputs'!$I$80,PPMT('Assumptions_&amp;_Inputs'!$I$76,'Monthly_P&amp;L'!DG$7-'Assumptions_&amp;_Inputs'!$I$80,'Assumptions_&amp;_Inputs'!$I$78*12,'Assumptions_&amp;_Inputs'!$I$74),0)))*DG$10</f>
        <v>-5296.4279760842883</v>
      </c>
      <c r="DH94" s="37">
        <f>(IF('Assumptions_&amp;_Inputs'!$I$77="Interest-only",0,IF(DH$7&gt;'Assumptions_&amp;_Inputs'!$I$80,PPMT('Assumptions_&amp;_Inputs'!$I$76,'Monthly_P&amp;L'!DH$7-'Assumptions_&amp;_Inputs'!$I$80,'Assumptions_&amp;_Inputs'!$I$78*12,'Assumptions_&amp;_Inputs'!$I$74),0)))*DH$10</f>
        <v>-5318.0062792700346</v>
      </c>
      <c r="DI94" s="37">
        <f>(IF('Assumptions_&amp;_Inputs'!$I$77="Interest-only",0,IF(DI$7&gt;'Assumptions_&amp;_Inputs'!$I$80,PPMT('Assumptions_&amp;_Inputs'!$I$76,'Monthly_P&amp;L'!DI$7-'Assumptions_&amp;_Inputs'!$I$80,'Assumptions_&amp;_Inputs'!$I$78*12,'Assumptions_&amp;_Inputs'!$I$74),0)))*DI$10</f>
        <v>-5339.6724951339993</v>
      </c>
      <c r="DJ94" s="37">
        <f>(IF('Assumptions_&amp;_Inputs'!$I$77="Interest-only",0,IF(DJ$7&gt;'Assumptions_&amp;_Inputs'!$I$80,PPMT('Assumptions_&amp;_Inputs'!$I$76,'Monthly_P&amp;L'!DJ$7-'Assumptions_&amp;_Inputs'!$I$80,'Assumptions_&amp;_Inputs'!$I$78*12,'Assumptions_&amp;_Inputs'!$I$74),0)))*DJ$10</f>
        <v>-5361.4269818433177</v>
      </c>
      <c r="DK94" s="37">
        <f>(IF('Assumptions_&amp;_Inputs'!$I$77="Interest-only",0,IF(DK$7&gt;'Assumptions_&amp;_Inputs'!$I$80,PPMT('Assumptions_&amp;_Inputs'!$I$76,'Monthly_P&amp;L'!DK$7-'Assumptions_&amp;_Inputs'!$I$80,'Assumptions_&amp;_Inputs'!$I$78*12,'Assumptions_&amp;_Inputs'!$I$74),0)))*DK$10</f>
        <v>-5383.2700990243384</v>
      </c>
      <c r="DL94" s="37">
        <f>(IF('Assumptions_&amp;_Inputs'!$I$77="Interest-only",0,IF(DL$7&gt;'Assumptions_&amp;_Inputs'!$I$80,PPMT('Assumptions_&amp;_Inputs'!$I$76,'Monthly_P&amp;L'!DL$7-'Assumptions_&amp;_Inputs'!$I$80,'Assumptions_&amp;_Inputs'!$I$78*12,'Assumptions_&amp;_Inputs'!$I$74),0)))*DL$10</f>
        <v>-5405.2022077685779</v>
      </c>
      <c r="DM94" s="37">
        <f>(IF('Assumptions_&amp;_Inputs'!$I$77="Interest-only",0,IF(DM$7&gt;'Assumptions_&amp;_Inputs'!$I$80,PPMT('Assumptions_&amp;_Inputs'!$I$76,'Monthly_P&amp;L'!DM$7-'Assumptions_&amp;_Inputs'!$I$80,'Assumptions_&amp;_Inputs'!$I$78*12,'Assumptions_&amp;_Inputs'!$I$74),0)))*DM$10</f>
        <v>-5427.2236706386757</v>
      </c>
      <c r="DN94" s="37">
        <f>(IF('Assumptions_&amp;_Inputs'!$I$77="Interest-only",0,IF(DN$7&gt;'Assumptions_&amp;_Inputs'!$I$80,PPMT('Assumptions_&amp;_Inputs'!$I$76,'Monthly_P&amp;L'!DN$7-'Assumptions_&amp;_Inputs'!$I$80,'Assumptions_&amp;_Inputs'!$I$78*12,'Assumptions_&amp;_Inputs'!$I$74),0)))*DN$10</f>
        <v>-5449.3348516744054</v>
      </c>
      <c r="DO94" s="37">
        <f>(IF('Assumptions_&amp;_Inputs'!$I$77="Interest-only",0,IF(DO$7&gt;'Assumptions_&amp;_Inputs'!$I$80,PPMT('Assumptions_&amp;_Inputs'!$I$76,'Monthly_P&amp;L'!DO$7-'Assumptions_&amp;_Inputs'!$I$80,'Assumptions_&amp;_Inputs'!$I$78*12,'Assumptions_&amp;_Inputs'!$I$74),0)))*DO$10</f>
        <v>-5471.5361163986754</v>
      </c>
      <c r="DP94" s="37">
        <f>(IF('Assumptions_&amp;_Inputs'!$I$77="Interest-only",0,IF(DP$7&gt;'Assumptions_&amp;_Inputs'!$I$80,PPMT('Assumptions_&amp;_Inputs'!$I$76,'Monthly_P&amp;L'!DP$7-'Assumptions_&amp;_Inputs'!$I$80,'Assumptions_&amp;_Inputs'!$I$78*12,'Assumptions_&amp;_Inputs'!$I$74),0)))*DP$10</f>
        <v>-5493.8278318235862</v>
      </c>
      <c r="DQ94" s="37">
        <f>(IF('Assumptions_&amp;_Inputs'!$I$77="Interest-only",0,IF(DQ$7&gt;'Assumptions_&amp;_Inputs'!$I$80,PPMT('Assumptions_&amp;_Inputs'!$I$76,'Monthly_P&amp;L'!DQ$7-'Assumptions_&amp;_Inputs'!$I$80,'Assumptions_&amp;_Inputs'!$I$78*12,'Assumptions_&amp;_Inputs'!$I$74),0)))*DQ$10</f>
        <v>-5516.2103664564875</v>
      </c>
      <c r="DR94" s="37">
        <f>(IF('Assumptions_&amp;_Inputs'!$I$77="Interest-only",0,IF(DR$7&gt;'Assumptions_&amp;_Inputs'!$I$80,PPMT('Assumptions_&amp;_Inputs'!$I$76,'Monthly_P&amp;L'!DR$7-'Assumptions_&amp;_Inputs'!$I$80,'Assumptions_&amp;_Inputs'!$I$78*12,'Assumptions_&amp;_Inputs'!$I$74),0)))*DR$10</f>
        <v>-5538.6840903060765</v>
      </c>
      <c r="DS94" s="37">
        <f>(IF('Assumptions_&amp;_Inputs'!$I$77="Interest-only",0,IF(DS$7&gt;'Assumptions_&amp;_Inputs'!$I$80,PPMT('Assumptions_&amp;_Inputs'!$I$76,'Monthly_P&amp;L'!DS$7-'Assumptions_&amp;_Inputs'!$I$80,'Assumptions_&amp;_Inputs'!$I$78*12,'Assumptions_&amp;_Inputs'!$I$74),0)))*DS$10</f>
        <v>-5561.2493748885063</v>
      </c>
      <c r="DT94" s="37">
        <f>(IF('Assumptions_&amp;_Inputs'!$I$77="Interest-only",0,IF(DT$7&gt;'Assumptions_&amp;_Inputs'!$I$80,PPMT('Assumptions_&amp;_Inputs'!$I$76,'Monthly_P&amp;L'!DT$7-'Assumptions_&amp;_Inputs'!$I$80,'Assumptions_&amp;_Inputs'!$I$78*12,'Assumptions_&amp;_Inputs'!$I$74),0)))*DT$10</f>
        <v>-5583.9065932335398</v>
      </c>
      <c r="DU94" s="37">
        <f>(IF('Assumptions_&amp;_Inputs'!$I$77="Interest-only",0,IF(DU$7&gt;'Assumptions_&amp;_Inputs'!$I$80,PPMT('Assumptions_&amp;_Inputs'!$I$76,'Monthly_P&amp;L'!DU$7-'Assumptions_&amp;_Inputs'!$I$80,'Assumptions_&amp;_Inputs'!$I$78*12,'Assumptions_&amp;_Inputs'!$I$74),0)))*DU$10</f>
        <v>-5606.6561198907038</v>
      </c>
      <c r="DV94" s="37">
        <f>(IF('Assumptions_&amp;_Inputs'!$I$77="Interest-only",0,IF(DV$7&gt;'Assumptions_&amp;_Inputs'!$I$80,PPMT('Assumptions_&amp;_Inputs'!$I$76,'Monthly_P&amp;L'!DV$7-'Assumptions_&amp;_Inputs'!$I$80,'Assumptions_&amp;_Inputs'!$I$78*12,'Assumptions_&amp;_Inputs'!$I$74),0)))*DV$10</f>
        <v>-5629.4983309354875</v>
      </c>
      <c r="DW94" s="37">
        <f>(IF('Assumptions_&amp;_Inputs'!$I$77="Interest-only",0,IF(DW$7&gt;'Assumptions_&amp;_Inputs'!$I$80,PPMT('Assumptions_&amp;_Inputs'!$I$76,'Monthly_P&amp;L'!DW$7-'Assumptions_&amp;_Inputs'!$I$80,'Assumptions_&amp;_Inputs'!$I$78*12,'Assumptions_&amp;_Inputs'!$I$74),0)))*DW$10</f>
        <v>0</v>
      </c>
      <c r="DX94" s="37">
        <f>(IF('Assumptions_&amp;_Inputs'!$I$77="Interest-only",0,IF(DX$7&gt;'Assumptions_&amp;_Inputs'!$I$80,PPMT('Assumptions_&amp;_Inputs'!$I$76,'Monthly_P&amp;L'!DX$7-'Assumptions_&amp;_Inputs'!$I$80,'Assumptions_&amp;_Inputs'!$I$78*12,'Assumptions_&amp;_Inputs'!$I$74),0)))*DX$10</f>
        <v>0</v>
      </c>
      <c r="DY94" s="37">
        <f>(IF('Assumptions_&amp;_Inputs'!$I$77="Interest-only",0,IF(DY$7&gt;'Assumptions_&amp;_Inputs'!$I$80,PPMT('Assumptions_&amp;_Inputs'!$I$76,'Monthly_P&amp;L'!DY$7-'Assumptions_&amp;_Inputs'!$I$80,'Assumptions_&amp;_Inputs'!$I$78*12,'Assumptions_&amp;_Inputs'!$I$74),0)))*DY$10</f>
        <v>0</v>
      </c>
      <c r="DZ94" s="37">
        <f>(IF('Assumptions_&amp;_Inputs'!$I$77="Interest-only",0,IF(DZ$7&gt;'Assumptions_&amp;_Inputs'!$I$80,PPMT('Assumptions_&amp;_Inputs'!$I$76,'Monthly_P&amp;L'!DZ$7-'Assumptions_&amp;_Inputs'!$I$80,'Assumptions_&amp;_Inputs'!$I$78*12,'Assumptions_&amp;_Inputs'!$I$74),0)))*DZ$10</f>
        <v>0</v>
      </c>
      <c r="EA94" s="37">
        <f>(IF('Assumptions_&amp;_Inputs'!$I$77="Interest-only",0,IF(EA$7&gt;'Assumptions_&amp;_Inputs'!$I$80,PPMT('Assumptions_&amp;_Inputs'!$I$76,'Monthly_P&amp;L'!EA$7-'Assumptions_&amp;_Inputs'!$I$80,'Assumptions_&amp;_Inputs'!$I$78*12,'Assumptions_&amp;_Inputs'!$I$74),0)))*EA$10</f>
        <v>0</v>
      </c>
      <c r="EB94" s="37">
        <f>(IF('Assumptions_&amp;_Inputs'!$I$77="Interest-only",0,IF(EB$7&gt;'Assumptions_&amp;_Inputs'!$I$80,PPMT('Assumptions_&amp;_Inputs'!$I$76,'Monthly_P&amp;L'!EB$7-'Assumptions_&amp;_Inputs'!$I$80,'Assumptions_&amp;_Inputs'!$I$78*12,'Assumptions_&amp;_Inputs'!$I$74),0)))*EB$10</f>
        <v>0</v>
      </c>
      <c r="EC94" s="37">
        <f>(IF('Assumptions_&amp;_Inputs'!$I$77="Interest-only",0,IF(EC$7&gt;'Assumptions_&amp;_Inputs'!$I$80,PPMT('Assumptions_&amp;_Inputs'!$I$76,'Monthly_P&amp;L'!EC$7-'Assumptions_&amp;_Inputs'!$I$80,'Assumptions_&amp;_Inputs'!$I$78*12,'Assumptions_&amp;_Inputs'!$I$74),0)))*EC$10</f>
        <v>0</v>
      </c>
      <c r="ED94" s="37">
        <f>(IF('Assumptions_&amp;_Inputs'!$I$77="Interest-only",0,IF(ED$7&gt;'Assumptions_&amp;_Inputs'!$I$80,PPMT('Assumptions_&amp;_Inputs'!$I$76,'Monthly_P&amp;L'!ED$7-'Assumptions_&amp;_Inputs'!$I$80,'Assumptions_&amp;_Inputs'!$I$78*12,'Assumptions_&amp;_Inputs'!$I$74),0)))*ED$10</f>
        <v>0</v>
      </c>
      <c r="EE94" s="37">
        <f>(IF('Assumptions_&amp;_Inputs'!$I$77="Interest-only",0,IF(EE$7&gt;'Assumptions_&amp;_Inputs'!$I$80,PPMT('Assumptions_&amp;_Inputs'!$I$76,'Monthly_P&amp;L'!EE$7-'Assumptions_&amp;_Inputs'!$I$80,'Assumptions_&amp;_Inputs'!$I$78*12,'Assumptions_&amp;_Inputs'!$I$74),0)))*EE$10</f>
        <v>0</v>
      </c>
      <c r="EF94" s="37">
        <f>(IF('Assumptions_&amp;_Inputs'!$I$77="Interest-only",0,IF(EF$7&gt;'Assumptions_&amp;_Inputs'!$I$80,PPMT('Assumptions_&amp;_Inputs'!$I$76,'Monthly_P&amp;L'!EF$7-'Assumptions_&amp;_Inputs'!$I$80,'Assumptions_&amp;_Inputs'!$I$78*12,'Assumptions_&amp;_Inputs'!$I$74),0)))*EF$10</f>
        <v>0</v>
      </c>
      <c r="EG94" s="37">
        <f>(IF('Assumptions_&amp;_Inputs'!$I$77="Interest-only",0,IF(EG$7&gt;'Assumptions_&amp;_Inputs'!$I$80,PPMT('Assumptions_&amp;_Inputs'!$I$76,'Monthly_P&amp;L'!EG$7-'Assumptions_&amp;_Inputs'!$I$80,'Assumptions_&amp;_Inputs'!$I$78*12,'Assumptions_&amp;_Inputs'!$I$74),0)))*EG$10</f>
        <v>0</v>
      </c>
      <c r="EH94" s="37">
        <f>(IF('Assumptions_&amp;_Inputs'!$I$77="Interest-only",0,IF(EH$7&gt;'Assumptions_&amp;_Inputs'!$I$80,PPMT('Assumptions_&amp;_Inputs'!$I$76,'Monthly_P&amp;L'!EH$7-'Assumptions_&amp;_Inputs'!$I$80,'Assumptions_&amp;_Inputs'!$I$78*12,'Assumptions_&amp;_Inputs'!$I$74),0)))*EH$10</f>
        <v>0</v>
      </c>
      <c r="EI94" s="37">
        <f>(IF('Assumptions_&amp;_Inputs'!$I$77="Interest-only",0,IF(EI$7&gt;'Assumptions_&amp;_Inputs'!$I$80,PPMT('Assumptions_&amp;_Inputs'!$I$76,'Monthly_P&amp;L'!EI$7-'Assumptions_&amp;_Inputs'!$I$80,'Assumptions_&amp;_Inputs'!$I$78*12,'Assumptions_&amp;_Inputs'!$I$74),0)))*EI$10</f>
        <v>0</v>
      </c>
      <c r="EJ94" s="37">
        <f>(IF('Assumptions_&amp;_Inputs'!$I$77="Interest-only",0,IF(EJ$7&gt;'Assumptions_&amp;_Inputs'!$I$80,PPMT('Assumptions_&amp;_Inputs'!$I$76,'Monthly_P&amp;L'!EJ$7-'Assumptions_&amp;_Inputs'!$I$80,'Assumptions_&amp;_Inputs'!$I$78*12,'Assumptions_&amp;_Inputs'!$I$74),0)))*EJ$10</f>
        <v>0</v>
      </c>
      <c r="EK94" s="37">
        <f>(IF('Assumptions_&amp;_Inputs'!$I$77="Interest-only",0,IF(EK$7&gt;'Assumptions_&amp;_Inputs'!$I$80,PPMT('Assumptions_&amp;_Inputs'!$I$76,'Monthly_P&amp;L'!EK$7-'Assumptions_&amp;_Inputs'!$I$80,'Assumptions_&amp;_Inputs'!$I$78*12,'Assumptions_&amp;_Inputs'!$I$74),0)))*EK$10</f>
        <v>0</v>
      </c>
      <c r="EL94" s="37">
        <f>(IF('Assumptions_&amp;_Inputs'!$I$77="Interest-only",0,IF(EL$7&gt;'Assumptions_&amp;_Inputs'!$I$80,PPMT('Assumptions_&amp;_Inputs'!$I$76,'Monthly_P&amp;L'!EL$7-'Assumptions_&amp;_Inputs'!$I$80,'Assumptions_&amp;_Inputs'!$I$78*12,'Assumptions_&amp;_Inputs'!$I$74),0)))*EL$10</f>
        <v>0</v>
      </c>
      <c r="EM94" s="37">
        <f>(IF('Assumptions_&amp;_Inputs'!$I$77="Interest-only",0,IF(EM$7&gt;'Assumptions_&amp;_Inputs'!$I$80,PPMT('Assumptions_&amp;_Inputs'!$I$76,'Monthly_P&amp;L'!EM$7-'Assumptions_&amp;_Inputs'!$I$80,'Assumptions_&amp;_Inputs'!$I$78*12,'Assumptions_&amp;_Inputs'!$I$74),0)))*EM$10</f>
        <v>0</v>
      </c>
      <c r="EN94" s="37">
        <f>(IF('Assumptions_&amp;_Inputs'!$I$77="Interest-only",0,IF(EN$7&gt;'Assumptions_&amp;_Inputs'!$I$80,PPMT('Assumptions_&amp;_Inputs'!$I$76,'Monthly_P&amp;L'!EN$7-'Assumptions_&amp;_Inputs'!$I$80,'Assumptions_&amp;_Inputs'!$I$78*12,'Assumptions_&amp;_Inputs'!$I$74),0)))*EN$10</f>
        <v>0</v>
      </c>
      <c r="EO94" s="37">
        <f>(IF('Assumptions_&amp;_Inputs'!$I$77="Interest-only",0,IF(EO$7&gt;'Assumptions_&amp;_Inputs'!$I$80,PPMT('Assumptions_&amp;_Inputs'!$I$76,'Monthly_P&amp;L'!EO$7-'Assumptions_&amp;_Inputs'!$I$80,'Assumptions_&amp;_Inputs'!$I$78*12,'Assumptions_&amp;_Inputs'!$I$74),0)))*EO$10</f>
        <v>0</v>
      </c>
      <c r="EP94" s="37">
        <f>(IF('Assumptions_&amp;_Inputs'!$I$77="Interest-only",0,IF(EP$7&gt;'Assumptions_&amp;_Inputs'!$I$80,PPMT('Assumptions_&amp;_Inputs'!$I$76,'Monthly_P&amp;L'!EP$7-'Assumptions_&amp;_Inputs'!$I$80,'Assumptions_&amp;_Inputs'!$I$78*12,'Assumptions_&amp;_Inputs'!$I$74),0)))*EP$10</f>
        <v>0</v>
      </c>
      <c r="EQ94" s="37">
        <f>(IF('Assumptions_&amp;_Inputs'!$I$77="Interest-only",0,IF(EQ$7&gt;'Assumptions_&amp;_Inputs'!$I$80,PPMT('Assumptions_&amp;_Inputs'!$I$76,'Monthly_P&amp;L'!EQ$7-'Assumptions_&amp;_Inputs'!$I$80,'Assumptions_&amp;_Inputs'!$I$78*12,'Assumptions_&amp;_Inputs'!$I$74),0)))*EQ$10</f>
        <v>0</v>
      </c>
      <c r="ER94" s="37">
        <f>(IF('Assumptions_&amp;_Inputs'!$I$77="Interest-only",0,IF(ER$7&gt;'Assumptions_&amp;_Inputs'!$I$80,PPMT('Assumptions_&amp;_Inputs'!$I$76,'Monthly_P&amp;L'!ER$7-'Assumptions_&amp;_Inputs'!$I$80,'Assumptions_&amp;_Inputs'!$I$78*12,'Assumptions_&amp;_Inputs'!$I$74),0)))*ER$10</f>
        <v>0</v>
      </c>
      <c r="ES94" s="37">
        <f>(IF('Assumptions_&amp;_Inputs'!$I$77="Interest-only",0,IF(ES$7&gt;'Assumptions_&amp;_Inputs'!$I$80,PPMT('Assumptions_&amp;_Inputs'!$I$76,'Monthly_P&amp;L'!ES$7-'Assumptions_&amp;_Inputs'!$I$80,'Assumptions_&amp;_Inputs'!$I$78*12,'Assumptions_&amp;_Inputs'!$I$74),0)))*ES$10</f>
        <v>0</v>
      </c>
      <c r="ET94" s="37">
        <f>(IF('Assumptions_&amp;_Inputs'!$I$77="Interest-only",0,IF(ET$7&gt;'Assumptions_&amp;_Inputs'!$I$80,PPMT('Assumptions_&amp;_Inputs'!$I$76,'Monthly_P&amp;L'!ET$7-'Assumptions_&amp;_Inputs'!$I$80,'Assumptions_&amp;_Inputs'!$I$78*12,'Assumptions_&amp;_Inputs'!$I$74),0)))*ET$10</f>
        <v>0</v>
      </c>
      <c r="EU94" s="37">
        <f>(IF('Assumptions_&amp;_Inputs'!$I$77="Interest-only",0,IF(EU$7&gt;'Assumptions_&amp;_Inputs'!$I$80,PPMT('Assumptions_&amp;_Inputs'!$I$76,'Monthly_P&amp;L'!EU$7-'Assumptions_&amp;_Inputs'!$I$80,'Assumptions_&amp;_Inputs'!$I$78*12,'Assumptions_&amp;_Inputs'!$I$74),0)))*EU$10</f>
        <v>0</v>
      </c>
      <c r="EV94" s="37">
        <f>(IF('Assumptions_&amp;_Inputs'!$I$77="Interest-only",0,IF(EV$7&gt;'Assumptions_&amp;_Inputs'!$I$80,PPMT('Assumptions_&amp;_Inputs'!$I$76,'Monthly_P&amp;L'!EV$7-'Assumptions_&amp;_Inputs'!$I$80,'Assumptions_&amp;_Inputs'!$I$78*12,'Assumptions_&amp;_Inputs'!$I$74),0)))*EV$10</f>
        <v>0</v>
      </c>
      <c r="EW94" s="37">
        <f>(IF('Assumptions_&amp;_Inputs'!$I$77="Interest-only",0,IF(EW$7&gt;'Assumptions_&amp;_Inputs'!$I$80,PPMT('Assumptions_&amp;_Inputs'!$I$76,'Monthly_P&amp;L'!EW$7-'Assumptions_&amp;_Inputs'!$I$80,'Assumptions_&amp;_Inputs'!$I$78*12,'Assumptions_&amp;_Inputs'!$I$74),0)))*EW$10</f>
        <v>0</v>
      </c>
      <c r="EX94" s="37">
        <f>(IF('Assumptions_&amp;_Inputs'!$I$77="Interest-only",0,IF(EX$7&gt;'Assumptions_&amp;_Inputs'!$I$80,PPMT('Assumptions_&amp;_Inputs'!$I$76,'Monthly_P&amp;L'!EX$7-'Assumptions_&amp;_Inputs'!$I$80,'Assumptions_&amp;_Inputs'!$I$78*12,'Assumptions_&amp;_Inputs'!$I$74),0)))*EX$10</f>
        <v>0</v>
      </c>
      <c r="EY94" s="37">
        <f>(IF('Assumptions_&amp;_Inputs'!$I$77="Interest-only",0,IF(EY$7&gt;'Assumptions_&amp;_Inputs'!$I$80,PPMT('Assumptions_&amp;_Inputs'!$I$76,'Monthly_P&amp;L'!EY$7-'Assumptions_&amp;_Inputs'!$I$80,'Assumptions_&amp;_Inputs'!$I$78*12,'Assumptions_&amp;_Inputs'!$I$74),0)))*EY$10</f>
        <v>0</v>
      </c>
      <c r="EZ94" s="37">
        <f>(IF('Assumptions_&amp;_Inputs'!$I$77="Interest-only",0,IF(EZ$7&gt;'Assumptions_&amp;_Inputs'!$I$80,PPMT('Assumptions_&amp;_Inputs'!$I$76,'Monthly_P&amp;L'!EZ$7-'Assumptions_&amp;_Inputs'!$I$80,'Assumptions_&amp;_Inputs'!$I$78*12,'Assumptions_&amp;_Inputs'!$I$74),0)))*EZ$10</f>
        <v>0</v>
      </c>
      <c r="FA94" s="37">
        <f>(IF('Assumptions_&amp;_Inputs'!$I$77="Interest-only",0,IF(FA$7&gt;'Assumptions_&amp;_Inputs'!$I$80,PPMT('Assumptions_&amp;_Inputs'!$I$76,'Monthly_P&amp;L'!FA$7-'Assumptions_&amp;_Inputs'!$I$80,'Assumptions_&amp;_Inputs'!$I$78*12,'Assumptions_&amp;_Inputs'!$I$74),0)))*FA$10</f>
        <v>0</v>
      </c>
      <c r="FB94" s="37">
        <f>(IF('Assumptions_&amp;_Inputs'!$I$77="Interest-only",0,IF(FB$7&gt;'Assumptions_&amp;_Inputs'!$I$80,PPMT('Assumptions_&amp;_Inputs'!$I$76,'Monthly_P&amp;L'!FB$7-'Assumptions_&amp;_Inputs'!$I$80,'Assumptions_&amp;_Inputs'!$I$78*12,'Assumptions_&amp;_Inputs'!$I$74),0)))*FB$10</f>
        <v>0</v>
      </c>
      <c r="FC94" s="37">
        <f>(IF('Assumptions_&amp;_Inputs'!$I$77="Interest-only",0,IF(FC$7&gt;'Assumptions_&amp;_Inputs'!$I$80,PPMT('Assumptions_&amp;_Inputs'!$I$76,'Monthly_P&amp;L'!FC$7-'Assumptions_&amp;_Inputs'!$I$80,'Assumptions_&amp;_Inputs'!$I$78*12,'Assumptions_&amp;_Inputs'!$I$74),0)))*FC$10</f>
        <v>0</v>
      </c>
      <c r="FD94" s="37">
        <f>(IF('Assumptions_&amp;_Inputs'!$I$77="Interest-only",0,IF(FD$7&gt;'Assumptions_&amp;_Inputs'!$I$80,PPMT('Assumptions_&amp;_Inputs'!$I$76,'Monthly_P&amp;L'!FD$7-'Assumptions_&amp;_Inputs'!$I$80,'Assumptions_&amp;_Inputs'!$I$78*12,'Assumptions_&amp;_Inputs'!$I$74),0)))*FD$10</f>
        <v>0</v>
      </c>
      <c r="FE94" s="37">
        <f>(IF('Assumptions_&amp;_Inputs'!$I$77="Interest-only",0,IF(FE$7&gt;'Assumptions_&amp;_Inputs'!$I$80,PPMT('Assumptions_&amp;_Inputs'!$I$76,'Monthly_P&amp;L'!FE$7-'Assumptions_&amp;_Inputs'!$I$80,'Assumptions_&amp;_Inputs'!$I$78*12,'Assumptions_&amp;_Inputs'!$I$74),0)))*FE$10</f>
        <v>0</v>
      </c>
      <c r="FF94" s="37">
        <f>(IF('Assumptions_&amp;_Inputs'!$I$77="Interest-only",0,IF(FF$7&gt;'Assumptions_&amp;_Inputs'!$I$80,PPMT('Assumptions_&amp;_Inputs'!$I$76,'Monthly_P&amp;L'!FF$7-'Assumptions_&amp;_Inputs'!$I$80,'Assumptions_&amp;_Inputs'!$I$78*12,'Assumptions_&amp;_Inputs'!$I$74),0)))*FF$10</f>
        <v>0</v>
      </c>
      <c r="FG94" s="37">
        <f>(IF('Assumptions_&amp;_Inputs'!$I$77="Interest-only",0,IF(FG$7&gt;'Assumptions_&amp;_Inputs'!$I$80,PPMT('Assumptions_&amp;_Inputs'!$I$76,'Monthly_P&amp;L'!FG$7-'Assumptions_&amp;_Inputs'!$I$80,'Assumptions_&amp;_Inputs'!$I$78*12,'Assumptions_&amp;_Inputs'!$I$74),0)))*FG$10</f>
        <v>0</v>
      </c>
      <c r="FH94" s="37">
        <f>(IF('Assumptions_&amp;_Inputs'!$I$77="Interest-only",0,IF(FH$7&gt;'Assumptions_&amp;_Inputs'!$I$80,PPMT('Assumptions_&amp;_Inputs'!$I$76,'Monthly_P&amp;L'!FH$7-'Assumptions_&amp;_Inputs'!$I$80,'Assumptions_&amp;_Inputs'!$I$78*12,'Assumptions_&amp;_Inputs'!$I$74),0)))*FH$10</f>
        <v>0</v>
      </c>
      <c r="FI94" s="37">
        <f>(IF('Assumptions_&amp;_Inputs'!$I$77="Interest-only",0,IF(FI$7&gt;'Assumptions_&amp;_Inputs'!$I$80,PPMT('Assumptions_&amp;_Inputs'!$I$76,'Monthly_P&amp;L'!FI$7-'Assumptions_&amp;_Inputs'!$I$80,'Assumptions_&amp;_Inputs'!$I$78*12,'Assumptions_&amp;_Inputs'!$I$74),0)))*FI$10</f>
        <v>0</v>
      </c>
      <c r="FJ94" s="37">
        <f>(IF('Assumptions_&amp;_Inputs'!$I$77="Interest-only",0,IF(FJ$7&gt;'Assumptions_&amp;_Inputs'!$I$80,PPMT('Assumptions_&amp;_Inputs'!$I$76,'Monthly_P&amp;L'!FJ$7-'Assumptions_&amp;_Inputs'!$I$80,'Assumptions_&amp;_Inputs'!$I$78*12,'Assumptions_&amp;_Inputs'!$I$74),0)))*FJ$10</f>
        <v>0</v>
      </c>
      <c r="FK94" s="37">
        <f>(IF('Assumptions_&amp;_Inputs'!$I$77="Interest-only",0,IF(FK$7&gt;'Assumptions_&amp;_Inputs'!$I$80,PPMT('Assumptions_&amp;_Inputs'!$I$76,'Monthly_P&amp;L'!FK$7-'Assumptions_&amp;_Inputs'!$I$80,'Assumptions_&amp;_Inputs'!$I$78*12,'Assumptions_&amp;_Inputs'!$I$74),0)))*FK$10</f>
        <v>0</v>
      </c>
      <c r="FL94" s="37">
        <f>(IF('Assumptions_&amp;_Inputs'!$I$77="Interest-only",0,IF(FL$7&gt;'Assumptions_&amp;_Inputs'!$I$80,PPMT('Assumptions_&amp;_Inputs'!$I$76,'Monthly_P&amp;L'!FL$7-'Assumptions_&amp;_Inputs'!$I$80,'Assumptions_&amp;_Inputs'!$I$78*12,'Assumptions_&amp;_Inputs'!$I$74),0)))*FL$10</f>
        <v>0</v>
      </c>
      <c r="FM94" s="37">
        <f>(IF('Assumptions_&amp;_Inputs'!$I$77="Interest-only",0,IF(FM$7&gt;'Assumptions_&amp;_Inputs'!$I$80,PPMT('Assumptions_&amp;_Inputs'!$I$76,'Monthly_P&amp;L'!FM$7-'Assumptions_&amp;_Inputs'!$I$80,'Assumptions_&amp;_Inputs'!$I$78*12,'Assumptions_&amp;_Inputs'!$I$74),0)))*FM$10</f>
        <v>0</v>
      </c>
      <c r="FN94" s="37">
        <f>(IF('Assumptions_&amp;_Inputs'!$I$77="Interest-only",0,IF(FN$7&gt;'Assumptions_&amp;_Inputs'!$I$80,PPMT('Assumptions_&amp;_Inputs'!$I$76,'Monthly_P&amp;L'!FN$7-'Assumptions_&amp;_Inputs'!$I$80,'Assumptions_&amp;_Inputs'!$I$78*12,'Assumptions_&amp;_Inputs'!$I$74),0)))*FN$10</f>
        <v>0</v>
      </c>
      <c r="FO94" s="37">
        <f>(IF('Assumptions_&amp;_Inputs'!$I$77="Interest-only",0,IF(FO$7&gt;'Assumptions_&amp;_Inputs'!$I$80,PPMT('Assumptions_&amp;_Inputs'!$I$76,'Monthly_P&amp;L'!FO$7-'Assumptions_&amp;_Inputs'!$I$80,'Assumptions_&amp;_Inputs'!$I$78*12,'Assumptions_&amp;_Inputs'!$I$74),0)))*FO$10</f>
        <v>0</v>
      </c>
      <c r="FP94" s="37">
        <f>(IF('Assumptions_&amp;_Inputs'!$I$77="Interest-only",0,IF(FP$7&gt;'Assumptions_&amp;_Inputs'!$I$80,PPMT('Assumptions_&amp;_Inputs'!$I$76,'Monthly_P&amp;L'!FP$7-'Assumptions_&amp;_Inputs'!$I$80,'Assumptions_&amp;_Inputs'!$I$78*12,'Assumptions_&amp;_Inputs'!$I$74),0)))*FP$10</f>
        <v>0</v>
      </c>
      <c r="FQ94" s="37">
        <f>(IF('Assumptions_&amp;_Inputs'!$I$77="Interest-only",0,IF(FQ$7&gt;'Assumptions_&amp;_Inputs'!$I$80,PPMT('Assumptions_&amp;_Inputs'!$I$76,'Monthly_P&amp;L'!FQ$7-'Assumptions_&amp;_Inputs'!$I$80,'Assumptions_&amp;_Inputs'!$I$78*12,'Assumptions_&amp;_Inputs'!$I$74),0)))*FQ$10</f>
        <v>0</v>
      </c>
      <c r="FR94" s="37">
        <f>(IF('Assumptions_&amp;_Inputs'!$I$77="Interest-only",0,IF(FR$7&gt;'Assumptions_&amp;_Inputs'!$I$80,PPMT('Assumptions_&amp;_Inputs'!$I$76,'Monthly_P&amp;L'!FR$7-'Assumptions_&amp;_Inputs'!$I$80,'Assumptions_&amp;_Inputs'!$I$78*12,'Assumptions_&amp;_Inputs'!$I$74),0)))*FR$10</f>
        <v>0</v>
      </c>
      <c r="FS94" s="37">
        <f>(IF('Assumptions_&amp;_Inputs'!$I$77="Interest-only",0,IF(FS$7&gt;'Assumptions_&amp;_Inputs'!$I$80,PPMT('Assumptions_&amp;_Inputs'!$I$76,'Monthly_P&amp;L'!FS$7-'Assumptions_&amp;_Inputs'!$I$80,'Assumptions_&amp;_Inputs'!$I$78*12,'Assumptions_&amp;_Inputs'!$I$74),0)))*FS$10</f>
        <v>0</v>
      </c>
      <c r="FT94" s="37">
        <f>(IF('Assumptions_&amp;_Inputs'!$I$77="Interest-only",0,IF(FT$7&gt;'Assumptions_&amp;_Inputs'!$I$80,PPMT('Assumptions_&amp;_Inputs'!$I$76,'Monthly_P&amp;L'!FT$7-'Assumptions_&amp;_Inputs'!$I$80,'Assumptions_&amp;_Inputs'!$I$78*12,'Assumptions_&amp;_Inputs'!$I$74),0)))*FT$10</f>
        <v>0</v>
      </c>
      <c r="FU94" s="37">
        <f>(IF('Assumptions_&amp;_Inputs'!$I$77="Interest-only",0,IF(FU$7&gt;'Assumptions_&amp;_Inputs'!$I$80,PPMT('Assumptions_&amp;_Inputs'!$I$76,'Monthly_P&amp;L'!FU$7-'Assumptions_&amp;_Inputs'!$I$80,'Assumptions_&amp;_Inputs'!$I$78*12,'Assumptions_&amp;_Inputs'!$I$74),0)))*FU$10</f>
        <v>0</v>
      </c>
      <c r="FV94" s="37">
        <f>(IF('Assumptions_&amp;_Inputs'!$I$77="Interest-only",0,IF(FV$7&gt;'Assumptions_&amp;_Inputs'!$I$80,PPMT('Assumptions_&amp;_Inputs'!$I$76,'Monthly_P&amp;L'!FV$7-'Assumptions_&amp;_Inputs'!$I$80,'Assumptions_&amp;_Inputs'!$I$78*12,'Assumptions_&amp;_Inputs'!$I$74),0)))*FV$10</f>
        <v>0</v>
      </c>
      <c r="FW94" s="37">
        <f>(IF('Assumptions_&amp;_Inputs'!$I$77="Interest-only",0,IF(FW$7&gt;'Assumptions_&amp;_Inputs'!$I$80,PPMT('Assumptions_&amp;_Inputs'!$I$76,'Monthly_P&amp;L'!FW$7-'Assumptions_&amp;_Inputs'!$I$80,'Assumptions_&amp;_Inputs'!$I$78*12,'Assumptions_&amp;_Inputs'!$I$74),0)))*FW$10</f>
        <v>0</v>
      </c>
      <c r="FX94" s="37">
        <f>(IF('Assumptions_&amp;_Inputs'!$I$77="Interest-only",0,IF(FX$7&gt;'Assumptions_&amp;_Inputs'!$I$80,PPMT('Assumptions_&amp;_Inputs'!$I$76,'Monthly_P&amp;L'!FX$7-'Assumptions_&amp;_Inputs'!$I$80,'Assumptions_&amp;_Inputs'!$I$78*12,'Assumptions_&amp;_Inputs'!$I$74),0)))*FX$10</f>
        <v>0</v>
      </c>
      <c r="FY94" s="37">
        <f>(IF('Assumptions_&amp;_Inputs'!$I$77="Interest-only",0,IF(FY$7&gt;'Assumptions_&amp;_Inputs'!$I$80,PPMT('Assumptions_&amp;_Inputs'!$I$76,'Monthly_P&amp;L'!FY$7-'Assumptions_&amp;_Inputs'!$I$80,'Assumptions_&amp;_Inputs'!$I$78*12,'Assumptions_&amp;_Inputs'!$I$74),0)))*FY$10</f>
        <v>0</v>
      </c>
      <c r="FZ94" s="37">
        <f>(IF('Assumptions_&amp;_Inputs'!$I$77="Interest-only",0,IF(FZ$7&gt;'Assumptions_&amp;_Inputs'!$I$80,PPMT('Assumptions_&amp;_Inputs'!$I$76,'Monthly_P&amp;L'!FZ$7-'Assumptions_&amp;_Inputs'!$I$80,'Assumptions_&amp;_Inputs'!$I$78*12,'Assumptions_&amp;_Inputs'!$I$74),0)))*FZ$10</f>
        <v>0</v>
      </c>
      <c r="GA94" s="37">
        <f>(IF('Assumptions_&amp;_Inputs'!$I$77="Interest-only",0,IF(GA$7&gt;'Assumptions_&amp;_Inputs'!$I$80,PPMT('Assumptions_&amp;_Inputs'!$I$76,'Monthly_P&amp;L'!GA$7-'Assumptions_&amp;_Inputs'!$I$80,'Assumptions_&amp;_Inputs'!$I$78*12,'Assumptions_&amp;_Inputs'!$I$74),0)))*GA$10</f>
        <v>0</v>
      </c>
      <c r="GB94" s="37">
        <f>(IF('Assumptions_&amp;_Inputs'!$I$77="Interest-only",0,IF(GB$7&gt;'Assumptions_&amp;_Inputs'!$I$80,PPMT('Assumptions_&amp;_Inputs'!$I$76,'Monthly_P&amp;L'!GB$7-'Assumptions_&amp;_Inputs'!$I$80,'Assumptions_&amp;_Inputs'!$I$78*12,'Assumptions_&amp;_Inputs'!$I$74),0)))*GB$10</f>
        <v>0</v>
      </c>
      <c r="GC94" s="37">
        <f>(IF('Assumptions_&amp;_Inputs'!$I$77="Interest-only",0,IF(GC$7&gt;'Assumptions_&amp;_Inputs'!$I$80,PPMT('Assumptions_&amp;_Inputs'!$I$76,'Monthly_P&amp;L'!GC$7-'Assumptions_&amp;_Inputs'!$I$80,'Assumptions_&amp;_Inputs'!$I$78*12,'Assumptions_&amp;_Inputs'!$I$74),0)))*GC$10</f>
        <v>0</v>
      </c>
      <c r="GD94" s="37">
        <f>(IF('Assumptions_&amp;_Inputs'!$I$77="Interest-only",0,IF(GD$7&gt;'Assumptions_&amp;_Inputs'!$I$80,PPMT('Assumptions_&amp;_Inputs'!$I$76,'Monthly_P&amp;L'!GD$7-'Assumptions_&amp;_Inputs'!$I$80,'Assumptions_&amp;_Inputs'!$I$78*12,'Assumptions_&amp;_Inputs'!$I$74),0)))*GD$10</f>
        <v>0</v>
      </c>
      <c r="GE94" s="37">
        <f>(IF('Assumptions_&amp;_Inputs'!$I$77="Interest-only",0,IF(GE$7&gt;'Assumptions_&amp;_Inputs'!$I$80,PPMT('Assumptions_&amp;_Inputs'!$I$76,'Monthly_P&amp;L'!GE$7-'Assumptions_&amp;_Inputs'!$I$80,'Assumptions_&amp;_Inputs'!$I$78*12,'Assumptions_&amp;_Inputs'!$I$74),0)))*GE$10</f>
        <v>0</v>
      </c>
      <c r="GF94" s="37">
        <f>(IF('Assumptions_&amp;_Inputs'!$I$77="Interest-only",0,IF(GF$7&gt;'Assumptions_&amp;_Inputs'!$I$80,PPMT('Assumptions_&amp;_Inputs'!$I$76,'Monthly_P&amp;L'!GF$7-'Assumptions_&amp;_Inputs'!$I$80,'Assumptions_&amp;_Inputs'!$I$78*12,'Assumptions_&amp;_Inputs'!$I$74),0)))*GF$10</f>
        <v>0</v>
      </c>
      <c r="GG94" s="37">
        <f>(IF('Assumptions_&amp;_Inputs'!$I$77="Interest-only",0,IF(GG$7&gt;'Assumptions_&amp;_Inputs'!$I$80,PPMT('Assumptions_&amp;_Inputs'!$I$76,'Monthly_P&amp;L'!GG$7-'Assumptions_&amp;_Inputs'!$I$80,'Assumptions_&amp;_Inputs'!$I$78*12,'Assumptions_&amp;_Inputs'!$I$74),0)))*GG$10</f>
        <v>0</v>
      </c>
      <c r="GH94" s="37">
        <f>(IF('Assumptions_&amp;_Inputs'!$I$77="Interest-only",0,IF(GH$7&gt;'Assumptions_&amp;_Inputs'!$I$80,PPMT('Assumptions_&amp;_Inputs'!$I$76,'Monthly_P&amp;L'!GH$7-'Assumptions_&amp;_Inputs'!$I$80,'Assumptions_&amp;_Inputs'!$I$78*12,'Assumptions_&amp;_Inputs'!$I$74),0)))*GH$10</f>
        <v>0</v>
      </c>
      <c r="GI94" s="37">
        <f>(IF('Assumptions_&amp;_Inputs'!$I$77="Interest-only",0,IF(GI$7&gt;'Assumptions_&amp;_Inputs'!$I$80,PPMT('Assumptions_&amp;_Inputs'!$I$76,'Monthly_P&amp;L'!GI$7-'Assumptions_&amp;_Inputs'!$I$80,'Assumptions_&amp;_Inputs'!$I$78*12,'Assumptions_&amp;_Inputs'!$I$74),0)))*GI$10</f>
        <v>0</v>
      </c>
      <c r="GJ94" s="37">
        <f>(IF('Assumptions_&amp;_Inputs'!$I$77="Interest-only",0,IF(GJ$7&gt;'Assumptions_&amp;_Inputs'!$I$80,PPMT('Assumptions_&amp;_Inputs'!$I$76,'Monthly_P&amp;L'!GJ$7-'Assumptions_&amp;_Inputs'!$I$80,'Assumptions_&amp;_Inputs'!$I$78*12,'Assumptions_&amp;_Inputs'!$I$74),0)))*GJ$10</f>
        <v>0</v>
      </c>
      <c r="GK94" s="37">
        <f>(IF('Assumptions_&amp;_Inputs'!$I$77="Interest-only",0,IF(GK$7&gt;'Assumptions_&amp;_Inputs'!$I$80,PPMT('Assumptions_&amp;_Inputs'!$I$76,'Monthly_P&amp;L'!GK$7-'Assumptions_&amp;_Inputs'!$I$80,'Assumptions_&amp;_Inputs'!$I$78*12,'Assumptions_&amp;_Inputs'!$I$74),0)))*GK$10</f>
        <v>0</v>
      </c>
      <c r="GL94" s="37">
        <f>(IF('Assumptions_&amp;_Inputs'!$I$77="Interest-only",0,IF(GL$7&gt;'Assumptions_&amp;_Inputs'!$I$80,PPMT('Assumptions_&amp;_Inputs'!$I$76,'Monthly_P&amp;L'!GL$7-'Assumptions_&amp;_Inputs'!$I$80,'Assumptions_&amp;_Inputs'!$I$78*12,'Assumptions_&amp;_Inputs'!$I$74),0)))*GL$10</f>
        <v>0</v>
      </c>
      <c r="GM94" s="37">
        <f>(IF('Assumptions_&amp;_Inputs'!$I$77="Interest-only",0,IF(GM$7&gt;'Assumptions_&amp;_Inputs'!$I$80,PPMT('Assumptions_&amp;_Inputs'!$I$76,'Monthly_P&amp;L'!GM$7-'Assumptions_&amp;_Inputs'!$I$80,'Assumptions_&amp;_Inputs'!$I$78*12,'Assumptions_&amp;_Inputs'!$I$74),0)))*GM$10</f>
        <v>0</v>
      </c>
      <c r="GN94" s="63"/>
      <c r="GO94" s="63"/>
      <c r="GP94" s="63"/>
      <c r="GQ94" s="27"/>
      <c r="GR94" s="27"/>
      <c r="GS94" s="27"/>
      <c r="GT94" s="27"/>
      <c r="GU94" s="27"/>
      <c r="GV94" s="27"/>
      <c r="GW94" s="27"/>
      <c r="GX94" s="27"/>
      <c r="GY94" s="27"/>
      <c r="GZ94" s="27"/>
      <c r="HA94" s="27"/>
      <c r="HB94" s="27"/>
      <c r="HC94" s="27"/>
      <c r="HD94" s="27"/>
      <c r="HE94" s="27"/>
      <c r="HF94" s="27"/>
      <c r="HG94" s="27"/>
      <c r="HH94" s="27"/>
      <c r="HI94" s="27"/>
      <c r="HJ94" s="27"/>
      <c r="HK94" s="27"/>
      <c r="HL94" s="27"/>
      <c r="HM94" s="27"/>
      <c r="HN94" s="27"/>
      <c r="HO94" s="27"/>
      <c r="HP94" s="27"/>
      <c r="HQ94" s="27"/>
      <c r="HR94" s="27"/>
      <c r="HS94" s="27"/>
      <c r="HT94" s="27"/>
      <c r="HU94" s="27"/>
      <c r="HV94" s="27"/>
      <c r="HW94" s="27"/>
      <c r="HX94" s="27"/>
      <c r="HY94" s="27"/>
      <c r="HZ94" s="27"/>
      <c r="IA94" s="27"/>
      <c r="IB94" s="27"/>
      <c r="IC94" s="27"/>
      <c r="ID94" s="27"/>
      <c r="IE94" s="27"/>
      <c r="IF94" s="27"/>
      <c r="IG94" s="27"/>
      <c r="IH94" s="27"/>
      <c r="II94" s="27"/>
      <c r="IJ94" s="27"/>
      <c r="IK94" s="27"/>
      <c r="IL94" s="27"/>
      <c r="IM94" s="27"/>
      <c r="IN94" s="27"/>
      <c r="IO94" s="27"/>
      <c r="IP94" s="27"/>
      <c r="IQ94" s="27"/>
      <c r="IR94" s="27"/>
      <c r="IS94" s="27"/>
      <c r="IT94" s="27"/>
      <c r="IU94" s="27"/>
      <c r="IV94" s="27"/>
      <c r="IW94" s="27"/>
      <c r="IX94" s="27"/>
      <c r="IY94" s="27"/>
      <c r="IZ94" s="27"/>
      <c r="JA94" s="27"/>
      <c r="JB94" s="27"/>
      <c r="JC94" s="27"/>
      <c r="JD94" s="27"/>
      <c r="JE94" s="27"/>
      <c r="JF94" s="27"/>
      <c r="JG94" s="27"/>
      <c r="JH94" s="27"/>
      <c r="JI94" s="27"/>
      <c r="JJ94" s="27"/>
      <c r="JK94" s="27"/>
      <c r="JL94" s="27"/>
      <c r="JM94" s="27"/>
      <c r="JN94" s="27"/>
      <c r="JO94" s="27"/>
      <c r="JP94" s="27"/>
      <c r="JQ94" s="27"/>
      <c r="JR94" s="27"/>
      <c r="JS94" s="27"/>
      <c r="JT94" s="27"/>
      <c r="JU94" s="27"/>
      <c r="JV94" s="27"/>
      <c r="JW94" s="27"/>
      <c r="JX94" s="27"/>
      <c r="JY94" s="27"/>
      <c r="JZ94" s="27"/>
      <c r="KA94" s="27"/>
      <c r="KB94" s="27"/>
      <c r="KC94" s="27"/>
      <c r="KD94" s="27"/>
      <c r="KE94" s="27"/>
      <c r="KF94" s="27"/>
      <c r="KG94" s="27"/>
      <c r="KH94" s="27"/>
      <c r="KI94" s="27"/>
      <c r="KJ94" s="27"/>
      <c r="KK94" s="27"/>
      <c r="KL94" s="27"/>
      <c r="KM94" s="27"/>
      <c r="KN94" s="27"/>
      <c r="KO94" s="27"/>
      <c r="KP94" s="27"/>
      <c r="KQ94" s="27"/>
      <c r="KR94" s="27"/>
      <c r="KS94" s="27"/>
      <c r="KT94" s="27"/>
      <c r="KU94" s="27"/>
      <c r="KV94" s="27"/>
      <c r="KW94" s="27"/>
      <c r="KX94" s="27"/>
      <c r="KY94" s="27"/>
      <c r="KZ94" s="27"/>
      <c r="LA94" s="27"/>
      <c r="LB94" s="27"/>
      <c r="LC94" s="27"/>
      <c r="LD94" s="27"/>
      <c r="LE94" s="27"/>
      <c r="LF94" s="27"/>
      <c r="LG94" s="27"/>
      <c r="LH94" s="27"/>
      <c r="LI94" s="27"/>
      <c r="LJ94" s="27"/>
      <c r="LK94" s="27"/>
      <c r="LL94" s="27"/>
      <c r="LM94" s="27"/>
      <c r="LN94" s="27"/>
      <c r="LO94" s="27"/>
      <c r="LP94" s="27"/>
      <c r="LQ94" s="27"/>
      <c r="LR94" s="27"/>
      <c r="LS94" s="27"/>
      <c r="LT94" s="27"/>
      <c r="LU94" s="27"/>
      <c r="LV94" s="27"/>
      <c r="LW94" s="27"/>
      <c r="LX94" s="27"/>
      <c r="LY94" s="27"/>
      <c r="LZ94" s="27"/>
      <c r="MA94" s="27"/>
      <c r="MB94" s="27"/>
      <c r="MC94" s="27"/>
      <c r="MD94" s="27"/>
      <c r="ME94" s="27"/>
      <c r="MF94" s="27"/>
      <c r="MG94" s="27"/>
      <c r="MH94" s="27"/>
      <c r="MI94" s="27"/>
      <c r="MJ94" s="27"/>
      <c r="MK94" s="27"/>
      <c r="ML94" s="27"/>
      <c r="MM94" s="27"/>
      <c r="MN94" s="27"/>
      <c r="MO94" s="27"/>
      <c r="MP94" s="27"/>
      <c r="MQ94" s="27"/>
      <c r="MR94" s="27"/>
      <c r="MS94" s="27"/>
      <c r="MT94" s="27"/>
      <c r="MU94" s="27"/>
      <c r="MV94" s="27"/>
      <c r="MW94" s="27"/>
      <c r="MX94" s="27"/>
      <c r="MY94" s="27"/>
      <c r="MZ94" s="27"/>
      <c r="NA94" s="27"/>
      <c r="NB94" s="27"/>
    </row>
    <row r="95" spans="2:366" ht="16" customHeight="1" x14ac:dyDescent="0.15">
      <c r="B95" s="31" t="s">
        <v>259</v>
      </c>
      <c r="C95" s="312" t="s">
        <v>150</v>
      </c>
      <c r="D95" s="363"/>
      <c r="E95"/>
      <c r="F95" s="37">
        <f t="shared" ref="F95:AK95" si="256">-IF(F$13=1,F92+F94,0)</f>
        <v>0</v>
      </c>
      <c r="G95" s="37">
        <f t="shared" si="256"/>
        <v>0</v>
      </c>
      <c r="H95" s="37">
        <f t="shared" si="256"/>
        <v>0</v>
      </c>
      <c r="I95" s="37">
        <f t="shared" si="256"/>
        <v>0</v>
      </c>
      <c r="J95" s="37">
        <f t="shared" si="256"/>
        <v>0</v>
      </c>
      <c r="K95" s="37">
        <f t="shared" si="256"/>
        <v>0</v>
      </c>
      <c r="L95" s="37">
        <f t="shared" si="256"/>
        <v>0</v>
      </c>
      <c r="M95" s="37">
        <f t="shared" si="256"/>
        <v>0</v>
      </c>
      <c r="N95" s="37">
        <f t="shared" si="256"/>
        <v>0</v>
      </c>
      <c r="O95" s="37">
        <f t="shared" si="256"/>
        <v>0</v>
      </c>
      <c r="P95" s="37">
        <f t="shared" si="256"/>
        <v>0</v>
      </c>
      <c r="Q95" s="37">
        <f t="shared" si="256"/>
        <v>0</v>
      </c>
      <c r="R95" s="37">
        <f t="shared" si="256"/>
        <v>0</v>
      </c>
      <c r="S95" s="37">
        <f t="shared" si="256"/>
        <v>0</v>
      </c>
      <c r="T95" s="37">
        <f t="shared" si="256"/>
        <v>0</v>
      </c>
      <c r="U95" s="37">
        <f t="shared" si="256"/>
        <v>0</v>
      </c>
      <c r="V95" s="37">
        <f t="shared" si="256"/>
        <v>0</v>
      </c>
      <c r="W95" s="37">
        <f t="shared" si="256"/>
        <v>0</v>
      </c>
      <c r="X95" s="37">
        <f t="shared" si="256"/>
        <v>0</v>
      </c>
      <c r="Y95" s="37">
        <f t="shared" si="256"/>
        <v>0</v>
      </c>
      <c r="Z95" s="37">
        <f t="shared" si="256"/>
        <v>0</v>
      </c>
      <c r="AA95" s="37">
        <f t="shared" si="256"/>
        <v>0</v>
      </c>
      <c r="AB95" s="37">
        <f t="shared" si="256"/>
        <v>0</v>
      </c>
      <c r="AC95" s="37">
        <f t="shared" si="256"/>
        <v>0</v>
      </c>
      <c r="AD95" s="37">
        <f t="shared" si="256"/>
        <v>0</v>
      </c>
      <c r="AE95" s="37">
        <f t="shared" si="256"/>
        <v>0</v>
      </c>
      <c r="AF95" s="37">
        <f t="shared" si="256"/>
        <v>0</v>
      </c>
      <c r="AG95" s="37">
        <f t="shared" si="256"/>
        <v>0</v>
      </c>
      <c r="AH95" s="37">
        <f t="shared" si="256"/>
        <v>0</v>
      </c>
      <c r="AI95" s="37">
        <f t="shared" si="256"/>
        <v>0</v>
      </c>
      <c r="AJ95" s="37">
        <f t="shared" si="256"/>
        <v>0</v>
      </c>
      <c r="AK95" s="37">
        <f t="shared" si="256"/>
        <v>0</v>
      </c>
      <c r="AL95" s="37">
        <f t="shared" ref="AL95:BQ95" si="257">-IF(AL$13=1,AL92+AL94,0)</f>
        <v>0</v>
      </c>
      <c r="AM95" s="37">
        <f t="shared" si="257"/>
        <v>0</v>
      </c>
      <c r="AN95" s="37">
        <f t="shared" si="257"/>
        <v>0</v>
      </c>
      <c r="AO95" s="37">
        <f t="shared" si="257"/>
        <v>0</v>
      </c>
      <c r="AP95" s="37">
        <f t="shared" si="257"/>
        <v>0</v>
      </c>
      <c r="AQ95" s="37">
        <f t="shared" si="257"/>
        <v>0</v>
      </c>
      <c r="AR95" s="37">
        <f t="shared" si="257"/>
        <v>0</v>
      </c>
      <c r="AS95" s="37">
        <f t="shared" si="257"/>
        <v>0</v>
      </c>
      <c r="AT95" s="37">
        <f t="shared" si="257"/>
        <v>0</v>
      </c>
      <c r="AU95" s="37">
        <f t="shared" si="257"/>
        <v>0</v>
      </c>
      <c r="AV95" s="37">
        <f t="shared" si="257"/>
        <v>0</v>
      </c>
      <c r="AW95" s="37">
        <f t="shared" si="257"/>
        <v>0</v>
      </c>
      <c r="AX95" s="37">
        <f t="shared" si="257"/>
        <v>0</v>
      </c>
      <c r="AY95" s="37">
        <f t="shared" si="257"/>
        <v>0</v>
      </c>
      <c r="AZ95" s="37">
        <f t="shared" si="257"/>
        <v>0</v>
      </c>
      <c r="BA95" s="37">
        <f t="shared" si="257"/>
        <v>0</v>
      </c>
      <c r="BB95" s="37">
        <f t="shared" si="257"/>
        <v>0</v>
      </c>
      <c r="BC95" s="37">
        <f t="shared" si="257"/>
        <v>0</v>
      </c>
      <c r="BD95" s="37">
        <f t="shared" si="257"/>
        <v>0</v>
      </c>
      <c r="BE95" s="37">
        <f t="shared" si="257"/>
        <v>0</v>
      </c>
      <c r="BF95" s="37">
        <f t="shared" si="257"/>
        <v>0</v>
      </c>
      <c r="BG95" s="37">
        <f t="shared" si="257"/>
        <v>0</v>
      </c>
      <c r="BH95" s="37">
        <f t="shared" si="257"/>
        <v>0</v>
      </c>
      <c r="BI95" s="37">
        <f t="shared" si="257"/>
        <v>0</v>
      </c>
      <c r="BJ95" s="37">
        <f t="shared" si="257"/>
        <v>0</v>
      </c>
      <c r="BK95" s="37">
        <f t="shared" si="257"/>
        <v>0</v>
      </c>
      <c r="BL95" s="37">
        <f t="shared" si="257"/>
        <v>0</v>
      </c>
      <c r="BM95" s="37">
        <f t="shared" si="257"/>
        <v>0</v>
      </c>
      <c r="BN95" s="37">
        <f t="shared" si="257"/>
        <v>0</v>
      </c>
      <c r="BO95" s="37">
        <f t="shared" si="257"/>
        <v>0</v>
      </c>
      <c r="BP95" s="37">
        <f t="shared" si="257"/>
        <v>0</v>
      </c>
      <c r="BQ95" s="37">
        <f t="shared" si="257"/>
        <v>0</v>
      </c>
      <c r="BR95" s="37">
        <f t="shared" ref="BR95:CW95" si="258">-IF(BR$13=1,BR92+BR94,0)</f>
        <v>0</v>
      </c>
      <c r="BS95" s="37">
        <f t="shared" si="258"/>
        <v>0</v>
      </c>
      <c r="BT95" s="37">
        <f t="shared" si="258"/>
        <v>0</v>
      </c>
      <c r="BU95" s="37">
        <f t="shared" si="258"/>
        <v>0</v>
      </c>
      <c r="BV95" s="37">
        <f t="shared" si="258"/>
        <v>0</v>
      </c>
      <c r="BW95" s="37">
        <f t="shared" si="258"/>
        <v>0</v>
      </c>
      <c r="BX95" s="37">
        <f t="shared" si="258"/>
        <v>0</v>
      </c>
      <c r="BY95" s="37">
        <f t="shared" si="258"/>
        <v>0</v>
      </c>
      <c r="BZ95" s="37">
        <f t="shared" si="258"/>
        <v>0</v>
      </c>
      <c r="CA95" s="37">
        <f t="shared" si="258"/>
        <v>0</v>
      </c>
      <c r="CB95" s="37">
        <f t="shared" si="258"/>
        <v>0</v>
      </c>
      <c r="CC95" s="37">
        <f t="shared" si="258"/>
        <v>0</v>
      </c>
      <c r="CD95" s="37">
        <f t="shared" si="258"/>
        <v>0</v>
      </c>
      <c r="CE95" s="37">
        <f t="shared" si="258"/>
        <v>0</v>
      </c>
      <c r="CF95" s="37">
        <f t="shared" si="258"/>
        <v>0</v>
      </c>
      <c r="CG95" s="37">
        <f t="shared" si="258"/>
        <v>0</v>
      </c>
      <c r="CH95" s="37">
        <f t="shared" si="258"/>
        <v>0</v>
      </c>
      <c r="CI95" s="37">
        <f t="shared" si="258"/>
        <v>0</v>
      </c>
      <c r="CJ95" s="37">
        <f t="shared" si="258"/>
        <v>0</v>
      </c>
      <c r="CK95" s="37">
        <f t="shared" si="258"/>
        <v>0</v>
      </c>
      <c r="CL95" s="37">
        <f t="shared" si="258"/>
        <v>0</v>
      </c>
      <c r="CM95" s="37">
        <f t="shared" si="258"/>
        <v>0</v>
      </c>
      <c r="CN95" s="37">
        <f t="shared" si="258"/>
        <v>0</v>
      </c>
      <c r="CO95" s="37">
        <f t="shared" si="258"/>
        <v>0</v>
      </c>
      <c r="CP95" s="37">
        <f t="shared" si="258"/>
        <v>0</v>
      </c>
      <c r="CQ95" s="37">
        <f t="shared" si="258"/>
        <v>0</v>
      </c>
      <c r="CR95" s="37">
        <f t="shared" si="258"/>
        <v>0</v>
      </c>
      <c r="CS95" s="37">
        <f t="shared" si="258"/>
        <v>0</v>
      </c>
      <c r="CT95" s="37">
        <f t="shared" si="258"/>
        <v>0</v>
      </c>
      <c r="CU95" s="37">
        <f t="shared" si="258"/>
        <v>0</v>
      </c>
      <c r="CV95" s="37">
        <f t="shared" si="258"/>
        <v>0</v>
      </c>
      <c r="CW95" s="37">
        <f t="shared" si="258"/>
        <v>0</v>
      </c>
      <c r="CX95" s="37">
        <f t="shared" ref="CX95:EC95" si="259">-IF(CX$13=1,CX92+CX94,0)</f>
        <v>0</v>
      </c>
      <c r="CY95" s="37">
        <f t="shared" si="259"/>
        <v>0</v>
      </c>
      <c r="CZ95" s="37">
        <f t="shared" si="259"/>
        <v>0</v>
      </c>
      <c r="DA95" s="37">
        <f t="shared" si="259"/>
        <v>0</v>
      </c>
      <c r="DB95" s="37">
        <f t="shared" si="259"/>
        <v>0</v>
      </c>
      <c r="DC95" s="37">
        <f t="shared" si="259"/>
        <v>0</v>
      </c>
      <c r="DD95" s="37">
        <f t="shared" si="259"/>
        <v>0</v>
      </c>
      <c r="DE95" s="37">
        <f t="shared" si="259"/>
        <v>0</v>
      </c>
      <c r="DF95" s="37">
        <f t="shared" si="259"/>
        <v>0</v>
      </c>
      <c r="DG95" s="37">
        <f t="shared" si="259"/>
        <v>0</v>
      </c>
      <c r="DH95" s="37">
        <f t="shared" si="259"/>
        <v>0</v>
      </c>
      <c r="DI95" s="37">
        <f t="shared" si="259"/>
        <v>0</v>
      </c>
      <c r="DJ95" s="37">
        <f t="shared" si="259"/>
        <v>0</v>
      </c>
      <c r="DK95" s="37">
        <f t="shared" si="259"/>
        <v>0</v>
      </c>
      <c r="DL95" s="37">
        <f t="shared" si="259"/>
        <v>0</v>
      </c>
      <c r="DM95" s="37">
        <f t="shared" si="259"/>
        <v>0</v>
      </c>
      <c r="DN95" s="37">
        <f t="shared" si="259"/>
        <v>0</v>
      </c>
      <c r="DO95" s="37">
        <f t="shared" si="259"/>
        <v>0</v>
      </c>
      <c r="DP95" s="37">
        <f t="shared" si="259"/>
        <v>0</v>
      </c>
      <c r="DQ95" s="37">
        <f t="shared" si="259"/>
        <v>0</v>
      </c>
      <c r="DR95" s="37">
        <f t="shared" si="259"/>
        <v>0</v>
      </c>
      <c r="DS95" s="37">
        <f t="shared" si="259"/>
        <v>0</v>
      </c>
      <c r="DT95" s="37">
        <f t="shared" si="259"/>
        <v>0</v>
      </c>
      <c r="DU95" s="37">
        <f t="shared" si="259"/>
        <v>0</v>
      </c>
      <c r="DV95" s="37">
        <f t="shared" si="259"/>
        <v>-3667560.8443730986</v>
      </c>
      <c r="DW95" s="37">
        <f t="shared" si="259"/>
        <v>0</v>
      </c>
      <c r="DX95" s="37">
        <f t="shared" si="259"/>
        <v>0</v>
      </c>
      <c r="DY95" s="37">
        <f t="shared" si="259"/>
        <v>0</v>
      </c>
      <c r="DZ95" s="37">
        <f t="shared" si="259"/>
        <v>0</v>
      </c>
      <c r="EA95" s="37">
        <f t="shared" si="259"/>
        <v>0</v>
      </c>
      <c r="EB95" s="37">
        <f t="shared" si="259"/>
        <v>0</v>
      </c>
      <c r="EC95" s="37">
        <f t="shared" si="259"/>
        <v>0</v>
      </c>
      <c r="ED95" s="37">
        <f t="shared" ref="ED95:FI95" si="260">-IF(ED$13=1,ED92+ED94,0)</f>
        <v>0</v>
      </c>
      <c r="EE95" s="37">
        <f t="shared" si="260"/>
        <v>0</v>
      </c>
      <c r="EF95" s="37">
        <f t="shared" si="260"/>
        <v>0</v>
      </c>
      <c r="EG95" s="37">
        <f t="shared" si="260"/>
        <v>0</v>
      </c>
      <c r="EH95" s="37">
        <f t="shared" si="260"/>
        <v>0</v>
      </c>
      <c r="EI95" s="37">
        <f t="shared" si="260"/>
        <v>0</v>
      </c>
      <c r="EJ95" s="37">
        <f t="shared" si="260"/>
        <v>0</v>
      </c>
      <c r="EK95" s="37">
        <f t="shared" si="260"/>
        <v>0</v>
      </c>
      <c r="EL95" s="37">
        <f t="shared" si="260"/>
        <v>0</v>
      </c>
      <c r="EM95" s="37">
        <f t="shared" si="260"/>
        <v>0</v>
      </c>
      <c r="EN95" s="37">
        <f t="shared" si="260"/>
        <v>0</v>
      </c>
      <c r="EO95" s="37">
        <f t="shared" si="260"/>
        <v>0</v>
      </c>
      <c r="EP95" s="37">
        <f t="shared" si="260"/>
        <v>0</v>
      </c>
      <c r="EQ95" s="37">
        <f t="shared" si="260"/>
        <v>0</v>
      </c>
      <c r="ER95" s="37">
        <f t="shared" si="260"/>
        <v>0</v>
      </c>
      <c r="ES95" s="37">
        <f t="shared" si="260"/>
        <v>0</v>
      </c>
      <c r="ET95" s="37">
        <f t="shared" si="260"/>
        <v>0</v>
      </c>
      <c r="EU95" s="37">
        <f t="shared" si="260"/>
        <v>0</v>
      </c>
      <c r="EV95" s="37">
        <f t="shared" si="260"/>
        <v>0</v>
      </c>
      <c r="EW95" s="37">
        <f t="shared" si="260"/>
        <v>0</v>
      </c>
      <c r="EX95" s="37">
        <f t="shared" si="260"/>
        <v>0</v>
      </c>
      <c r="EY95" s="37">
        <f t="shared" si="260"/>
        <v>0</v>
      </c>
      <c r="EZ95" s="37">
        <f t="shared" si="260"/>
        <v>0</v>
      </c>
      <c r="FA95" s="37">
        <f t="shared" si="260"/>
        <v>0</v>
      </c>
      <c r="FB95" s="37">
        <f t="shared" si="260"/>
        <v>0</v>
      </c>
      <c r="FC95" s="37">
        <f t="shared" si="260"/>
        <v>0</v>
      </c>
      <c r="FD95" s="37">
        <f t="shared" si="260"/>
        <v>0</v>
      </c>
      <c r="FE95" s="37">
        <f t="shared" si="260"/>
        <v>0</v>
      </c>
      <c r="FF95" s="37">
        <f t="shared" si="260"/>
        <v>0</v>
      </c>
      <c r="FG95" s="37">
        <f t="shared" si="260"/>
        <v>0</v>
      </c>
      <c r="FH95" s="37">
        <f t="shared" si="260"/>
        <v>0</v>
      </c>
      <c r="FI95" s="37">
        <f t="shared" si="260"/>
        <v>0</v>
      </c>
      <c r="FJ95" s="37">
        <f t="shared" ref="FJ95:GD95" si="261">-IF(FJ$13=1,FJ92+FJ94,0)</f>
        <v>0</v>
      </c>
      <c r="FK95" s="37">
        <f t="shared" si="261"/>
        <v>0</v>
      </c>
      <c r="FL95" s="37">
        <f t="shared" si="261"/>
        <v>0</v>
      </c>
      <c r="FM95" s="37">
        <f t="shared" si="261"/>
        <v>0</v>
      </c>
      <c r="FN95" s="37">
        <f t="shared" si="261"/>
        <v>0</v>
      </c>
      <c r="FO95" s="37">
        <f t="shared" si="261"/>
        <v>0</v>
      </c>
      <c r="FP95" s="37">
        <f t="shared" si="261"/>
        <v>0</v>
      </c>
      <c r="FQ95" s="37">
        <f t="shared" si="261"/>
        <v>0</v>
      </c>
      <c r="FR95" s="37">
        <f t="shared" si="261"/>
        <v>0</v>
      </c>
      <c r="FS95" s="37">
        <f t="shared" si="261"/>
        <v>0</v>
      </c>
      <c r="FT95" s="37">
        <f t="shared" si="261"/>
        <v>0</v>
      </c>
      <c r="FU95" s="37">
        <f t="shared" si="261"/>
        <v>0</v>
      </c>
      <c r="FV95" s="37">
        <f t="shared" si="261"/>
        <v>0</v>
      </c>
      <c r="FW95" s="37">
        <f t="shared" si="261"/>
        <v>0</v>
      </c>
      <c r="FX95" s="37">
        <f t="shared" si="261"/>
        <v>0</v>
      </c>
      <c r="FY95" s="37">
        <f t="shared" si="261"/>
        <v>0</v>
      </c>
      <c r="FZ95" s="37">
        <f t="shared" si="261"/>
        <v>0</v>
      </c>
      <c r="GA95" s="37">
        <f t="shared" si="261"/>
        <v>0</v>
      </c>
      <c r="GB95" s="37">
        <f t="shared" si="261"/>
        <v>0</v>
      </c>
      <c r="GC95" s="37">
        <f t="shared" si="261"/>
        <v>0</v>
      </c>
      <c r="GD95" s="37">
        <f t="shared" si="261"/>
        <v>0</v>
      </c>
      <c r="GE95" s="37">
        <f t="shared" ref="GE95:GM95" si="262">-IF(GE$13=1,GE92+GE94,0)</f>
        <v>0</v>
      </c>
      <c r="GF95" s="37">
        <f t="shared" si="262"/>
        <v>0</v>
      </c>
      <c r="GG95" s="37">
        <f t="shared" si="262"/>
        <v>0</v>
      </c>
      <c r="GH95" s="37">
        <f t="shared" si="262"/>
        <v>0</v>
      </c>
      <c r="GI95" s="37">
        <f t="shared" si="262"/>
        <v>0</v>
      </c>
      <c r="GJ95" s="37">
        <f t="shared" si="262"/>
        <v>0</v>
      </c>
      <c r="GK95" s="37">
        <f t="shared" si="262"/>
        <v>0</v>
      </c>
      <c r="GL95" s="37">
        <f t="shared" si="262"/>
        <v>0</v>
      </c>
      <c r="GM95" s="37">
        <f t="shared" si="262"/>
        <v>0</v>
      </c>
      <c r="GN95" s="63"/>
      <c r="GO95" s="63"/>
      <c r="GP95" s="63"/>
      <c r="GQ95" s="27"/>
      <c r="GR95" s="27"/>
      <c r="GS95" s="27"/>
      <c r="GT95" s="27"/>
      <c r="GU95" s="27"/>
      <c r="GV95" s="27"/>
      <c r="GW95" s="27"/>
      <c r="GX95" s="27"/>
      <c r="GY95" s="27"/>
      <c r="GZ95" s="27"/>
      <c r="HA95" s="27"/>
      <c r="HB95" s="27"/>
      <c r="HC95" s="27"/>
      <c r="HD95" s="27"/>
      <c r="HE95" s="27"/>
      <c r="HF95" s="27"/>
      <c r="HG95" s="27"/>
      <c r="HH95" s="27"/>
      <c r="HI95" s="27"/>
      <c r="HJ95" s="27"/>
      <c r="HK95" s="27"/>
      <c r="HL95" s="27"/>
      <c r="HM95" s="27"/>
      <c r="HN95" s="27"/>
      <c r="HO95" s="27"/>
      <c r="HP95" s="27"/>
      <c r="HQ95" s="27"/>
      <c r="HR95" s="27"/>
      <c r="HS95" s="27"/>
      <c r="HT95" s="27"/>
      <c r="HU95" s="27"/>
      <c r="HV95" s="27"/>
      <c r="HW95" s="27"/>
      <c r="HX95" s="27"/>
      <c r="HY95" s="27"/>
      <c r="HZ95" s="27"/>
      <c r="IA95" s="27"/>
      <c r="IB95" s="27"/>
      <c r="IC95" s="27"/>
      <c r="ID95" s="27"/>
      <c r="IE95" s="27"/>
      <c r="IF95" s="27"/>
      <c r="IG95" s="27"/>
      <c r="IH95" s="27"/>
      <c r="II95" s="27"/>
      <c r="IJ95" s="27"/>
      <c r="IK95" s="27"/>
      <c r="IL95" s="27"/>
      <c r="IM95" s="27"/>
      <c r="IN95" s="27"/>
      <c r="IO95" s="27"/>
      <c r="IP95" s="27"/>
      <c r="IQ95" s="27"/>
      <c r="IR95" s="27"/>
      <c r="IS95" s="27"/>
      <c r="IT95" s="27"/>
      <c r="IU95" s="27"/>
      <c r="IV95" s="27"/>
      <c r="IW95" s="27"/>
      <c r="IX95" s="27"/>
      <c r="IY95" s="27"/>
      <c r="IZ95" s="27"/>
      <c r="JA95" s="27"/>
      <c r="JB95" s="27"/>
      <c r="JC95" s="27"/>
      <c r="JD95" s="27"/>
      <c r="JE95" s="27"/>
      <c r="JF95" s="27"/>
      <c r="JG95" s="27"/>
      <c r="JH95" s="27"/>
      <c r="JI95" s="27"/>
      <c r="JJ95" s="27"/>
      <c r="JK95" s="27"/>
      <c r="JL95" s="27"/>
      <c r="JM95" s="27"/>
      <c r="JN95" s="27"/>
      <c r="JO95" s="27"/>
      <c r="JP95" s="27"/>
      <c r="JQ95" s="27"/>
      <c r="JR95" s="27"/>
      <c r="JS95" s="27"/>
      <c r="JT95" s="27"/>
      <c r="JU95" s="27"/>
      <c r="JV95" s="27"/>
      <c r="JW95" s="27"/>
      <c r="JX95" s="27"/>
      <c r="JY95" s="27"/>
      <c r="JZ95" s="27"/>
      <c r="KA95" s="27"/>
      <c r="KB95" s="27"/>
      <c r="KC95" s="27"/>
      <c r="KD95" s="27"/>
      <c r="KE95" s="27"/>
      <c r="KF95" s="27"/>
      <c r="KG95" s="27"/>
      <c r="KH95" s="27"/>
      <c r="KI95" s="27"/>
      <c r="KJ95" s="27"/>
      <c r="KK95" s="27"/>
      <c r="KL95" s="27"/>
      <c r="KM95" s="27"/>
      <c r="KN95" s="27"/>
      <c r="KO95" s="27"/>
      <c r="KP95" s="27"/>
      <c r="KQ95" s="27"/>
      <c r="KR95" s="27"/>
      <c r="KS95" s="27"/>
      <c r="KT95" s="27"/>
      <c r="KU95" s="27"/>
      <c r="KV95" s="27"/>
      <c r="KW95" s="27"/>
      <c r="KX95" s="27"/>
      <c r="KY95" s="27"/>
      <c r="KZ95" s="27"/>
      <c r="LA95" s="27"/>
      <c r="LB95" s="27"/>
      <c r="LC95" s="27"/>
      <c r="LD95" s="27"/>
      <c r="LE95" s="27"/>
      <c r="LF95" s="27"/>
      <c r="LG95" s="27"/>
      <c r="LH95" s="27"/>
      <c r="LI95" s="27"/>
      <c r="LJ95" s="27"/>
      <c r="LK95" s="27"/>
      <c r="LL95" s="27"/>
      <c r="LM95" s="27"/>
      <c r="LN95" s="27"/>
      <c r="LO95" s="27"/>
      <c r="LP95" s="27"/>
      <c r="LQ95" s="27"/>
      <c r="LR95" s="27"/>
      <c r="LS95" s="27"/>
      <c r="LT95" s="27"/>
      <c r="LU95" s="27"/>
      <c r="LV95" s="27"/>
      <c r="LW95" s="27"/>
      <c r="LX95" s="27"/>
      <c r="LY95" s="27"/>
      <c r="LZ95" s="27"/>
      <c r="MA95" s="27"/>
      <c r="MB95" s="27"/>
      <c r="MC95" s="27"/>
      <c r="MD95" s="27"/>
      <c r="ME95" s="27"/>
      <c r="MF95" s="27"/>
      <c r="MG95" s="27"/>
      <c r="MH95" s="27"/>
      <c r="MI95" s="27"/>
      <c r="MJ95" s="27"/>
      <c r="MK95" s="27"/>
      <c r="ML95" s="27"/>
      <c r="MM95" s="27"/>
      <c r="MN95" s="27"/>
      <c r="MO95" s="27"/>
      <c r="MP95" s="27"/>
      <c r="MQ95" s="27"/>
      <c r="MR95" s="27"/>
      <c r="MS95" s="27"/>
      <c r="MT95" s="27"/>
      <c r="MU95" s="27"/>
      <c r="MV95" s="27"/>
      <c r="MW95" s="27"/>
      <c r="MX95" s="27"/>
      <c r="MY95" s="27"/>
      <c r="MZ95" s="27"/>
      <c r="NA95" s="27"/>
      <c r="NB95" s="27"/>
    </row>
    <row r="96" spans="2:366" ht="16" customHeight="1" x14ac:dyDescent="0.15">
      <c r="B96" s="319" t="s">
        <v>109</v>
      </c>
      <c r="C96" s="378" t="s">
        <v>150</v>
      </c>
      <c r="D96" s="315"/>
      <c r="E96" s="320"/>
      <c r="F96" s="317">
        <f t="shared" ref="F96:AK96" si="263">F92+F94+F95</f>
        <v>0</v>
      </c>
      <c r="G96" s="317">
        <f t="shared" si="263"/>
        <v>0</v>
      </c>
      <c r="H96" s="317">
        <f t="shared" si="263"/>
        <v>0</v>
      </c>
      <c r="I96" s="317">
        <f t="shared" si="263"/>
        <v>0</v>
      </c>
      <c r="J96" s="317">
        <f t="shared" si="263"/>
        <v>0</v>
      </c>
      <c r="K96" s="317">
        <f t="shared" si="263"/>
        <v>0</v>
      </c>
      <c r="L96" s="317">
        <f t="shared" si="263"/>
        <v>0</v>
      </c>
      <c r="M96" s="317">
        <f t="shared" si="263"/>
        <v>0</v>
      </c>
      <c r="N96" s="317">
        <f t="shared" si="263"/>
        <v>0</v>
      </c>
      <c r="O96" s="317">
        <f t="shared" si="263"/>
        <v>0</v>
      </c>
      <c r="P96" s="317">
        <f t="shared" si="263"/>
        <v>0</v>
      </c>
      <c r="Q96" s="317">
        <f t="shared" si="263"/>
        <v>0</v>
      </c>
      <c r="R96" s="317">
        <f t="shared" si="263"/>
        <v>0</v>
      </c>
      <c r="S96" s="317">
        <f t="shared" si="263"/>
        <v>0</v>
      </c>
      <c r="T96" s="317">
        <f t="shared" si="263"/>
        <v>0</v>
      </c>
      <c r="U96" s="317">
        <f t="shared" si="263"/>
        <v>0</v>
      </c>
      <c r="V96" s="317">
        <f t="shared" si="263"/>
        <v>0</v>
      </c>
      <c r="W96" s="317">
        <f t="shared" si="263"/>
        <v>0</v>
      </c>
      <c r="X96" s="317">
        <f t="shared" si="263"/>
        <v>4138544.398291734</v>
      </c>
      <c r="Y96" s="317">
        <f t="shared" si="263"/>
        <v>4134810.8099864856</v>
      </c>
      <c r="Z96" s="317">
        <f t="shared" si="263"/>
        <v>4131062.0105803246</v>
      </c>
      <c r="AA96" s="317">
        <f t="shared" si="263"/>
        <v>4127297.9381013424</v>
      </c>
      <c r="AB96" s="317">
        <f t="shared" si="263"/>
        <v>4123518.5303251506</v>
      </c>
      <c r="AC96" s="317">
        <f t="shared" si="263"/>
        <v>4119723.7247738494</v>
      </c>
      <c r="AD96" s="317">
        <f t="shared" si="263"/>
        <v>4115913.4587149974</v>
      </c>
      <c r="AE96" s="317">
        <f t="shared" si="263"/>
        <v>4112087.6691605733</v>
      </c>
      <c r="AF96" s="317">
        <f t="shared" si="263"/>
        <v>4108246.2928659339</v>
      </c>
      <c r="AG96" s="317">
        <f t="shared" si="263"/>
        <v>4104389.2663287707</v>
      </c>
      <c r="AH96" s="317">
        <f t="shared" si="263"/>
        <v>4100516.5257880581</v>
      </c>
      <c r="AI96" s="317">
        <f t="shared" si="263"/>
        <v>4096628.0072230007</v>
      </c>
      <c r="AJ96" s="317">
        <f t="shared" si="263"/>
        <v>4092723.6463519745</v>
      </c>
      <c r="AK96" s="317">
        <f t="shared" si="263"/>
        <v>4088803.3786314637</v>
      </c>
      <c r="AL96" s="317">
        <f t="shared" ref="AL96:BQ96" si="264">AL92+AL94+AL95</f>
        <v>4084867.1392549947</v>
      </c>
      <c r="AM96" s="317">
        <f t="shared" si="264"/>
        <v>4080914.8631520635</v>
      </c>
      <c r="AN96" s="317">
        <f t="shared" si="264"/>
        <v>4076946.4849870619</v>
      </c>
      <c r="AO96" s="317">
        <f t="shared" si="264"/>
        <v>4072961.9391581956</v>
      </c>
      <c r="AP96" s="317">
        <f t="shared" si="264"/>
        <v>4068961.1597964009</v>
      </c>
      <c r="AQ96" s="317">
        <f t="shared" si="264"/>
        <v>4064944.0807642555</v>
      </c>
      <c r="AR96" s="317">
        <f t="shared" si="264"/>
        <v>4060910.6356548844</v>
      </c>
      <c r="AS96" s="317">
        <f t="shared" si="264"/>
        <v>4056860.757790863</v>
      </c>
      <c r="AT96" s="317">
        <f t="shared" si="264"/>
        <v>4052794.380223115</v>
      </c>
      <c r="AU96" s="317">
        <f t="shared" si="264"/>
        <v>4048711.4357298049</v>
      </c>
      <c r="AV96" s="317">
        <f t="shared" si="264"/>
        <v>4044611.8568152273</v>
      </c>
      <c r="AW96" s="317">
        <f t="shared" si="264"/>
        <v>4040495.575708691</v>
      </c>
      <c r="AX96" s="317">
        <f t="shared" si="264"/>
        <v>4036362.5243633981</v>
      </c>
      <c r="AY96" s="317">
        <f t="shared" si="264"/>
        <v>4032212.6344553204</v>
      </c>
      <c r="AZ96" s="317">
        <f t="shared" si="264"/>
        <v>4028045.8373820689</v>
      </c>
      <c r="BA96" s="317">
        <f t="shared" si="264"/>
        <v>4023862.0642617596</v>
      </c>
      <c r="BB96" s="317">
        <f t="shared" si="264"/>
        <v>4019661.2459318754</v>
      </c>
      <c r="BC96" s="317">
        <f t="shared" si="264"/>
        <v>4015443.3129481226</v>
      </c>
      <c r="BD96" s="317">
        <f t="shared" si="264"/>
        <v>4011208.195583283</v>
      </c>
      <c r="BE96" s="317">
        <f t="shared" si="264"/>
        <v>4006955.8238260606</v>
      </c>
      <c r="BF96" s="317">
        <f t="shared" si="264"/>
        <v>4002686.1273799255</v>
      </c>
      <c r="BG96" s="317">
        <f t="shared" si="264"/>
        <v>3998399.0356619498</v>
      </c>
      <c r="BH96" s="317">
        <f t="shared" si="264"/>
        <v>3994094.4778016433</v>
      </c>
      <c r="BI96" s="317">
        <f t="shared" si="264"/>
        <v>3989772.3826397802</v>
      </c>
      <c r="BJ96" s="317">
        <f t="shared" si="264"/>
        <v>3985432.6787272226</v>
      </c>
      <c r="BK96" s="317">
        <f t="shared" si="264"/>
        <v>3981075.294323741</v>
      </c>
      <c r="BL96" s="317">
        <f t="shared" si="264"/>
        <v>3976700.1573968269</v>
      </c>
      <c r="BM96" s="317">
        <f t="shared" si="264"/>
        <v>3972307.1956205019</v>
      </c>
      <c r="BN96" s="317">
        <f t="shared" si="264"/>
        <v>3967896.3363741236</v>
      </c>
      <c r="BO96" s="317">
        <f t="shared" si="264"/>
        <v>3963467.5067411833</v>
      </c>
      <c r="BP96" s="317">
        <f t="shared" si="264"/>
        <v>3959020.6335081016</v>
      </c>
      <c r="BQ96" s="317">
        <f t="shared" si="264"/>
        <v>3954555.6431630179</v>
      </c>
      <c r="BR96" s="317">
        <f t="shared" ref="BR96:CW96" si="265">BR92+BR94+BR95</f>
        <v>3950072.461894576</v>
      </c>
      <c r="BS96" s="317">
        <f t="shared" si="265"/>
        <v>3945571.0155907017</v>
      </c>
      <c r="BT96" s="317">
        <f t="shared" si="265"/>
        <v>3941051.2298373799</v>
      </c>
      <c r="BU96" s="317">
        <f t="shared" si="265"/>
        <v>3936513.0299174236</v>
      </c>
      <c r="BV96" s="317">
        <f t="shared" si="265"/>
        <v>3931956.3408092386</v>
      </c>
      <c r="BW96" s="317">
        <f t="shared" si="265"/>
        <v>3927381.0871855831</v>
      </c>
      <c r="BX96" s="317">
        <f t="shared" si="265"/>
        <v>3922787.193412323</v>
      </c>
      <c r="BY96" s="317">
        <f t="shared" si="265"/>
        <v>3918174.5835471819</v>
      </c>
      <c r="BZ96" s="317">
        <f t="shared" si="265"/>
        <v>3913543.1813384844</v>
      </c>
      <c r="CA96" s="317">
        <f t="shared" si="265"/>
        <v>3908892.9102238971</v>
      </c>
      <c r="CB96" s="317">
        <f t="shared" si="265"/>
        <v>3904223.693329161</v>
      </c>
      <c r="CC96" s="317">
        <f t="shared" si="265"/>
        <v>3899535.4534668233</v>
      </c>
      <c r="CD96" s="317">
        <f t="shared" si="265"/>
        <v>3894828.1131349592</v>
      </c>
      <c r="CE96" s="317">
        <f t="shared" si="265"/>
        <v>3890101.5945158913</v>
      </c>
      <c r="CF96" s="317">
        <f t="shared" si="265"/>
        <v>3885355.8194749034</v>
      </c>
      <c r="CG96" s="317">
        <f t="shared" si="265"/>
        <v>3880590.7095589493</v>
      </c>
      <c r="CH96" s="317">
        <f t="shared" si="265"/>
        <v>3875806.1859953548</v>
      </c>
      <c r="CI96" s="317">
        <f t="shared" si="265"/>
        <v>3871002.1696905163</v>
      </c>
      <c r="CJ96" s="317">
        <f t="shared" si="265"/>
        <v>3866178.5812285934</v>
      </c>
      <c r="CK96" s="317">
        <f t="shared" si="265"/>
        <v>3861335.3408701951</v>
      </c>
      <c r="CL96" s="317">
        <f t="shared" si="265"/>
        <v>3856472.3685510629</v>
      </c>
      <c r="CM96" s="317">
        <f t="shared" si="265"/>
        <v>3851589.5838807458</v>
      </c>
      <c r="CN96" s="317">
        <f t="shared" si="265"/>
        <v>3846686.9061412732</v>
      </c>
      <c r="CO96" s="317">
        <f t="shared" si="265"/>
        <v>3841764.2542858184</v>
      </c>
      <c r="CP96" s="317">
        <f t="shared" si="265"/>
        <v>3836821.5469373609</v>
      </c>
      <c r="CQ96" s="317">
        <f t="shared" si="265"/>
        <v>3831858.7023873394</v>
      </c>
      <c r="CR96" s="317">
        <f t="shared" si="265"/>
        <v>3826875.6385943023</v>
      </c>
      <c r="CS96" s="317">
        <f t="shared" si="265"/>
        <v>3821872.2731825504</v>
      </c>
      <c r="CT96" s="317">
        <f t="shared" si="265"/>
        <v>3816848.5234407764</v>
      </c>
      <c r="CU96" s="317">
        <f t="shared" si="265"/>
        <v>3811804.3063206961</v>
      </c>
      <c r="CV96" s="317">
        <f t="shared" si="265"/>
        <v>3806739.5384356771</v>
      </c>
      <c r="CW96" s="317">
        <f t="shared" si="265"/>
        <v>3801654.1360593592</v>
      </c>
      <c r="CX96" s="317">
        <f t="shared" ref="CX96:EC96" si="266">CX92+CX94+CX95</f>
        <v>3796548.0151242702</v>
      </c>
      <c r="CY96" s="317">
        <f t="shared" si="266"/>
        <v>3791421.0912204375</v>
      </c>
      <c r="CZ96" s="317">
        <f t="shared" si="266"/>
        <v>3786273.2795939911</v>
      </c>
      <c r="DA96" s="317">
        <f t="shared" si="266"/>
        <v>3781104.4951457637</v>
      </c>
      <c r="DB96" s="317">
        <f t="shared" si="266"/>
        <v>3775914.6524298834</v>
      </c>
      <c r="DC96" s="317">
        <f t="shared" si="266"/>
        <v>3770703.6656523608</v>
      </c>
      <c r="DD96" s="317">
        <f t="shared" si="266"/>
        <v>3765471.4486696715</v>
      </c>
      <c r="DE96" s="317">
        <f t="shared" si="266"/>
        <v>3760217.9149873322</v>
      </c>
      <c r="DF96" s="317">
        <f t="shared" si="266"/>
        <v>3754942.9777584691</v>
      </c>
      <c r="DG96" s="317">
        <f t="shared" si="266"/>
        <v>3749646.5497823847</v>
      </c>
      <c r="DH96" s="317">
        <f t="shared" si="266"/>
        <v>3744328.5435031145</v>
      </c>
      <c r="DI96" s="317">
        <f t="shared" si="266"/>
        <v>3738988.8710079803</v>
      </c>
      <c r="DJ96" s="317">
        <f t="shared" si="266"/>
        <v>3733627.4440261368</v>
      </c>
      <c r="DK96" s="317">
        <f t="shared" si="266"/>
        <v>3728244.1739271125</v>
      </c>
      <c r="DL96" s="317">
        <f t="shared" si="266"/>
        <v>3722838.9717193437</v>
      </c>
      <c r="DM96" s="317">
        <f t="shared" si="266"/>
        <v>3717411.748048705</v>
      </c>
      <c r="DN96" s="317">
        <f t="shared" si="266"/>
        <v>3711962.4131970308</v>
      </c>
      <c r="DO96" s="317">
        <f t="shared" si="266"/>
        <v>3706490.8770806319</v>
      </c>
      <c r="DP96" s="317">
        <f t="shared" si="266"/>
        <v>3700997.0492488085</v>
      </c>
      <c r="DQ96" s="317">
        <f t="shared" si="266"/>
        <v>3695480.8388823522</v>
      </c>
      <c r="DR96" s="317">
        <f t="shared" si="266"/>
        <v>3689942.1547920462</v>
      </c>
      <c r="DS96" s="317">
        <f t="shared" si="266"/>
        <v>3684380.9054171578</v>
      </c>
      <c r="DT96" s="317">
        <f t="shared" si="266"/>
        <v>3678796.9988239245</v>
      </c>
      <c r="DU96" s="317">
        <f t="shared" si="266"/>
        <v>3673190.3427040339</v>
      </c>
      <c r="DV96" s="317">
        <f t="shared" si="266"/>
        <v>0</v>
      </c>
      <c r="DW96" s="317">
        <f t="shared" si="266"/>
        <v>0</v>
      </c>
      <c r="DX96" s="317">
        <f t="shared" si="266"/>
        <v>0</v>
      </c>
      <c r="DY96" s="317">
        <f t="shared" si="266"/>
        <v>0</v>
      </c>
      <c r="DZ96" s="317">
        <f t="shared" si="266"/>
        <v>0</v>
      </c>
      <c r="EA96" s="317">
        <f t="shared" si="266"/>
        <v>0</v>
      </c>
      <c r="EB96" s="317">
        <f t="shared" si="266"/>
        <v>0</v>
      </c>
      <c r="EC96" s="317">
        <f t="shared" si="266"/>
        <v>0</v>
      </c>
      <c r="ED96" s="317">
        <f t="shared" ref="ED96:FI96" si="267">ED92+ED94+ED95</f>
        <v>0</v>
      </c>
      <c r="EE96" s="317">
        <f t="shared" si="267"/>
        <v>0</v>
      </c>
      <c r="EF96" s="317">
        <f t="shared" si="267"/>
        <v>0</v>
      </c>
      <c r="EG96" s="317">
        <f t="shared" si="267"/>
        <v>0</v>
      </c>
      <c r="EH96" s="317">
        <f t="shared" si="267"/>
        <v>0</v>
      </c>
      <c r="EI96" s="317">
        <f t="shared" si="267"/>
        <v>0</v>
      </c>
      <c r="EJ96" s="317">
        <f t="shared" si="267"/>
        <v>0</v>
      </c>
      <c r="EK96" s="317">
        <f t="shared" si="267"/>
        <v>0</v>
      </c>
      <c r="EL96" s="317">
        <f t="shared" si="267"/>
        <v>0</v>
      </c>
      <c r="EM96" s="317">
        <f t="shared" si="267"/>
        <v>0</v>
      </c>
      <c r="EN96" s="317">
        <f t="shared" si="267"/>
        <v>0</v>
      </c>
      <c r="EO96" s="317">
        <f t="shared" si="267"/>
        <v>0</v>
      </c>
      <c r="EP96" s="317">
        <f t="shared" si="267"/>
        <v>0</v>
      </c>
      <c r="EQ96" s="317">
        <f t="shared" si="267"/>
        <v>0</v>
      </c>
      <c r="ER96" s="317">
        <f t="shared" si="267"/>
        <v>0</v>
      </c>
      <c r="ES96" s="317">
        <f t="shared" si="267"/>
        <v>0</v>
      </c>
      <c r="ET96" s="317">
        <f t="shared" si="267"/>
        <v>0</v>
      </c>
      <c r="EU96" s="317">
        <f t="shared" si="267"/>
        <v>0</v>
      </c>
      <c r="EV96" s="317">
        <f t="shared" si="267"/>
        <v>0</v>
      </c>
      <c r="EW96" s="317">
        <f t="shared" si="267"/>
        <v>0</v>
      </c>
      <c r="EX96" s="317">
        <f t="shared" si="267"/>
        <v>0</v>
      </c>
      <c r="EY96" s="317">
        <f t="shared" si="267"/>
        <v>0</v>
      </c>
      <c r="EZ96" s="317">
        <f t="shared" si="267"/>
        <v>0</v>
      </c>
      <c r="FA96" s="317">
        <f t="shared" si="267"/>
        <v>0</v>
      </c>
      <c r="FB96" s="317">
        <f t="shared" si="267"/>
        <v>0</v>
      </c>
      <c r="FC96" s="317">
        <f t="shared" si="267"/>
        <v>0</v>
      </c>
      <c r="FD96" s="317">
        <f t="shared" si="267"/>
        <v>0</v>
      </c>
      <c r="FE96" s="317">
        <f t="shared" si="267"/>
        <v>0</v>
      </c>
      <c r="FF96" s="317">
        <f t="shared" si="267"/>
        <v>0</v>
      </c>
      <c r="FG96" s="317">
        <f t="shared" si="267"/>
        <v>0</v>
      </c>
      <c r="FH96" s="317">
        <f t="shared" si="267"/>
        <v>0</v>
      </c>
      <c r="FI96" s="317">
        <f t="shared" si="267"/>
        <v>0</v>
      </c>
      <c r="FJ96" s="317">
        <f t="shared" ref="FJ96:GD96" si="268">FJ92+FJ94+FJ95</f>
        <v>0</v>
      </c>
      <c r="FK96" s="317">
        <f t="shared" si="268"/>
        <v>0</v>
      </c>
      <c r="FL96" s="317">
        <f t="shared" si="268"/>
        <v>0</v>
      </c>
      <c r="FM96" s="317">
        <f t="shared" si="268"/>
        <v>0</v>
      </c>
      <c r="FN96" s="317">
        <f t="shared" si="268"/>
        <v>0</v>
      </c>
      <c r="FO96" s="317">
        <f t="shared" si="268"/>
        <v>0</v>
      </c>
      <c r="FP96" s="317">
        <f t="shared" si="268"/>
        <v>0</v>
      </c>
      <c r="FQ96" s="317">
        <f t="shared" si="268"/>
        <v>0</v>
      </c>
      <c r="FR96" s="317">
        <f t="shared" si="268"/>
        <v>0</v>
      </c>
      <c r="FS96" s="317">
        <f t="shared" si="268"/>
        <v>0</v>
      </c>
      <c r="FT96" s="317">
        <f t="shared" si="268"/>
        <v>0</v>
      </c>
      <c r="FU96" s="317">
        <f t="shared" si="268"/>
        <v>0</v>
      </c>
      <c r="FV96" s="317">
        <f t="shared" si="268"/>
        <v>0</v>
      </c>
      <c r="FW96" s="317">
        <f t="shared" si="268"/>
        <v>0</v>
      </c>
      <c r="FX96" s="317">
        <f t="shared" si="268"/>
        <v>0</v>
      </c>
      <c r="FY96" s="317">
        <f t="shared" si="268"/>
        <v>0</v>
      </c>
      <c r="FZ96" s="317">
        <f t="shared" si="268"/>
        <v>0</v>
      </c>
      <c r="GA96" s="317">
        <f t="shared" si="268"/>
        <v>0</v>
      </c>
      <c r="GB96" s="317">
        <f t="shared" si="268"/>
        <v>0</v>
      </c>
      <c r="GC96" s="317">
        <f t="shared" si="268"/>
        <v>0</v>
      </c>
      <c r="GD96" s="317">
        <f t="shared" si="268"/>
        <v>0</v>
      </c>
      <c r="GE96" s="317">
        <f t="shared" ref="GE96:GM96" si="269">GE92+GE94+GE95</f>
        <v>0</v>
      </c>
      <c r="GF96" s="317">
        <f t="shared" si="269"/>
        <v>0</v>
      </c>
      <c r="GG96" s="317">
        <f t="shared" si="269"/>
        <v>0</v>
      </c>
      <c r="GH96" s="317">
        <f t="shared" si="269"/>
        <v>0</v>
      </c>
      <c r="GI96" s="317">
        <f t="shared" si="269"/>
        <v>0</v>
      </c>
      <c r="GJ96" s="317">
        <f t="shared" si="269"/>
        <v>0</v>
      </c>
      <c r="GK96" s="317">
        <f t="shared" si="269"/>
        <v>0</v>
      </c>
      <c r="GL96" s="317">
        <f t="shared" si="269"/>
        <v>0</v>
      </c>
      <c r="GM96" s="317">
        <f t="shared" si="269"/>
        <v>0</v>
      </c>
      <c r="GN96" s="612"/>
      <c r="GO96" s="612"/>
      <c r="GP96" s="612"/>
      <c r="GQ96" s="27"/>
      <c r="GR96" s="27"/>
      <c r="GS96" s="27"/>
      <c r="GT96" s="27"/>
      <c r="GU96" s="27"/>
      <c r="GV96" s="27"/>
      <c r="GW96" s="27"/>
      <c r="GX96" s="27"/>
      <c r="GY96" s="27"/>
      <c r="GZ96" s="27"/>
      <c r="HA96" s="27"/>
      <c r="HB96" s="27"/>
      <c r="HC96" s="27"/>
      <c r="HD96" s="27"/>
      <c r="HE96" s="27"/>
      <c r="HF96" s="27"/>
      <c r="HG96" s="27"/>
      <c r="HH96" s="27"/>
      <c r="HI96" s="27"/>
      <c r="HJ96" s="27"/>
      <c r="HK96" s="27"/>
      <c r="HL96" s="27"/>
      <c r="HM96" s="27"/>
      <c r="HN96" s="27"/>
      <c r="HO96" s="27"/>
      <c r="HP96" s="27"/>
      <c r="HQ96" s="27"/>
      <c r="HR96" s="27"/>
      <c r="HS96" s="27"/>
      <c r="HT96" s="27"/>
      <c r="HU96" s="27"/>
      <c r="HV96" s="27"/>
      <c r="HW96" s="27"/>
      <c r="HX96" s="27"/>
      <c r="HY96" s="27"/>
      <c r="HZ96" s="27"/>
      <c r="IA96" s="27"/>
      <c r="IB96" s="27"/>
      <c r="IC96" s="27"/>
      <c r="ID96" s="27"/>
      <c r="IE96" s="27"/>
      <c r="IF96" s="27"/>
      <c r="IG96" s="27"/>
      <c r="IH96" s="27"/>
      <c r="II96" s="27"/>
      <c r="IJ96" s="27"/>
      <c r="IK96" s="27"/>
      <c r="IL96" s="27"/>
      <c r="IM96" s="27"/>
      <c r="IN96" s="27"/>
      <c r="IO96" s="27"/>
      <c r="IP96" s="27"/>
      <c r="IQ96" s="27"/>
      <c r="IR96" s="27"/>
      <c r="IS96" s="27"/>
      <c r="IT96" s="27"/>
      <c r="IU96" s="27"/>
      <c r="IV96" s="27"/>
      <c r="IW96" s="27"/>
      <c r="IX96" s="27"/>
      <c r="IY96" s="27"/>
      <c r="IZ96" s="27"/>
      <c r="JA96" s="27"/>
      <c r="JB96" s="27"/>
      <c r="JC96" s="27"/>
      <c r="JD96" s="27"/>
      <c r="JE96" s="27"/>
      <c r="JF96" s="27"/>
      <c r="JG96" s="27"/>
      <c r="JH96" s="27"/>
      <c r="JI96" s="27"/>
      <c r="JJ96" s="27"/>
      <c r="JK96" s="27"/>
      <c r="JL96" s="27"/>
      <c r="JM96" s="27"/>
      <c r="JN96" s="27"/>
      <c r="JO96" s="27"/>
      <c r="JP96" s="27"/>
      <c r="JQ96" s="27"/>
      <c r="JR96" s="27"/>
      <c r="JS96" s="27"/>
      <c r="JT96" s="27"/>
      <c r="JU96" s="27"/>
      <c r="JV96" s="27"/>
      <c r="JW96" s="27"/>
      <c r="JX96" s="27"/>
      <c r="JY96" s="27"/>
      <c r="JZ96" s="27"/>
      <c r="KA96" s="27"/>
      <c r="KB96" s="27"/>
      <c r="KC96" s="27"/>
      <c r="KD96" s="27"/>
      <c r="KE96" s="27"/>
      <c r="KF96" s="27"/>
      <c r="KG96" s="27"/>
      <c r="KH96" s="27"/>
      <c r="KI96" s="27"/>
      <c r="KJ96" s="27"/>
      <c r="KK96" s="27"/>
      <c r="KL96" s="27"/>
      <c r="KM96" s="27"/>
      <c r="KN96" s="27"/>
      <c r="KO96" s="27"/>
      <c r="KP96" s="27"/>
      <c r="KQ96" s="27"/>
      <c r="KR96" s="27"/>
      <c r="KS96" s="27"/>
      <c r="KT96" s="27"/>
      <c r="KU96" s="27"/>
      <c r="KV96" s="27"/>
      <c r="KW96" s="27"/>
      <c r="KX96" s="27"/>
      <c r="KY96" s="27"/>
      <c r="KZ96" s="27"/>
      <c r="LA96" s="27"/>
      <c r="LB96" s="27"/>
      <c r="LC96" s="27"/>
      <c r="LD96" s="27"/>
      <c r="LE96" s="27"/>
      <c r="LF96" s="27"/>
      <c r="LG96" s="27"/>
      <c r="LH96" s="27"/>
      <c r="LI96" s="27"/>
      <c r="LJ96" s="27"/>
      <c r="LK96" s="27"/>
      <c r="LL96" s="27"/>
      <c r="LM96" s="27"/>
      <c r="LN96" s="27"/>
      <c r="LO96" s="27"/>
      <c r="LP96" s="27"/>
      <c r="LQ96" s="27"/>
      <c r="LR96" s="27"/>
      <c r="LS96" s="27"/>
      <c r="LT96" s="27"/>
      <c r="LU96" s="27"/>
      <c r="LV96" s="27"/>
      <c r="LW96" s="27"/>
      <c r="LX96" s="27"/>
      <c r="LY96" s="27"/>
      <c r="LZ96" s="27"/>
      <c r="MA96" s="27"/>
      <c r="MB96" s="27"/>
      <c r="MC96" s="27"/>
      <c r="MD96" s="27"/>
      <c r="ME96" s="27"/>
      <c r="MF96" s="27"/>
      <c r="MG96" s="27"/>
      <c r="MH96" s="27"/>
      <c r="MI96" s="27"/>
      <c r="MJ96" s="27"/>
      <c r="MK96" s="27"/>
      <c r="ML96" s="27"/>
      <c r="MM96" s="27"/>
      <c r="MN96" s="27"/>
      <c r="MO96" s="27"/>
      <c r="MP96" s="27"/>
      <c r="MQ96" s="27"/>
      <c r="MR96" s="27"/>
      <c r="MS96" s="27"/>
      <c r="MT96" s="27"/>
      <c r="MU96" s="27"/>
      <c r="MV96" s="27"/>
      <c r="MW96" s="27"/>
      <c r="MX96" s="27"/>
      <c r="MY96" s="27"/>
      <c r="MZ96" s="27"/>
      <c r="NA96" s="27"/>
      <c r="NB96" s="27"/>
    </row>
    <row r="97" spans="2:366" ht="16" customHeight="1" x14ac:dyDescent="0.15">
      <c r="B97" s="31" t="s">
        <v>67</v>
      </c>
      <c r="C97" s="377" t="s">
        <v>150</v>
      </c>
      <c r="F97" s="37">
        <f t="shared" ref="F97:AK97" si="270">F87+F86+F93+F94</f>
        <v>0</v>
      </c>
      <c r="G97" s="37">
        <f t="shared" si="270"/>
        <v>-17466.280858819329</v>
      </c>
      <c r="H97" s="37">
        <f t="shared" si="270"/>
        <v>-17705.66069892616</v>
      </c>
      <c r="I97" s="37">
        <f t="shared" si="270"/>
        <v>-17946.205732509035</v>
      </c>
      <c r="J97" s="37">
        <f t="shared" si="270"/>
        <v>-18187.921631206114</v>
      </c>
      <c r="K97" s="37">
        <f t="shared" si="270"/>
        <v>-18430.81409426255</v>
      </c>
      <c r="L97" s="37">
        <f t="shared" si="270"/>
        <v>-18674.888848664854</v>
      </c>
      <c r="M97" s="37">
        <f t="shared" si="270"/>
        <v>-18920.151649275937</v>
      </c>
      <c r="N97" s="37">
        <f t="shared" si="270"/>
        <v>-19166.608278970791</v>
      </c>
      <c r="O97" s="37">
        <f t="shared" si="270"/>
        <v>-19414.264548772848</v>
      </c>
      <c r="P97" s="37">
        <f t="shared" si="270"/>
        <v>-19414.264548772848</v>
      </c>
      <c r="Q97" s="37">
        <f t="shared" si="270"/>
        <v>-19414.264548772848</v>
      </c>
      <c r="R97" s="37">
        <f t="shared" si="270"/>
        <v>-19414.264548772848</v>
      </c>
      <c r="S97" s="37">
        <f t="shared" si="270"/>
        <v>-19414.264548772848</v>
      </c>
      <c r="T97" s="37">
        <f t="shared" si="270"/>
        <v>-19414.264548772848</v>
      </c>
      <c r="U97" s="37">
        <f t="shared" si="270"/>
        <v>-19414.264548772848</v>
      </c>
      <c r="V97" s="37">
        <f t="shared" si="270"/>
        <v>-19414.264548772848</v>
      </c>
      <c r="W97" s="37">
        <f t="shared" si="270"/>
        <v>-19414.264548772848</v>
      </c>
      <c r="X97" s="37">
        <f t="shared" si="270"/>
        <v>-19414.264548772848</v>
      </c>
      <c r="Y97" s="37">
        <f t="shared" si="270"/>
        <v>-20594.53046801344</v>
      </c>
      <c r="Z97" s="37">
        <f t="shared" si="270"/>
        <v>-20594.53046801344</v>
      </c>
      <c r="AA97" s="37">
        <f t="shared" si="270"/>
        <v>-20594.53046801344</v>
      </c>
      <c r="AB97" s="37">
        <f t="shared" si="270"/>
        <v>-20594.53046801344</v>
      </c>
      <c r="AC97" s="37">
        <f t="shared" si="270"/>
        <v>-20594.53046801344</v>
      </c>
      <c r="AD97" s="37">
        <f t="shared" si="270"/>
        <v>-20594.530468013436</v>
      </c>
      <c r="AE97" s="37">
        <f t="shared" si="270"/>
        <v>-20594.530468013436</v>
      </c>
      <c r="AF97" s="37">
        <f t="shared" si="270"/>
        <v>-20594.53046801344</v>
      </c>
      <c r="AG97" s="37">
        <f t="shared" si="270"/>
        <v>-20594.53046801344</v>
      </c>
      <c r="AH97" s="37">
        <f t="shared" si="270"/>
        <v>-20594.530468013436</v>
      </c>
      <c r="AI97" s="37">
        <f t="shared" si="270"/>
        <v>-20594.53046801344</v>
      </c>
      <c r="AJ97" s="37">
        <f t="shared" si="270"/>
        <v>-20594.530468013436</v>
      </c>
      <c r="AK97" s="37">
        <f t="shared" si="270"/>
        <v>-20594.53046801344</v>
      </c>
      <c r="AL97" s="37">
        <f t="shared" ref="AL97:BQ97" si="271">AL87+AL86+AL93+AL94</f>
        <v>-20594.53046801344</v>
      </c>
      <c r="AM97" s="37">
        <f t="shared" si="271"/>
        <v>-20594.530468013436</v>
      </c>
      <c r="AN97" s="37">
        <f t="shared" si="271"/>
        <v>-20594.530468013436</v>
      </c>
      <c r="AO97" s="37">
        <f t="shared" si="271"/>
        <v>-20594.53046801344</v>
      </c>
      <c r="AP97" s="37">
        <f t="shared" si="271"/>
        <v>-20594.53046801344</v>
      </c>
      <c r="AQ97" s="37">
        <f t="shared" si="271"/>
        <v>-20594.53046801344</v>
      </c>
      <c r="AR97" s="37">
        <f t="shared" si="271"/>
        <v>-20594.53046801344</v>
      </c>
      <c r="AS97" s="37">
        <f t="shared" si="271"/>
        <v>-20594.53046801344</v>
      </c>
      <c r="AT97" s="37">
        <f t="shared" si="271"/>
        <v>-20594.530468013436</v>
      </c>
      <c r="AU97" s="37">
        <f t="shared" si="271"/>
        <v>-20594.53046801344</v>
      </c>
      <c r="AV97" s="37">
        <f t="shared" si="271"/>
        <v>-20594.53046801344</v>
      </c>
      <c r="AW97" s="37">
        <f t="shared" si="271"/>
        <v>-20594.530468013436</v>
      </c>
      <c r="AX97" s="37">
        <f t="shared" si="271"/>
        <v>-20594.53046801344</v>
      </c>
      <c r="AY97" s="37">
        <f t="shared" si="271"/>
        <v>-20594.530468013436</v>
      </c>
      <c r="AZ97" s="37">
        <f t="shared" si="271"/>
        <v>-20594.530468013436</v>
      </c>
      <c r="BA97" s="37">
        <f t="shared" si="271"/>
        <v>-20594.530468013436</v>
      </c>
      <c r="BB97" s="37">
        <f t="shared" si="271"/>
        <v>-20594.530468013436</v>
      </c>
      <c r="BC97" s="37">
        <f t="shared" si="271"/>
        <v>-20594.530468013436</v>
      </c>
      <c r="BD97" s="37">
        <f t="shared" si="271"/>
        <v>-20594.530468013436</v>
      </c>
      <c r="BE97" s="37">
        <f t="shared" si="271"/>
        <v>-20594.53046801344</v>
      </c>
      <c r="BF97" s="37">
        <f t="shared" si="271"/>
        <v>-20594.53046801344</v>
      </c>
      <c r="BG97" s="37">
        <f t="shared" si="271"/>
        <v>-20594.53046801344</v>
      </c>
      <c r="BH97" s="37">
        <f t="shared" si="271"/>
        <v>-20594.53046801344</v>
      </c>
      <c r="BI97" s="37">
        <f t="shared" si="271"/>
        <v>-20594.53046801344</v>
      </c>
      <c r="BJ97" s="37">
        <f t="shared" si="271"/>
        <v>-20594.53046801344</v>
      </c>
      <c r="BK97" s="37">
        <f t="shared" si="271"/>
        <v>-20594.53046801344</v>
      </c>
      <c r="BL97" s="37">
        <f t="shared" si="271"/>
        <v>-20594.53046801344</v>
      </c>
      <c r="BM97" s="37">
        <f t="shared" si="271"/>
        <v>-20594.53046801344</v>
      </c>
      <c r="BN97" s="37">
        <f t="shared" si="271"/>
        <v>-20594.530468013436</v>
      </c>
      <c r="BO97" s="37">
        <f t="shared" si="271"/>
        <v>-20594.530468013443</v>
      </c>
      <c r="BP97" s="37">
        <f t="shared" si="271"/>
        <v>-20594.53046801344</v>
      </c>
      <c r="BQ97" s="37">
        <f t="shared" si="271"/>
        <v>-20594.53046801344</v>
      </c>
      <c r="BR97" s="37">
        <f t="shared" ref="BR97:CW97" si="272">BR87+BR86+BR93+BR94</f>
        <v>-20594.530468013436</v>
      </c>
      <c r="BS97" s="37">
        <f t="shared" si="272"/>
        <v>-20594.53046801344</v>
      </c>
      <c r="BT97" s="37">
        <f t="shared" si="272"/>
        <v>-20594.53046801344</v>
      </c>
      <c r="BU97" s="37">
        <f t="shared" si="272"/>
        <v>-20594.530468013443</v>
      </c>
      <c r="BV97" s="37">
        <f t="shared" si="272"/>
        <v>-20594.53046801344</v>
      </c>
      <c r="BW97" s="37">
        <f t="shared" si="272"/>
        <v>-20594.53046801344</v>
      </c>
      <c r="BX97" s="37">
        <f t="shared" si="272"/>
        <v>-20594.53046801344</v>
      </c>
      <c r="BY97" s="37">
        <f t="shared" si="272"/>
        <v>-20594.53046801344</v>
      </c>
      <c r="BZ97" s="37">
        <f t="shared" si="272"/>
        <v>-20594.53046801344</v>
      </c>
      <c r="CA97" s="37">
        <f t="shared" si="272"/>
        <v>-20594.530468013443</v>
      </c>
      <c r="CB97" s="37">
        <f t="shared" si="272"/>
        <v>-20594.530468013436</v>
      </c>
      <c r="CC97" s="37">
        <f t="shared" si="272"/>
        <v>-20594.53046801344</v>
      </c>
      <c r="CD97" s="37">
        <f t="shared" si="272"/>
        <v>-20594.530468013436</v>
      </c>
      <c r="CE97" s="37">
        <f t="shared" si="272"/>
        <v>-20594.53046801344</v>
      </c>
      <c r="CF97" s="37">
        <f t="shared" si="272"/>
        <v>-20594.53046801344</v>
      </c>
      <c r="CG97" s="37">
        <f t="shared" si="272"/>
        <v>-20594.530468013436</v>
      </c>
      <c r="CH97" s="37">
        <f t="shared" si="272"/>
        <v>-20594.53046801344</v>
      </c>
      <c r="CI97" s="37">
        <f t="shared" si="272"/>
        <v>-20594.530468013436</v>
      </c>
      <c r="CJ97" s="37">
        <f t="shared" si="272"/>
        <v>-20594.53046801344</v>
      </c>
      <c r="CK97" s="37">
        <f t="shared" si="272"/>
        <v>-20594.53046801344</v>
      </c>
      <c r="CL97" s="37">
        <f t="shared" si="272"/>
        <v>-20594.530468013436</v>
      </c>
      <c r="CM97" s="37">
        <f t="shared" si="272"/>
        <v>-20594.53046801344</v>
      </c>
      <c r="CN97" s="37">
        <f t="shared" si="272"/>
        <v>-20594.530468013436</v>
      </c>
      <c r="CO97" s="37">
        <f t="shared" si="272"/>
        <v>-20594.53046801344</v>
      </c>
      <c r="CP97" s="37">
        <f t="shared" si="272"/>
        <v>-20594.53046801344</v>
      </c>
      <c r="CQ97" s="37">
        <f t="shared" si="272"/>
        <v>-20594.53046801344</v>
      </c>
      <c r="CR97" s="37">
        <f t="shared" si="272"/>
        <v>-20594.53046801344</v>
      </c>
      <c r="CS97" s="37">
        <f t="shared" si="272"/>
        <v>-20594.53046801344</v>
      </c>
      <c r="CT97" s="37">
        <f t="shared" si="272"/>
        <v>-20594.53046801344</v>
      </c>
      <c r="CU97" s="37">
        <f t="shared" si="272"/>
        <v>-20594.530468013436</v>
      </c>
      <c r="CV97" s="37">
        <f t="shared" si="272"/>
        <v>-20594.53046801344</v>
      </c>
      <c r="CW97" s="37">
        <f t="shared" si="272"/>
        <v>-20594.53046801344</v>
      </c>
      <c r="CX97" s="37">
        <f t="shared" ref="CX97:EC97" si="273">CX87+CX86+CX93+CX94</f>
        <v>-20594.530468013436</v>
      </c>
      <c r="CY97" s="37">
        <f t="shared" si="273"/>
        <v>-20594.53046801344</v>
      </c>
      <c r="CZ97" s="37">
        <f t="shared" si="273"/>
        <v>-20594.53046801344</v>
      </c>
      <c r="DA97" s="37">
        <f t="shared" si="273"/>
        <v>-20594.530468013436</v>
      </c>
      <c r="DB97" s="37">
        <f t="shared" si="273"/>
        <v>-20594.53046801344</v>
      </c>
      <c r="DC97" s="37">
        <f t="shared" si="273"/>
        <v>-20594.53046801344</v>
      </c>
      <c r="DD97" s="37">
        <f t="shared" si="273"/>
        <v>-20594.53046801344</v>
      </c>
      <c r="DE97" s="37">
        <f t="shared" si="273"/>
        <v>-20594.530468013436</v>
      </c>
      <c r="DF97" s="37">
        <f t="shared" si="273"/>
        <v>-20594.53046801344</v>
      </c>
      <c r="DG97" s="37">
        <f t="shared" si="273"/>
        <v>-20594.53046801344</v>
      </c>
      <c r="DH97" s="37">
        <f t="shared" si="273"/>
        <v>-20594.53046801344</v>
      </c>
      <c r="DI97" s="37">
        <f t="shared" si="273"/>
        <v>-20594.53046801344</v>
      </c>
      <c r="DJ97" s="37">
        <f t="shared" si="273"/>
        <v>-20594.53046801344</v>
      </c>
      <c r="DK97" s="37">
        <f t="shared" si="273"/>
        <v>-20594.530468013436</v>
      </c>
      <c r="DL97" s="37">
        <f t="shared" si="273"/>
        <v>-20594.530468013436</v>
      </c>
      <c r="DM97" s="37">
        <f t="shared" si="273"/>
        <v>-20594.530468013436</v>
      </c>
      <c r="DN97" s="37">
        <f t="shared" si="273"/>
        <v>-20594.530468013436</v>
      </c>
      <c r="DO97" s="37">
        <f t="shared" si="273"/>
        <v>-20594.530468013436</v>
      </c>
      <c r="DP97" s="37">
        <f t="shared" si="273"/>
        <v>-20594.530468013436</v>
      </c>
      <c r="DQ97" s="37">
        <f t="shared" si="273"/>
        <v>-20594.53046801344</v>
      </c>
      <c r="DR97" s="37">
        <f t="shared" si="273"/>
        <v>-20594.530468013443</v>
      </c>
      <c r="DS97" s="37">
        <f t="shared" si="273"/>
        <v>-20594.53046801344</v>
      </c>
      <c r="DT97" s="37">
        <f t="shared" si="273"/>
        <v>-20594.53046801344</v>
      </c>
      <c r="DU97" s="37">
        <f t="shared" si="273"/>
        <v>-20594.530468013436</v>
      </c>
      <c r="DV97" s="37">
        <f t="shared" si="273"/>
        <v>-20594.53046801344</v>
      </c>
      <c r="DW97" s="37">
        <f t="shared" si="273"/>
        <v>0</v>
      </c>
      <c r="DX97" s="37">
        <f t="shared" si="273"/>
        <v>0</v>
      </c>
      <c r="DY97" s="37">
        <f t="shared" si="273"/>
        <v>0</v>
      </c>
      <c r="DZ97" s="37">
        <f t="shared" si="273"/>
        <v>0</v>
      </c>
      <c r="EA97" s="37">
        <f t="shared" si="273"/>
        <v>0</v>
      </c>
      <c r="EB97" s="37">
        <f t="shared" si="273"/>
        <v>0</v>
      </c>
      <c r="EC97" s="37">
        <f t="shared" si="273"/>
        <v>0</v>
      </c>
      <c r="ED97" s="37">
        <f t="shared" ref="ED97:FI97" si="274">ED87+ED86+ED93+ED94</f>
        <v>0</v>
      </c>
      <c r="EE97" s="37">
        <f t="shared" si="274"/>
        <v>0</v>
      </c>
      <c r="EF97" s="37">
        <f t="shared" si="274"/>
        <v>0</v>
      </c>
      <c r="EG97" s="37">
        <f t="shared" si="274"/>
        <v>0</v>
      </c>
      <c r="EH97" s="37">
        <f t="shared" si="274"/>
        <v>0</v>
      </c>
      <c r="EI97" s="37">
        <f t="shared" si="274"/>
        <v>0</v>
      </c>
      <c r="EJ97" s="37">
        <f t="shared" si="274"/>
        <v>0</v>
      </c>
      <c r="EK97" s="37">
        <f t="shared" si="274"/>
        <v>0</v>
      </c>
      <c r="EL97" s="37">
        <f t="shared" si="274"/>
        <v>0</v>
      </c>
      <c r="EM97" s="37">
        <f t="shared" si="274"/>
        <v>0</v>
      </c>
      <c r="EN97" s="37">
        <f t="shared" si="274"/>
        <v>0</v>
      </c>
      <c r="EO97" s="37">
        <f t="shared" si="274"/>
        <v>0</v>
      </c>
      <c r="EP97" s="37">
        <f t="shared" si="274"/>
        <v>0</v>
      </c>
      <c r="EQ97" s="37">
        <f t="shared" si="274"/>
        <v>0</v>
      </c>
      <c r="ER97" s="37">
        <f t="shared" si="274"/>
        <v>0</v>
      </c>
      <c r="ES97" s="37">
        <f t="shared" si="274"/>
        <v>0</v>
      </c>
      <c r="ET97" s="37">
        <f t="shared" si="274"/>
        <v>0</v>
      </c>
      <c r="EU97" s="37">
        <f t="shared" si="274"/>
        <v>0</v>
      </c>
      <c r="EV97" s="37">
        <f t="shared" si="274"/>
        <v>0</v>
      </c>
      <c r="EW97" s="37">
        <f t="shared" si="274"/>
        <v>0</v>
      </c>
      <c r="EX97" s="37">
        <f t="shared" si="274"/>
        <v>0</v>
      </c>
      <c r="EY97" s="37">
        <f t="shared" si="274"/>
        <v>0</v>
      </c>
      <c r="EZ97" s="37">
        <f t="shared" si="274"/>
        <v>0</v>
      </c>
      <c r="FA97" s="37">
        <f t="shared" si="274"/>
        <v>0</v>
      </c>
      <c r="FB97" s="37">
        <f t="shared" si="274"/>
        <v>0</v>
      </c>
      <c r="FC97" s="37">
        <f t="shared" si="274"/>
        <v>0</v>
      </c>
      <c r="FD97" s="37">
        <f t="shared" si="274"/>
        <v>0</v>
      </c>
      <c r="FE97" s="37">
        <f t="shared" si="274"/>
        <v>0</v>
      </c>
      <c r="FF97" s="37">
        <f t="shared" si="274"/>
        <v>0</v>
      </c>
      <c r="FG97" s="37">
        <f t="shared" si="274"/>
        <v>0</v>
      </c>
      <c r="FH97" s="37">
        <f t="shared" si="274"/>
        <v>0</v>
      </c>
      <c r="FI97" s="37">
        <f t="shared" si="274"/>
        <v>0</v>
      </c>
      <c r="FJ97" s="37">
        <f t="shared" ref="FJ97:GD97" si="275">FJ87+FJ86+FJ93+FJ94</f>
        <v>0</v>
      </c>
      <c r="FK97" s="37">
        <f t="shared" si="275"/>
        <v>0</v>
      </c>
      <c r="FL97" s="37">
        <f t="shared" si="275"/>
        <v>0</v>
      </c>
      <c r="FM97" s="37">
        <f t="shared" si="275"/>
        <v>0</v>
      </c>
      <c r="FN97" s="37">
        <f t="shared" si="275"/>
        <v>0</v>
      </c>
      <c r="FO97" s="37">
        <f t="shared" si="275"/>
        <v>0</v>
      </c>
      <c r="FP97" s="37">
        <f t="shared" si="275"/>
        <v>0</v>
      </c>
      <c r="FQ97" s="37">
        <f t="shared" si="275"/>
        <v>0</v>
      </c>
      <c r="FR97" s="37">
        <f t="shared" si="275"/>
        <v>0</v>
      </c>
      <c r="FS97" s="37">
        <f t="shared" si="275"/>
        <v>0</v>
      </c>
      <c r="FT97" s="37">
        <f t="shared" si="275"/>
        <v>0</v>
      </c>
      <c r="FU97" s="37">
        <f t="shared" si="275"/>
        <v>0</v>
      </c>
      <c r="FV97" s="37">
        <f t="shared" si="275"/>
        <v>0</v>
      </c>
      <c r="FW97" s="37">
        <f t="shared" si="275"/>
        <v>0</v>
      </c>
      <c r="FX97" s="37">
        <f t="shared" si="275"/>
        <v>0</v>
      </c>
      <c r="FY97" s="37">
        <f t="shared" si="275"/>
        <v>0</v>
      </c>
      <c r="FZ97" s="37">
        <f t="shared" si="275"/>
        <v>0</v>
      </c>
      <c r="GA97" s="37">
        <f t="shared" si="275"/>
        <v>0</v>
      </c>
      <c r="GB97" s="37">
        <f t="shared" si="275"/>
        <v>0</v>
      </c>
      <c r="GC97" s="37">
        <f t="shared" si="275"/>
        <v>0</v>
      </c>
      <c r="GD97" s="37">
        <f t="shared" si="275"/>
        <v>0</v>
      </c>
      <c r="GE97" s="37">
        <f t="shared" ref="GE97:GM97" si="276">GE87+GE86+GE93+GE94</f>
        <v>0</v>
      </c>
      <c r="GF97" s="37">
        <f t="shared" si="276"/>
        <v>0</v>
      </c>
      <c r="GG97" s="37">
        <f t="shared" si="276"/>
        <v>0</v>
      </c>
      <c r="GH97" s="37">
        <f t="shared" si="276"/>
        <v>0</v>
      </c>
      <c r="GI97" s="37">
        <f t="shared" si="276"/>
        <v>0</v>
      </c>
      <c r="GJ97" s="37">
        <f t="shared" si="276"/>
        <v>0</v>
      </c>
      <c r="GK97" s="37">
        <f t="shared" si="276"/>
        <v>0</v>
      </c>
      <c r="GL97" s="37">
        <f t="shared" si="276"/>
        <v>0</v>
      </c>
      <c r="GM97" s="37">
        <f t="shared" si="276"/>
        <v>0</v>
      </c>
      <c r="GN97" s="63"/>
      <c r="GO97" s="63"/>
      <c r="GP97" s="63"/>
      <c r="GQ97" s="27"/>
      <c r="GR97" s="27"/>
      <c r="GS97" s="27"/>
      <c r="GT97" s="27"/>
      <c r="GU97" s="27"/>
      <c r="GV97" s="27"/>
      <c r="GW97" s="27"/>
      <c r="GX97" s="27"/>
      <c r="GY97" s="27"/>
      <c r="GZ97" s="27"/>
      <c r="HA97" s="27"/>
      <c r="HB97" s="27"/>
      <c r="HC97" s="27"/>
      <c r="HD97" s="27"/>
      <c r="HE97" s="27"/>
      <c r="HF97" s="27"/>
      <c r="HG97" s="27"/>
      <c r="HH97" s="27"/>
      <c r="HI97" s="27"/>
      <c r="HJ97" s="27"/>
      <c r="HK97" s="27"/>
      <c r="HL97" s="27"/>
      <c r="HM97" s="27"/>
      <c r="HN97" s="27"/>
      <c r="HO97" s="27"/>
      <c r="HP97" s="27"/>
      <c r="HQ97" s="27"/>
      <c r="HR97" s="27"/>
      <c r="HS97" s="27"/>
      <c r="HT97" s="27"/>
      <c r="HU97" s="27"/>
      <c r="HV97" s="27"/>
      <c r="HW97" s="27"/>
      <c r="HX97" s="27"/>
      <c r="HY97" s="27"/>
      <c r="HZ97" s="27"/>
      <c r="IA97" s="27"/>
      <c r="IB97" s="27"/>
      <c r="IC97" s="27"/>
      <c r="ID97" s="27"/>
      <c r="IE97" s="27"/>
      <c r="IF97" s="27"/>
      <c r="IG97" s="27"/>
      <c r="IH97" s="27"/>
      <c r="II97" s="27"/>
      <c r="IJ97" s="27"/>
      <c r="IK97" s="27"/>
      <c r="IL97" s="27"/>
      <c r="IM97" s="27"/>
      <c r="IN97" s="27"/>
      <c r="IO97" s="27"/>
      <c r="IP97" s="27"/>
      <c r="IQ97" s="27"/>
      <c r="IR97" s="27"/>
      <c r="IS97" s="27"/>
      <c r="IT97" s="27"/>
      <c r="IU97" s="27"/>
      <c r="IV97" s="27"/>
      <c r="IW97" s="27"/>
      <c r="IX97" s="27"/>
      <c r="IY97" s="27"/>
      <c r="IZ97" s="27"/>
      <c r="JA97" s="27"/>
      <c r="JB97" s="27"/>
      <c r="JC97" s="27"/>
      <c r="JD97" s="27"/>
      <c r="JE97" s="27"/>
      <c r="JF97" s="27"/>
      <c r="JG97" s="27"/>
      <c r="JH97" s="27"/>
      <c r="JI97" s="27"/>
      <c r="JJ97" s="27"/>
      <c r="JK97" s="27"/>
      <c r="JL97" s="27"/>
      <c r="JM97" s="27"/>
      <c r="JN97" s="27"/>
      <c r="JO97" s="27"/>
      <c r="JP97" s="27"/>
      <c r="JQ97" s="27"/>
      <c r="JR97" s="27"/>
      <c r="JS97" s="27"/>
      <c r="JT97" s="27"/>
      <c r="JU97" s="27"/>
      <c r="JV97" s="27"/>
      <c r="JW97" s="27"/>
      <c r="JX97" s="27"/>
      <c r="JY97" s="27"/>
      <c r="JZ97" s="27"/>
      <c r="KA97" s="27"/>
      <c r="KB97" s="27"/>
      <c r="KC97" s="27"/>
      <c r="KD97" s="27"/>
      <c r="KE97" s="27"/>
      <c r="KF97" s="27"/>
      <c r="KG97" s="27"/>
      <c r="KH97" s="27"/>
      <c r="KI97" s="27"/>
      <c r="KJ97" s="27"/>
      <c r="KK97" s="27"/>
      <c r="KL97" s="27"/>
      <c r="KM97" s="27"/>
      <c r="KN97" s="27"/>
      <c r="KO97" s="27"/>
      <c r="KP97" s="27"/>
      <c r="KQ97" s="27"/>
      <c r="KR97" s="27"/>
      <c r="KS97" s="27"/>
      <c r="KT97" s="27"/>
      <c r="KU97" s="27"/>
      <c r="KV97" s="27"/>
      <c r="KW97" s="27"/>
      <c r="KX97" s="27"/>
      <c r="KY97" s="27"/>
      <c r="KZ97" s="27"/>
      <c r="LA97" s="27"/>
      <c r="LB97" s="27"/>
      <c r="LC97" s="27"/>
      <c r="LD97" s="27"/>
      <c r="LE97" s="27"/>
      <c r="LF97" s="27"/>
      <c r="LG97" s="27"/>
      <c r="LH97" s="27"/>
      <c r="LI97" s="27"/>
      <c r="LJ97" s="27"/>
      <c r="LK97" s="27"/>
      <c r="LL97" s="27"/>
      <c r="LM97" s="27"/>
      <c r="LN97" s="27"/>
      <c r="LO97" s="27"/>
      <c r="LP97" s="27"/>
      <c r="LQ97" s="27"/>
      <c r="LR97" s="27"/>
      <c r="LS97" s="27"/>
      <c r="LT97" s="27"/>
      <c r="LU97" s="27"/>
      <c r="LV97" s="27"/>
      <c r="LW97" s="27"/>
      <c r="LX97" s="27"/>
      <c r="LY97" s="27"/>
      <c r="LZ97" s="27"/>
      <c r="MA97" s="27"/>
      <c r="MB97" s="27"/>
      <c r="MC97" s="27"/>
      <c r="MD97" s="27"/>
      <c r="ME97" s="27"/>
      <c r="MF97" s="27"/>
      <c r="MG97" s="27"/>
      <c r="MH97" s="27"/>
      <c r="MI97" s="27"/>
      <c r="MJ97" s="27"/>
      <c r="MK97" s="27"/>
      <c r="ML97" s="27"/>
      <c r="MM97" s="27"/>
      <c r="MN97" s="27"/>
      <c r="MO97" s="27"/>
      <c r="MP97" s="27"/>
      <c r="MQ97" s="27"/>
      <c r="MR97" s="27"/>
      <c r="MS97" s="27"/>
      <c r="MT97" s="27"/>
      <c r="MU97" s="27"/>
      <c r="MV97" s="27"/>
      <c r="MW97" s="27"/>
      <c r="MX97" s="27"/>
      <c r="MY97" s="27"/>
      <c r="MZ97" s="27"/>
      <c r="NA97" s="27"/>
      <c r="NB97" s="27"/>
    </row>
    <row r="98" spans="2:366" ht="16" customHeight="1" x14ac:dyDescent="0.15">
      <c r="B98" s="31"/>
      <c r="C98" s="98"/>
      <c r="E98"/>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c r="BT98" s="37"/>
      <c r="BU98" s="37"/>
      <c r="BV98" s="37"/>
      <c r="BW98" s="37"/>
      <c r="BX98" s="37"/>
      <c r="BY98" s="37"/>
      <c r="BZ98" s="37"/>
      <c r="CA98" s="37"/>
      <c r="CB98" s="37"/>
      <c r="CC98" s="37"/>
      <c r="CD98" s="37"/>
      <c r="CE98" s="37"/>
      <c r="CF98" s="37"/>
      <c r="CG98" s="37"/>
      <c r="CH98" s="37"/>
      <c r="CI98" s="37"/>
      <c r="CJ98" s="37"/>
      <c r="CK98" s="37"/>
      <c r="CL98" s="37"/>
      <c r="CM98" s="37"/>
      <c r="CN98" s="37"/>
      <c r="CO98" s="37"/>
      <c r="CP98" s="37"/>
      <c r="CQ98" s="37"/>
      <c r="CR98" s="37"/>
      <c r="CS98" s="37"/>
      <c r="CT98" s="37"/>
      <c r="CU98" s="37"/>
      <c r="CV98" s="37"/>
      <c r="CW98" s="37"/>
      <c r="CX98" s="37"/>
      <c r="CY98" s="37"/>
      <c r="CZ98" s="37"/>
      <c r="DA98" s="37"/>
      <c r="DB98" s="37"/>
      <c r="DC98" s="37"/>
      <c r="DD98" s="37"/>
      <c r="DE98" s="37"/>
      <c r="DF98" s="37"/>
      <c r="DG98" s="37"/>
      <c r="DH98" s="37"/>
      <c r="DI98" s="37"/>
      <c r="DJ98" s="37"/>
      <c r="DK98" s="37"/>
      <c r="DL98" s="37"/>
      <c r="DM98" s="37"/>
      <c r="DN98" s="37"/>
      <c r="DO98" s="37"/>
      <c r="DP98" s="37"/>
      <c r="DQ98" s="37"/>
      <c r="DR98" s="37"/>
      <c r="DS98" s="37"/>
      <c r="DT98" s="37"/>
      <c r="DU98" s="37"/>
      <c r="DV98" s="37"/>
      <c r="DW98" s="37"/>
      <c r="DX98" s="37"/>
      <c r="DY98" s="37"/>
      <c r="DZ98" s="37"/>
      <c r="EA98" s="37"/>
      <c r="EB98" s="37"/>
      <c r="EC98" s="37"/>
      <c r="ED98" s="37"/>
      <c r="EE98" s="37"/>
      <c r="EF98" s="37"/>
      <c r="EG98" s="37"/>
      <c r="EH98" s="37"/>
      <c r="EI98" s="37"/>
      <c r="EJ98" s="37"/>
      <c r="EK98" s="37"/>
      <c r="EL98" s="37"/>
      <c r="EM98" s="37"/>
      <c r="EN98" s="37"/>
      <c r="EO98" s="37"/>
      <c r="EP98" s="37"/>
      <c r="EQ98" s="37"/>
      <c r="ER98" s="37"/>
      <c r="ES98" s="37"/>
      <c r="ET98" s="37"/>
      <c r="EU98" s="37"/>
      <c r="EV98" s="37"/>
      <c r="EW98" s="37"/>
      <c r="EX98" s="37"/>
      <c r="EY98" s="37"/>
      <c r="EZ98" s="37"/>
      <c r="FA98" s="37"/>
      <c r="FB98" s="37"/>
      <c r="FC98" s="37"/>
      <c r="FD98" s="37"/>
      <c r="FE98" s="37"/>
      <c r="FF98" s="37"/>
      <c r="FG98" s="37"/>
      <c r="FH98" s="37"/>
      <c r="FI98" s="37"/>
      <c r="FJ98" s="37"/>
      <c r="FK98" s="37"/>
      <c r="FL98" s="37"/>
      <c r="FM98" s="37"/>
      <c r="FN98" s="37"/>
      <c r="FO98" s="37"/>
      <c r="FP98" s="37"/>
      <c r="FQ98" s="37"/>
      <c r="FR98" s="37"/>
      <c r="FS98" s="37"/>
      <c r="FT98" s="37"/>
      <c r="FU98" s="37"/>
      <c r="FV98" s="37"/>
      <c r="FW98" s="37"/>
      <c r="FX98" s="37"/>
      <c r="FY98" s="37"/>
      <c r="FZ98" s="37"/>
      <c r="GA98" s="37"/>
      <c r="GB98" s="37"/>
      <c r="GC98" s="37"/>
      <c r="GD98" s="37"/>
      <c r="GE98" s="37"/>
      <c r="GF98" s="37"/>
      <c r="GG98" s="37"/>
      <c r="GH98" s="37"/>
      <c r="GI98" s="37"/>
      <c r="GJ98" s="37"/>
      <c r="GK98" s="37"/>
      <c r="GL98" s="37"/>
      <c r="GM98" s="37"/>
      <c r="GN98" s="63"/>
      <c r="GO98" s="63"/>
      <c r="GP98" s="63"/>
      <c r="GQ98" s="27"/>
      <c r="GR98" s="27"/>
      <c r="GS98" s="27"/>
      <c r="GT98" s="27"/>
      <c r="GU98" s="27"/>
      <c r="GV98" s="27"/>
      <c r="GW98" s="27"/>
      <c r="GX98" s="27"/>
      <c r="GY98" s="27"/>
      <c r="GZ98" s="27"/>
      <c r="HA98" s="27"/>
      <c r="HB98" s="27"/>
      <c r="HC98" s="27"/>
      <c r="HD98" s="27"/>
      <c r="HE98" s="27"/>
      <c r="HF98" s="27"/>
      <c r="HG98" s="27"/>
      <c r="HH98" s="27"/>
      <c r="HI98" s="27"/>
      <c r="HJ98" s="27"/>
      <c r="HK98" s="27"/>
      <c r="HL98" s="27"/>
      <c r="HM98" s="27"/>
      <c r="HN98" s="27"/>
      <c r="HO98" s="27"/>
      <c r="HP98" s="27"/>
      <c r="HQ98" s="27"/>
      <c r="HR98" s="27"/>
      <c r="HS98" s="27"/>
      <c r="HT98" s="27"/>
      <c r="HU98" s="27"/>
      <c r="HV98" s="27"/>
      <c r="HW98" s="27"/>
      <c r="HX98" s="27"/>
      <c r="HY98" s="27"/>
      <c r="HZ98" s="27"/>
      <c r="IA98" s="27"/>
      <c r="IB98" s="27"/>
      <c r="IC98" s="27"/>
      <c r="ID98" s="27"/>
      <c r="IE98" s="27"/>
      <c r="IF98" s="27"/>
      <c r="IG98" s="27"/>
      <c r="IH98" s="27"/>
      <c r="II98" s="27"/>
      <c r="IJ98" s="27"/>
      <c r="IK98" s="27"/>
      <c r="IL98" s="27"/>
      <c r="IM98" s="27"/>
      <c r="IN98" s="27"/>
      <c r="IO98" s="27"/>
      <c r="IP98" s="27"/>
      <c r="IQ98" s="27"/>
      <c r="IR98" s="27"/>
      <c r="IS98" s="27"/>
      <c r="IT98" s="27"/>
      <c r="IU98" s="27"/>
      <c r="IV98" s="27"/>
      <c r="IW98" s="27"/>
      <c r="IX98" s="27"/>
      <c r="IY98" s="27"/>
      <c r="IZ98" s="27"/>
      <c r="JA98" s="27"/>
      <c r="JB98" s="27"/>
      <c r="JC98" s="27"/>
      <c r="JD98" s="27"/>
      <c r="JE98" s="27"/>
      <c r="JF98" s="27"/>
      <c r="JG98" s="27"/>
      <c r="JH98" s="27"/>
      <c r="JI98" s="27"/>
      <c r="JJ98" s="27"/>
      <c r="JK98" s="27"/>
      <c r="JL98" s="27"/>
      <c r="JM98" s="27"/>
      <c r="JN98" s="27"/>
      <c r="JO98" s="27"/>
      <c r="JP98" s="27"/>
      <c r="JQ98" s="27"/>
      <c r="JR98" s="27"/>
      <c r="JS98" s="27"/>
      <c r="JT98" s="27"/>
      <c r="JU98" s="27"/>
      <c r="JV98" s="27"/>
      <c r="JW98" s="27"/>
      <c r="JX98" s="27"/>
      <c r="JY98" s="27"/>
      <c r="JZ98" s="27"/>
      <c r="KA98" s="27"/>
      <c r="KB98" s="27"/>
      <c r="KC98" s="27"/>
      <c r="KD98" s="27"/>
      <c r="KE98" s="27"/>
      <c r="KF98" s="27"/>
      <c r="KG98" s="27"/>
      <c r="KH98" s="27"/>
      <c r="KI98" s="27"/>
      <c r="KJ98" s="27"/>
      <c r="KK98" s="27"/>
      <c r="KL98" s="27"/>
      <c r="KM98" s="27"/>
      <c r="KN98" s="27"/>
      <c r="KO98" s="27"/>
      <c r="KP98" s="27"/>
      <c r="KQ98" s="27"/>
      <c r="KR98" s="27"/>
      <c r="KS98" s="27"/>
      <c r="KT98" s="27"/>
      <c r="KU98" s="27"/>
      <c r="KV98" s="27"/>
      <c r="KW98" s="27"/>
      <c r="KX98" s="27"/>
      <c r="KY98" s="27"/>
      <c r="KZ98" s="27"/>
      <c r="LA98" s="27"/>
      <c r="LB98" s="27"/>
      <c r="LC98" s="27"/>
      <c r="LD98" s="27"/>
      <c r="LE98" s="27"/>
      <c r="LF98" s="27"/>
      <c r="LG98" s="27"/>
      <c r="LH98" s="27"/>
      <c r="LI98" s="27"/>
      <c r="LJ98" s="27"/>
      <c r="LK98" s="27"/>
      <c r="LL98" s="27"/>
      <c r="LM98" s="27"/>
      <c r="LN98" s="27"/>
      <c r="LO98" s="27"/>
      <c r="LP98" s="27"/>
      <c r="LQ98" s="27"/>
      <c r="LR98" s="27"/>
      <c r="LS98" s="27"/>
      <c r="LT98" s="27"/>
      <c r="LU98" s="27"/>
      <c r="LV98" s="27"/>
      <c r="LW98" s="27"/>
      <c r="LX98" s="27"/>
      <c r="LY98" s="27"/>
      <c r="LZ98" s="27"/>
      <c r="MA98" s="27"/>
      <c r="MB98" s="27"/>
      <c r="MC98" s="27"/>
      <c r="MD98" s="27"/>
      <c r="ME98" s="27"/>
      <c r="MF98" s="27"/>
      <c r="MG98" s="27"/>
      <c r="MH98" s="27"/>
      <c r="MI98" s="27"/>
      <c r="MJ98" s="27"/>
      <c r="MK98" s="27"/>
      <c r="ML98" s="27"/>
      <c r="MM98" s="27"/>
      <c r="MN98" s="27"/>
      <c r="MO98" s="27"/>
      <c r="MP98" s="27"/>
      <c r="MQ98" s="27"/>
      <c r="MR98" s="27"/>
      <c r="MS98" s="27"/>
      <c r="MT98" s="27"/>
      <c r="MU98" s="27"/>
      <c r="MV98" s="27"/>
      <c r="MW98" s="27"/>
      <c r="MX98" s="27"/>
      <c r="MY98" s="27"/>
      <c r="MZ98" s="27"/>
      <c r="NA98" s="27"/>
      <c r="NB98" s="27"/>
    </row>
    <row r="99" spans="2:366" ht="16" customHeight="1" x14ac:dyDescent="0.15">
      <c r="E99"/>
      <c r="GQ99" s="27"/>
      <c r="GR99" s="27"/>
      <c r="GS99" s="27"/>
      <c r="GT99" s="27"/>
      <c r="GU99" s="27"/>
      <c r="GV99" s="27"/>
      <c r="GW99" s="27"/>
      <c r="GX99" s="27"/>
      <c r="GY99" s="27"/>
      <c r="GZ99" s="27"/>
      <c r="HA99" s="27"/>
      <c r="HB99" s="27"/>
      <c r="HC99" s="27"/>
      <c r="HD99" s="27"/>
      <c r="HE99" s="27"/>
      <c r="HF99" s="27"/>
      <c r="HG99" s="27"/>
      <c r="HH99" s="27"/>
      <c r="HI99" s="27"/>
      <c r="HJ99" s="27"/>
      <c r="HK99" s="27"/>
      <c r="HL99" s="27"/>
      <c r="HM99" s="27"/>
      <c r="HN99" s="27"/>
      <c r="HO99" s="27"/>
      <c r="HP99" s="27"/>
      <c r="HQ99" s="27"/>
      <c r="HR99" s="27"/>
      <c r="HS99" s="27"/>
      <c r="HT99" s="27"/>
      <c r="HU99" s="27"/>
      <c r="HV99" s="27"/>
      <c r="HW99" s="27"/>
      <c r="HX99" s="27"/>
      <c r="HY99" s="27"/>
      <c r="HZ99" s="27"/>
      <c r="IA99" s="27"/>
      <c r="IB99" s="27"/>
      <c r="IC99" s="27"/>
      <c r="ID99" s="27"/>
      <c r="IE99" s="27"/>
      <c r="IF99" s="27"/>
      <c r="IG99" s="27"/>
      <c r="IH99" s="27"/>
      <c r="II99" s="27"/>
      <c r="IJ99" s="27"/>
      <c r="IK99" s="27"/>
      <c r="IL99" s="27"/>
      <c r="IM99" s="27"/>
      <c r="IN99" s="27"/>
      <c r="IO99" s="27"/>
      <c r="IP99" s="27"/>
      <c r="IQ99" s="27"/>
      <c r="IR99" s="27"/>
      <c r="IS99" s="27"/>
      <c r="IT99" s="27"/>
      <c r="IU99" s="27"/>
      <c r="IV99" s="27"/>
      <c r="IW99" s="27"/>
      <c r="IX99" s="27"/>
      <c r="IY99" s="27"/>
      <c r="IZ99" s="27"/>
      <c r="JA99" s="27"/>
      <c r="JB99" s="27"/>
      <c r="JC99" s="27"/>
      <c r="JD99" s="27"/>
      <c r="JE99" s="27"/>
      <c r="JF99" s="27"/>
      <c r="JG99" s="27"/>
      <c r="JH99" s="27"/>
      <c r="JI99" s="27"/>
      <c r="JJ99" s="27"/>
      <c r="JK99" s="27"/>
      <c r="JL99" s="27"/>
      <c r="JM99" s="27"/>
      <c r="JN99" s="27"/>
      <c r="JO99" s="27"/>
      <c r="JP99" s="27"/>
      <c r="JQ99" s="27"/>
      <c r="JR99" s="27"/>
      <c r="JS99" s="27"/>
      <c r="JT99" s="27"/>
      <c r="JU99" s="27"/>
      <c r="JV99" s="27"/>
      <c r="JW99" s="27"/>
      <c r="JX99" s="27"/>
      <c r="JY99" s="27"/>
      <c r="JZ99" s="27"/>
      <c r="KA99" s="27"/>
      <c r="KB99" s="27"/>
      <c r="KC99" s="27"/>
      <c r="KD99" s="27"/>
      <c r="KE99" s="27"/>
      <c r="KF99" s="27"/>
      <c r="KG99" s="27"/>
      <c r="KH99" s="27"/>
      <c r="KI99" s="27"/>
      <c r="KJ99" s="27"/>
      <c r="KK99" s="27"/>
      <c r="KL99" s="27"/>
      <c r="KM99" s="27"/>
      <c r="KN99" s="27"/>
      <c r="KO99" s="27"/>
      <c r="KP99" s="27"/>
      <c r="KQ99" s="27"/>
      <c r="KR99" s="27"/>
      <c r="KS99" s="27"/>
      <c r="KT99" s="27"/>
      <c r="KU99" s="27"/>
      <c r="KV99" s="27"/>
      <c r="KW99" s="27"/>
      <c r="KX99" s="27"/>
      <c r="KY99" s="27"/>
      <c r="KZ99" s="27"/>
      <c r="LA99" s="27"/>
      <c r="LB99" s="27"/>
      <c r="LC99" s="27"/>
      <c r="LD99" s="27"/>
      <c r="LE99" s="27"/>
      <c r="LF99" s="27"/>
      <c r="LG99" s="27"/>
      <c r="LH99" s="27"/>
      <c r="LI99" s="27"/>
      <c r="LJ99" s="27"/>
      <c r="LK99" s="27"/>
      <c r="LL99" s="27"/>
      <c r="LM99" s="27"/>
      <c r="LN99" s="27"/>
      <c r="LO99" s="27"/>
      <c r="LP99" s="27"/>
      <c r="LQ99" s="27"/>
      <c r="LR99" s="27"/>
      <c r="LS99" s="27"/>
      <c r="LT99" s="27"/>
      <c r="LU99" s="27"/>
      <c r="LV99" s="27"/>
      <c r="LW99" s="27"/>
      <c r="LX99" s="27"/>
      <c r="LY99" s="27"/>
      <c r="LZ99" s="27"/>
      <c r="MA99" s="27"/>
      <c r="MB99" s="27"/>
      <c r="MC99" s="27"/>
      <c r="MD99" s="27"/>
      <c r="ME99" s="27"/>
      <c r="MF99" s="27"/>
      <c r="MG99" s="27"/>
      <c r="MH99" s="27"/>
      <c r="MI99" s="27"/>
      <c r="MJ99" s="27"/>
      <c r="MK99" s="27"/>
      <c r="ML99" s="27"/>
      <c r="MM99" s="27"/>
      <c r="MN99" s="27"/>
      <c r="MO99" s="27"/>
      <c r="MP99" s="27"/>
      <c r="MQ99" s="27"/>
      <c r="MR99" s="27"/>
      <c r="MS99" s="27"/>
      <c r="MT99" s="27"/>
      <c r="MU99" s="27"/>
      <c r="MV99" s="27"/>
      <c r="MW99" s="27"/>
      <c r="MX99" s="27"/>
      <c r="MY99" s="27"/>
      <c r="MZ99" s="27"/>
      <c r="NA99" s="27"/>
      <c r="NB99" s="27"/>
    </row>
    <row r="100" spans="2:366" ht="16" customHeight="1" x14ac:dyDescent="0.15">
      <c r="B100" s="31" t="s">
        <v>83</v>
      </c>
      <c r="C100" s="312" t="s">
        <v>260</v>
      </c>
      <c r="D100" s="97"/>
      <c r="F100" s="359">
        <f t="shared" ref="F100:AK100" si="277">IFERROR(F45/-F97,0)</f>
        <v>0</v>
      </c>
      <c r="G100" s="359">
        <f t="shared" si="277"/>
        <v>1.2333807431471064</v>
      </c>
      <c r="H100" s="359">
        <f t="shared" si="277"/>
        <v>1.2167054837424514</v>
      </c>
      <c r="I100" s="359">
        <f t="shared" si="277"/>
        <v>1.2003971639889823</v>
      </c>
      <c r="J100" s="359">
        <f t="shared" si="277"/>
        <v>1.1844439899446657</v>
      </c>
      <c r="K100" s="359">
        <f t="shared" si="277"/>
        <v>1.1688346676109547</v>
      </c>
      <c r="L100" s="359">
        <f t="shared" si="277"/>
        <v>1.1535583767186295</v>
      </c>
      <c r="M100" s="359">
        <f t="shared" si="277"/>
        <v>1.1386047461459479</v>
      </c>
      <c r="N100" s="359">
        <f t="shared" si="277"/>
        <v>1.123963830851739</v>
      </c>
      <c r="O100" s="359">
        <f t="shared" si="277"/>
        <v>1.4654575674340966</v>
      </c>
      <c r="P100" s="359">
        <f t="shared" si="277"/>
        <v>1.4654575674340966</v>
      </c>
      <c r="Q100" s="359">
        <f t="shared" si="277"/>
        <v>1.4654575674340966</v>
      </c>
      <c r="R100" s="359">
        <f t="shared" si="277"/>
        <v>1.4654575674340966</v>
      </c>
      <c r="S100" s="359">
        <f t="shared" si="277"/>
        <v>1.5032596846291852</v>
      </c>
      <c r="T100" s="359">
        <f t="shared" si="277"/>
        <v>1.5032596846291852</v>
      </c>
      <c r="U100" s="359">
        <f t="shared" si="277"/>
        <v>1.5032596846291852</v>
      </c>
      <c r="V100" s="359">
        <f t="shared" si="277"/>
        <v>1.5032596846291852</v>
      </c>
      <c r="W100" s="359">
        <f t="shared" si="277"/>
        <v>1.5032596846291852</v>
      </c>
      <c r="X100" s="359">
        <f t="shared" si="277"/>
        <v>1.5032596846291852</v>
      </c>
      <c r="Y100" s="359">
        <f t="shared" si="277"/>
        <v>1.4171083554550692</v>
      </c>
      <c r="Z100" s="359">
        <f t="shared" si="277"/>
        <v>1.4171083554550692</v>
      </c>
      <c r="AA100" s="359">
        <f t="shared" si="277"/>
        <v>1.4171083554550692</v>
      </c>
      <c r="AB100" s="359">
        <f t="shared" si="277"/>
        <v>1.4171083554550692</v>
      </c>
      <c r="AC100" s="359">
        <f t="shared" si="277"/>
        <v>1.4171083554550692</v>
      </c>
      <c r="AD100" s="359">
        <f t="shared" si="277"/>
        <v>1.4171083554550694</v>
      </c>
      <c r="AE100" s="359">
        <f t="shared" si="277"/>
        <v>1.4536569151863268</v>
      </c>
      <c r="AF100" s="359">
        <f t="shared" si="277"/>
        <v>1.4536569151863266</v>
      </c>
      <c r="AG100" s="359">
        <f t="shared" si="277"/>
        <v>1.4536569151863266</v>
      </c>
      <c r="AH100" s="359">
        <f t="shared" si="277"/>
        <v>1.4536569151863268</v>
      </c>
      <c r="AI100" s="359">
        <f t="shared" si="277"/>
        <v>1.4536569151863266</v>
      </c>
      <c r="AJ100" s="359">
        <f t="shared" si="277"/>
        <v>1.4536569151863268</v>
      </c>
      <c r="AK100" s="359">
        <f t="shared" si="277"/>
        <v>1.4536569151863266</v>
      </c>
      <c r="AL100" s="359">
        <f t="shared" ref="AL100:BQ100" si="278">IFERROR(AL45/-AL97,0)</f>
        <v>1.4536569151863266</v>
      </c>
      <c r="AM100" s="359">
        <f t="shared" si="278"/>
        <v>1.4536569151863268</v>
      </c>
      <c r="AN100" s="359">
        <f t="shared" si="278"/>
        <v>1.4536569151863268</v>
      </c>
      <c r="AO100" s="359">
        <f t="shared" si="278"/>
        <v>1.4536569151863266</v>
      </c>
      <c r="AP100" s="359">
        <f t="shared" si="278"/>
        <v>1.4536569151863266</v>
      </c>
      <c r="AQ100" s="359">
        <f t="shared" si="278"/>
        <v>1.4911416059277629</v>
      </c>
      <c r="AR100" s="359">
        <f t="shared" si="278"/>
        <v>1.4911416059277629</v>
      </c>
      <c r="AS100" s="359">
        <f t="shared" si="278"/>
        <v>1.4911416059277629</v>
      </c>
      <c r="AT100" s="359">
        <f t="shared" si="278"/>
        <v>1.4911416059277631</v>
      </c>
      <c r="AU100" s="359">
        <f t="shared" si="278"/>
        <v>1.4911416059277629</v>
      </c>
      <c r="AV100" s="359">
        <f t="shared" si="278"/>
        <v>1.4911416059277629</v>
      </c>
      <c r="AW100" s="359">
        <f t="shared" si="278"/>
        <v>1.4911416059277631</v>
      </c>
      <c r="AX100" s="359">
        <f t="shared" si="278"/>
        <v>1.4911416059277629</v>
      </c>
      <c r="AY100" s="359">
        <f t="shared" si="278"/>
        <v>1.4911416059277631</v>
      </c>
      <c r="AZ100" s="359">
        <f t="shared" si="278"/>
        <v>1.4911416059277631</v>
      </c>
      <c r="BA100" s="359">
        <f t="shared" si="278"/>
        <v>1.4911416059277631</v>
      </c>
      <c r="BB100" s="359">
        <f t="shared" si="278"/>
        <v>1.4911416059277631</v>
      </c>
      <c r="BC100" s="359">
        <f t="shared" si="278"/>
        <v>1.5295862792949715</v>
      </c>
      <c r="BD100" s="359">
        <f t="shared" si="278"/>
        <v>1.5295862792949715</v>
      </c>
      <c r="BE100" s="359">
        <f t="shared" si="278"/>
        <v>1.5295862792949713</v>
      </c>
      <c r="BF100" s="359">
        <f t="shared" si="278"/>
        <v>1.5295862792949713</v>
      </c>
      <c r="BG100" s="359">
        <f t="shared" si="278"/>
        <v>1.5295862792949713</v>
      </c>
      <c r="BH100" s="359">
        <f t="shared" si="278"/>
        <v>1.5295862792949713</v>
      </c>
      <c r="BI100" s="359">
        <f t="shared" si="278"/>
        <v>1.5295862792949713</v>
      </c>
      <c r="BJ100" s="359">
        <f t="shared" si="278"/>
        <v>1.5295862792949713</v>
      </c>
      <c r="BK100" s="359">
        <f t="shared" si="278"/>
        <v>1.5295862792949713</v>
      </c>
      <c r="BL100" s="359">
        <f t="shared" si="278"/>
        <v>1.5295862792949713</v>
      </c>
      <c r="BM100" s="359">
        <f t="shared" si="278"/>
        <v>1.5295862792949713</v>
      </c>
      <c r="BN100" s="359">
        <f t="shared" si="278"/>
        <v>1.5295862792949715</v>
      </c>
      <c r="BO100" s="359">
        <f t="shared" si="278"/>
        <v>1.5690153921607395</v>
      </c>
      <c r="BP100" s="359">
        <f t="shared" si="278"/>
        <v>1.5690153921607397</v>
      </c>
      <c r="BQ100" s="359">
        <f t="shared" si="278"/>
        <v>1.5690153921607397</v>
      </c>
      <c r="BR100" s="359">
        <f t="shared" ref="BR100:CW100" si="279">IFERROR(BR45/-BR97,0)</f>
        <v>1.5690153921607402</v>
      </c>
      <c r="BS100" s="359">
        <f t="shared" si="279"/>
        <v>1.5690153921607397</v>
      </c>
      <c r="BT100" s="359">
        <f t="shared" si="279"/>
        <v>1.5690153921607397</v>
      </c>
      <c r="BU100" s="359">
        <f t="shared" si="279"/>
        <v>1.5690153921607395</v>
      </c>
      <c r="BV100" s="359">
        <f t="shared" si="279"/>
        <v>1.5690153921607397</v>
      </c>
      <c r="BW100" s="359">
        <f t="shared" si="279"/>
        <v>1.5690153921607397</v>
      </c>
      <c r="BX100" s="359">
        <f t="shared" si="279"/>
        <v>1.5690153921607397</v>
      </c>
      <c r="BY100" s="359">
        <f t="shared" si="279"/>
        <v>1.5690153921607397</v>
      </c>
      <c r="BZ100" s="359">
        <f t="shared" si="279"/>
        <v>1.5690153921607397</v>
      </c>
      <c r="CA100" s="359">
        <f t="shared" si="279"/>
        <v>1.60945402196582</v>
      </c>
      <c r="CB100" s="359">
        <f t="shared" si="279"/>
        <v>1.6094540219658207</v>
      </c>
      <c r="CC100" s="359">
        <f t="shared" si="279"/>
        <v>1.6094540219658202</v>
      </c>
      <c r="CD100" s="359">
        <f t="shared" si="279"/>
        <v>1.6094540219658207</v>
      </c>
      <c r="CE100" s="359">
        <f t="shared" si="279"/>
        <v>1.6094540219658202</v>
      </c>
      <c r="CF100" s="359">
        <f t="shared" si="279"/>
        <v>1.6094540219658202</v>
      </c>
      <c r="CG100" s="359">
        <f t="shared" si="279"/>
        <v>1.6094540219658207</v>
      </c>
      <c r="CH100" s="359">
        <f t="shared" si="279"/>
        <v>1.6094540219658202</v>
      </c>
      <c r="CI100" s="359">
        <f t="shared" si="279"/>
        <v>1.6094540219658207</v>
      </c>
      <c r="CJ100" s="359">
        <f t="shared" si="279"/>
        <v>1.6094540219658202</v>
      </c>
      <c r="CK100" s="359">
        <f t="shared" si="279"/>
        <v>1.6094540219658202</v>
      </c>
      <c r="CL100" s="359">
        <f t="shared" si="279"/>
        <v>1.6094540219658207</v>
      </c>
      <c r="CM100" s="359">
        <f t="shared" si="279"/>
        <v>1.6509278824160489</v>
      </c>
      <c r="CN100" s="359">
        <f t="shared" si="279"/>
        <v>1.6509278824160494</v>
      </c>
      <c r="CO100" s="359">
        <f t="shared" si="279"/>
        <v>1.6509278824160489</v>
      </c>
      <c r="CP100" s="359">
        <f t="shared" si="279"/>
        <v>1.6509278824160489</v>
      </c>
      <c r="CQ100" s="359">
        <f t="shared" si="279"/>
        <v>1.6509278824160489</v>
      </c>
      <c r="CR100" s="359">
        <f t="shared" si="279"/>
        <v>1.6509278824160489</v>
      </c>
      <c r="CS100" s="359">
        <f t="shared" si="279"/>
        <v>1.6509278824160489</v>
      </c>
      <c r="CT100" s="359">
        <f t="shared" si="279"/>
        <v>1.6509278824160489</v>
      </c>
      <c r="CU100" s="359">
        <f t="shared" si="279"/>
        <v>1.6509278824160494</v>
      </c>
      <c r="CV100" s="359">
        <f t="shared" si="279"/>
        <v>1.6509278824160489</v>
      </c>
      <c r="CW100" s="359">
        <f t="shared" si="279"/>
        <v>1.6509278824160489</v>
      </c>
      <c r="CX100" s="359">
        <f t="shared" ref="CX100:EC100" si="280">IFERROR(CX45/-CX97,0)</f>
        <v>1.6509278824160494</v>
      </c>
      <c r="CY100" s="359">
        <f t="shared" si="280"/>
        <v>1.6934633395755554</v>
      </c>
      <c r="CZ100" s="359">
        <f t="shared" si="280"/>
        <v>1.6934633395755554</v>
      </c>
      <c r="DA100" s="359">
        <f t="shared" si="280"/>
        <v>1.6934633395755556</v>
      </c>
      <c r="DB100" s="359">
        <f t="shared" si="280"/>
        <v>1.6934633395755554</v>
      </c>
      <c r="DC100" s="359">
        <f t="shared" si="280"/>
        <v>1.6934633395755554</v>
      </c>
      <c r="DD100" s="359">
        <f t="shared" si="280"/>
        <v>1.6934633395755554</v>
      </c>
      <c r="DE100" s="359">
        <f t="shared" si="280"/>
        <v>1.6934633395755556</v>
      </c>
      <c r="DF100" s="359">
        <f t="shared" si="280"/>
        <v>1.6934633395755554</v>
      </c>
      <c r="DG100" s="359">
        <f t="shared" si="280"/>
        <v>1.6934633395755554</v>
      </c>
      <c r="DH100" s="359">
        <f t="shared" si="280"/>
        <v>1.6934633395755554</v>
      </c>
      <c r="DI100" s="359">
        <f t="shared" si="280"/>
        <v>1.6934633395755554</v>
      </c>
      <c r="DJ100" s="359">
        <f t="shared" si="280"/>
        <v>1.6934633395755554</v>
      </c>
      <c r="DK100" s="359">
        <f t="shared" si="280"/>
        <v>1.7370874283660316</v>
      </c>
      <c r="DL100" s="359">
        <f t="shared" si="280"/>
        <v>1.7370874283660316</v>
      </c>
      <c r="DM100" s="359">
        <f t="shared" si="280"/>
        <v>1.7370874283660316</v>
      </c>
      <c r="DN100" s="359">
        <f t="shared" si="280"/>
        <v>1.7370874283660316</v>
      </c>
      <c r="DO100" s="359">
        <f t="shared" si="280"/>
        <v>1.7370874283660316</v>
      </c>
      <c r="DP100" s="359">
        <f t="shared" si="280"/>
        <v>1.7370874283660316</v>
      </c>
      <c r="DQ100" s="359">
        <f t="shared" si="280"/>
        <v>1.7370874283660314</v>
      </c>
      <c r="DR100" s="359">
        <f t="shared" si="280"/>
        <v>1.7370874283660309</v>
      </c>
      <c r="DS100" s="359">
        <f t="shared" si="280"/>
        <v>1.7370874283660314</v>
      </c>
      <c r="DT100" s="359">
        <f t="shared" si="280"/>
        <v>1.7370874283660314</v>
      </c>
      <c r="DU100" s="359">
        <f t="shared" si="280"/>
        <v>1.7370874283660316</v>
      </c>
      <c r="DV100" s="359">
        <f t="shared" si="280"/>
        <v>1.7370874283660314</v>
      </c>
      <c r="DW100" s="359">
        <f t="shared" si="280"/>
        <v>0</v>
      </c>
      <c r="DX100" s="359">
        <f t="shared" si="280"/>
        <v>0</v>
      </c>
      <c r="DY100" s="359">
        <f t="shared" si="280"/>
        <v>0</v>
      </c>
      <c r="DZ100" s="359">
        <f t="shared" si="280"/>
        <v>0</v>
      </c>
      <c r="EA100" s="359">
        <f t="shared" si="280"/>
        <v>0</v>
      </c>
      <c r="EB100" s="359">
        <f t="shared" si="280"/>
        <v>0</v>
      </c>
      <c r="EC100" s="359">
        <f t="shared" si="280"/>
        <v>0</v>
      </c>
      <c r="ED100" s="359">
        <f t="shared" ref="ED100:FI100" si="281">IFERROR(ED45/-ED97,0)</f>
        <v>0</v>
      </c>
      <c r="EE100" s="359">
        <f t="shared" si="281"/>
        <v>0</v>
      </c>
      <c r="EF100" s="359">
        <f t="shared" si="281"/>
        <v>0</v>
      </c>
      <c r="EG100" s="359">
        <f t="shared" si="281"/>
        <v>0</v>
      </c>
      <c r="EH100" s="359">
        <f t="shared" si="281"/>
        <v>0</v>
      </c>
      <c r="EI100" s="359">
        <f t="shared" si="281"/>
        <v>0</v>
      </c>
      <c r="EJ100" s="359">
        <f t="shared" si="281"/>
        <v>0</v>
      </c>
      <c r="EK100" s="359">
        <f t="shared" si="281"/>
        <v>0</v>
      </c>
      <c r="EL100" s="359">
        <f t="shared" si="281"/>
        <v>0</v>
      </c>
      <c r="EM100" s="359">
        <f t="shared" si="281"/>
        <v>0</v>
      </c>
      <c r="EN100" s="359">
        <f t="shared" si="281"/>
        <v>0</v>
      </c>
      <c r="EO100" s="359">
        <f t="shared" si="281"/>
        <v>0</v>
      </c>
      <c r="EP100" s="359">
        <f t="shared" si="281"/>
        <v>0</v>
      </c>
      <c r="EQ100" s="359">
        <f t="shared" si="281"/>
        <v>0</v>
      </c>
      <c r="ER100" s="359">
        <f t="shared" si="281"/>
        <v>0</v>
      </c>
      <c r="ES100" s="359">
        <f t="shared" si="281"/>
        <v>0</v>
      </c>
      <c r="ET100" s="359">
        <f t="shared" si="281"/>
        <v>0</v>
      </c>
      <c r="EU100" s="359">
        <f t="shared" si="281"/>
        <v>0</v>
      </c>
      <c r="EV100" s="359">
        <f t="shared" si="281"/>
        <v>0</v>
      </c>
      <c r="EW100" s="359">
        <f t="shared" si="281"/>
        <v>0</v>
      </c>
      <c r="EX100" s="359">
        <f t="shared" si="281"/>
        <v>0</v>
      </c>
      <c r="EY100" s="359">
        <f t="shared" si="281"/>
        <v>0</v>
      </c>
      <c r="EZ100" s="359">
        <f t="shared" si="281"/>
        <v>0</v>
      </c>
      <c r="FA100" s="359">
        <f t="shared" si="281"/>
        <v>0</v>
      </c>
      <c r="FB100" s="359">
        <f t="shared" si="281"/>
        <v>0</v>
      </c>
      <c r="FC100" s="359">
        <f t="shared" si="281"/>
        <v>0</v>
      </c>
      <c r="FD100" s="359">
        <f t="shared" si="281"/>
        <v>0</v>
      </c>
      <c r="FE100" s="359">
        <f t="shared" si="281"/>
        <v>0</v>
      </c>
      <c r="FF100" s="359">
        <f t="shared" si="281"/>
        <v>0</v>
      </c>
      <c r="FG100" s="359">
        <f t="shared" si="281"/>
        <v>0</v>
      </c>
      <c r="FH100" s="359">
        <f t="shared" si="281"/>
        <v>0</v>
      </c>
      <c r="FI100" s="359">
        <f t="shared" si="281"/>
        <v>0</v>
      </c>
      <c r="FJ100" s="359">
        <f t="shared" ref="FJ100:GD100" si="282">IFERROR(FJ45/-FJ97,0)</f>
        <v>0</v>
      </c>
      <c r="FK100" s="359">
        <f t="shared" si="282"/>
        <v>0</v>
      </c>
      <c r="FL100" s="359">
        <f t="shared" si="282"/>
        <v>0</v>
      </c>
      <c r="FM100" s="359">
        <f t="shared" si="282"/>
        <v>0</v>
      </c>
      <c r="FN100" s="359">
        <f t="shared" si="282"/>
        <v>0</v>
      </c>
      <c r="FO100" s="359">
        <f t="shared" si="282"/>
        <v>0</v>
      </c>
      <c r="FP100" s="359">
        <f t="shared" si="282"/>
        <v>0</v>
      </c>
      <c r="FQ100" s="359">
        <f t="shared" si="282"/>
        <v>0</v>
      </c>
      <c r="FR100" s="359">
        <f t="shared" si="282"/>
        <v>0</v>
      </c>
      <c r="FS100" s="359">
        <f t="shared" si="282"/>
        <v>0</v>
      </c>
      <c r="FT100" s="359">
        <f t="shared" si="282"/>
        <v>0</v>
      </c>
      <c r="FU100" s="359">
        <f t="shared" si="282"/>
        <v>0</v>
      </c>
      <c r="FV100" s="359">
        <f t="shared" si="282"/>
        <v>0</v>
      </c>
      <c r="FW100" s="359">
        <f t="shared" si="282"/>
        <v>0</v>
      </c>
      <c r="FX100" s="359">
        <f t="shared" si="282"/>
        <v>0</v>
      </c>
      <c r="FY100" s="359">
        <f t="shared" si="282"/>
        <v>0</v>
      </c>
      <c r="FZ100" s="359">
        <f t="shared" si="282"/>
        <v>0</v>
      </c>
      <c r="GA100" s="359">
        <f t="shared" si="282"/>
        <v>0</v>
      </c>
      <c r="GB100" s="359">
        <f t="shared" si="282"/>
        <v>0</v>
      </c>
      <c r="GC100" s="359">
        <f t="shared" si="282"/>
        <v>0</v>
      </c>
      <c r="GD100" s="359">
        <f t="shared" si="282"/>
        <v>0</v>
      </c>
      <c r="GE100" s="359">
        <f t="shared" ref="GE100:GM100" si="283">IFERROR(GE45/-GE97,0)</f>
        <v>0</v>
      </c>
      <c r="GF100" s="359">
        <f t="shared" si="283"/>
        <v>0</v>
      </c>
      <c r="GG100" s="359">
        <f t="shared" si="283"/>
        <v>0</v>
      </c>
      <c r="GH100" s="359">
        <f t="shared" si="283"/>
        <v>0</v>
      </c>
      <c r="GI100" s="359">
        <f t="shared" si="283"/>
        <v>0</v>
      </c>
      <c r="GJ100" s="359">
        <f t="shared" si="283"/>
        <v>0</v>
      </c>
      <c r="GK100" s="359">
        <f t="shared" si="283"/>
        <v>0</v>
      </c>
      <c r="GL100" s="359">
        <f t="shared" si="283"/>
        <v>0</v>
      </c>
      <c r="GM100" s="359">
        <f t="shared" si="283"/>
        <v>0</v>
      </c>
      <c r="GN100" s="614"/>
      <c r="GO100" s="614"/>
      <c r="GP100" s="614"/>
      <c r="GQ100" s="27"/>
      <c r="GR100" s="27"/>
      <c r="GS100" s="27"/>
      <c r="GT100" s="27"/>
      <c r="GU100" s="27"/>
      <c r="GV100" s="27"/>
      <c r="GW100" s="27"/>
      <c r="GX100" s="27"/>
      <c r="GY100" s="27"/>
      <c r="GZ100" s="27"/>
      <c r="HA100" s="27"/>
      <c r="HB100" s="27"/>
      <c r="HC100" s="27"/>
      <c r="HD100" s="27"/>
      <c r="HE100" s="27"/>
      <c r="HF100" s="27"/>
      <c r="HG100" s="27"/>
      <c r="HH100" s="27"/>
      <c r="HI100" s="27"/>
      <c r="HJ100" s="27"/>
      <c r="HK100" s="27"/>
      <c r="HL100" s="27"/>
      <c r="HM100" s="27"/>
      <c r="HN100" s="27"/>
      <c r="HO100" s="27"/>
      <c r="HP100" s="27"/>
      <c r="HQ100" s="27"/>
      <c r="HR100" s="27"/>
      <c r="HS100" s="27"/>
      <c r="HT100" s="27"/>
      <c r="HU100" s="27"/>
      <c r="HV100" s="27"/>
      <c r="HW100" s="27"/>
      <c r="HX100" s="27"/>
      <c r="HY100" s="27"/>
      <c r="HZ100" s="27"/>
      <c r="IA100" s="27"/>
      <c r="IB100" s="27"/>
      <c r="IC100" s="27"/>
      <c r="ID100" s="27"/>
      <c r="IE100" s="27"/>
      <c r="IF100" s="27"/>
      <c r="IG100" s="27"/>
      <c r="IH100" s="27"/>
      <c r="II100" s="27"/>
      <c r="IJ100" s="27"/>
      <c r="IK100" s="27"/>
      <c r="IL100" s="27"/>
      <c r="IM100" s="27"/>
      <c r="IN100" s="27"/>
      <c r="IO100" s="27"/>
      <c r="IP100" s="27"/>
      <c r="IQ100" s="27"/>
      <c r="IR100" s="27"/>
      <c r="IS100" s="27"/>
      <c r="IT100" s="27"/>
      <c r="IU100" s="27"/>
      <c r="IV100" s="27"/>
      <c r="IW100" s="27"/>
      <c r="IX100" s="27"/>
      <c r="IY100" s="27"/>
      <c r="IZ100" s="27"/>
      <c r="JA100" s="27"/>
      <c r="JB100" s="27"/>
      <c r="JC100" s="27"/>
      <c r="JD100" s="27"/>
      <c r="JE100" s="27"/>
      <c r="JF100" s="27"/>
      <c r="JG100" s="27"/>
      <c r="JH100" s="27"/>
      <c r="JI100" s="27"/>
      <c r="JJ100" s="27"/>
      <c r="JK100" s="27"/>
      <c r="JL100" s="27"/>
      <c r="JM100" s="27"/>
      <c r="JN100" s="27"/>
      <c r="JO100" s="27"/>
      <c r="JP100" s="27"/>
      <c r="JQ100" s="27"/>
      <c r="JR100" s="27"/>
      <c r="JS100" s="27"/>
      <c r="JT100" s="27"/>
      <c r="JU100" s="27"/>
      <c r="JV100" s="27"/>
      <c r="JW100" s="27"/>
      <c r="JX100" s="27"/>
      <c r="JY100" s="27"/>
      <c r="JZ100" s="27"/>
      <c r="KA100" s="27"/>
      <c r="KB100" s="27"/>
      <c r="KC100" s="27"/>
      <c r="KD100" s="27"/>
      <c r="KE100" s="27"/>
      <c r="KF100" s="27"/>
      <c r="KG100" s="27"/>
      <c r="KH100" s="27"/>
      <c r="KI100" s="27"/>
      <c r="KJ100" s="27"/>
      <c r="KK100" s="27"/>
      <c r="KL100" s="27"/>
      <c r="KM100" s="27"/>
      <c r="KN100" s="27"/>
      <c r="KO100" s="27"/>
      <c r="KP100" s="27"/>
      <c r="KQ100" s="27"/>
      <c r="KR100" s="27"/>
      <c r="KS100" s="27"/>
      <c r="KT100" s="27"/>
      <c r="KU100" s="27"/>
      <c r="KV100" s="27"/>
      <c r="KW100" s="27"/>
      <c r="KX100" s="27"/>
      <c r="KY100" s="27"/>
      <c r="KZ100" s="27"/>
      <c r="LA100" s="27"/>
      <c r="LB100" s="27"/>
      <c r="LC100" s="27"/>
      <c r="LD100" s="27"/>
      <c r="LE100" s="27"/>
      <c r="LF100" s="27"/>
      <c r="LG100" s="27"/>
      <c r="LH100" s="27"/>
      <c r="LI100" s="27"/>
      <c r="LJ100" s="27"/>
      <c r="LK100" s="27"/>
      <c r="LL100" s="27"/>
      <c r="LM100" s="27"/>
      <c r="LN100" s="27"/>
      <c r="LO100" s="27"/>
      <c r="LP100" s="27"/>
      <c r="LQ100" s="27"/>
      <c r="LR100" s="27"/>
      <c r="LS100" s="27"/>
      <c r="LT100" s="27"/>
      <c r="LU100" s="27"/>
      <c r="LV100" s="27"/>
      <c r="LW100" s="27"/>
      <c r="LX100" s="27"/>
      <c r="LY100" s="27"/>
      <c r="LZ100" s="27"/>
      <c r="MA100" s="27"/>
      <c r="MB100" s="27"/>
      <c r="MC100" s="27"/>
      <c r="MD100" s="27"/>
      <c r="ME100" s="27"/>
      <c r="MF100" s="27"/>
      <c r="MG100" s="27"/>
      <c r="MH100" s="27"/>
      <c r="MI100" s="27"/>
      <c r="MJ100" s="27"/>
      <c r="MK100" s="27"/>
      <c r="ML100" s="27"/>
      <c r="MM100" s="27"/>
      <c r="MN100" s="27"/>
      <c r="MO100" s="27"/>
      <c r="MP100" s="27"/>
      <c r="MQ100" s="27"/>
      <c r="MR100" s="27"/>
      <c r="MS100" s="27"/>
      <c r="MT100" s="27"/>
      <c r="MU100" s="27"/>
      <c r="MV100" s="27"/>
      <c r="MW100" s="27"/>
      <c r="MX100" s="27"/>
      <c r="MY100" s="27"/>
      <c r="MZ100" s="27"/>
      <c r="NA100" s="27"/>
      <c r="NB100" s="27"/>
    </row>
    <row r="101" spans="2:366" ht="16" customHeight="1" x14ac:dyDescent="0.15">
      <c r="B101" s="31" t="s">
        <v>301</v>
      </c>
      <c r="C101" s="312" t="s">
        <v>260</v>
      </c>
      <c r="E101"/>
      <c r="F101" s="359">
        <f>IFERROR(F45/-F57,0)</f>
        <v>0</v>
      </c>
      <c r="G101" s="359">
        <f t="shared" ref="G101:BR101" si="284">IFERROR(G45/-G57,0)</f>
        <v>1.2333807431471064</v>
      </c>
      <c r="H101" s="359">
        <f t="shared" si="284"/>
        <v>1.2167054837424514</v>
      </c>
      <c r="I101" s="359">
        <f t="shared" si="284"/>
        <v>1.2003971639889823</v>
      </c>
      <c r="J101" s="359">
        <f t="shared" si="284"/>
        <v>1.1844439899446657</v>
      </c>
      <c r="K101" s="359">
        <f t="shared" si="284"/>
        <v>1.1688346676109547</v>
      </c>
      <c r="L101" s="359">
        <f t="shared" si="284"/>
        <v>1.1535583767186295</v>
      </c>
      <c r="M101" s="359">
        <f t="shared" si="284"/>
        <v>1.1386047461459479</v>
      </c>
      <c r="N101" s="359">
        <f t="shared" si="284"/>
        <v>1.123963830851739</v>
      </c>
      <c r="O101" s="359">
        <f t="shared" si="284"/>
        <v>1.4654575674340966</v>
      </c>
      <c r="P101" s="359">
        <f t="shared" si="284"/>
        <v>1.4654575674340966</v>
      </c>
      <c r="Q101" s="359">
        <f t="shared" si="284"/>
        <v>1.4654575674340966</v>
      </c>
      <c r="R101" s="359">
        <f t="shared" si="284"/>
        <v>1.4654575674340966</v>
      </c>
      <c r="S101" s="359">
        <f t="shared" si="284"/>
        <v>1.5032596846291852</v>
      </c>
      <c r="T101" s="359">
        <f t="shared" si="284"/>
        <v>1.5032596846291852</v>
      </c>
      <c r="U101" s="359">
        <f t="shared" si="284"/>
        <v>1.5032596846291852</v>
      </c>
      <c r="V101" s="359">
        <f t="shared" si="284"/>
        <v>1.5032596846291852</v>
      </c>
      <c r="W101" s="359">
        <f t="shared" si="284"/>
        <v>1.5032596846291852</v>
      </c>
      <c r="X101" s="359">
        <f t="shared" si="284"/>
        <v>1.5032596846291852</v>
      </c>
      <c r="Y101" s="359">
        <f t="shared" si="284"/>
        <v>1.7309045319748524</v>
      </c>
      <c r="Z101" s="359">
        <f t="shared" si="284"/>
        <v>1.7324674777092679</v>
      </c>
      <c r="AA101" s="359">
        <f t="shared" si="284"/>
        <v>1.7340396334975365</v>
      </c>
      <c r="AB101" s="359">
        <f t="shared" si="284"/>
        <v>1.7356210678790134</v>
      </c>
      <c r="AC101" s="359">
        <f t="shared" si="284"/>
        <v>1.7372118500501674</v>
      </c>
      <c r="AD101" s="359">
        <f t="shared" si="284"/>
        <v>1.7388120498724791</v>
      </c>
      <c r="AE101" s="359">
        <f t="shared" si="284"/>
        <v>1.7853088543805005</v>
      </c>
      <c r="AF101" s="359">
        <f t="shared" si="284"/>
        <v>1.7869698637061855</v>
      </c>
      <c r="AG101" s="359">
        <f t="shared" si="284"/>
        <v>1.7886407527387138</v>
      </c>
      <c r="AH101" s="359">
        <f t="shared" si="284"/>
        <v>1.7903215959534065</v>
      </c>
      <c r="AI101" s="359">
        <f t="shared" si="284"/>
        <v>1.7920124685500554</v>
      </c>
      <c r="AJ101" s="359">
        <f t="shared" si="284"/>
        <v>1.7937134464617634</v>
      </c>
      <c r="AK101" s="359">
        <f t="shared" si="284"/>
        <v>1.7954246063639083</v>
      </c>
      <c r="AL101" s="359">
        <f t="shared" si="284"/>
        <v>1.7971460256832437</v>
      </c>
      <c r="AM101" s="359">
        <f t="shared" si="284"/>
        <v>1.79887778260713</v>
      </c>
      <c r="AN101" s="359">
        <f t="shared" si="284"/>
        <v>1.8006199560929057</v>
      </c>
      <c r="AO101" s="359">
        <f t="shared" si="284"/>
        <v>1.8023726258773971</v>
      </c>
      <c r="AP101" s="359">
        <f t="shared" si="284"/>
        <v>1.8041358724865677</v>
      </c>
      <c r="AQ101" s="359">
        <f t="shared" si="284"/>
        <v>1.8524778283444279</v>
      </c>
      <c r="AR101" s="359">
        <f t="shared" si="284"/>
        <v>1.8543084930950136</v>
      </c>
      <c r="AS101" s="359">
        <f t="shared" si="284"/>
        <v>1.8561502601748088</v>
      </c>
      <c r="AT101" s="359">
        <f t="shared" si="284"/>
        <v>1.8580032155261956</v>
      </c>
      <c r="AU101" s="359">
        <f t="shared" si="284"/>
        <v>1.8598674459528088</v>
      </c>
      <c r="AV101" s="359">
        <f t="shared" si="284"/>
        <v>1.8617430391303629</v>
      </c>
      <c r="AW101" s="359">
        <f t="shared" si="284"/>
        <v>1.8636300836176405</v>
      </c>
      <c r="AX101" s="359">
        <f t="shared" si="284"/>
        <v>1.8655286688676493</v>
      </c>
      <c r="AY101" s="359">
        <f t="shared" si="284"/>
        <v>1.8674388852389507</v>
      </c>
      <c r="AZ101" s="359">
        <f t="shared" si="284"/>
        <v>1.8693608240071558</v>
      </c>
      <c r="BA101" s="359">
        <f t="shared" si="284"/>
        <v>1.8712945773766028</v>
      </c>
      <c r="BB101" s="359">
        <f t="shared" si="284"/>
        <v>1.8732402384922118</v>
      </c>
      <c r="BC101" s="359">
        <f t="shared" si="284"/>
        <v>1.9235443298078847</v>
      </c>
      <c r="BD101" s="359">
        <f t="shared" si="284"/>
        <v>1.9255648741020215</v>
      </c>
      <c r="BE101" s="359">
        <f t="shared" si="284"/>
        <v>1.9275979257008924</v>
      </c>
      <c r="BF101" s="359">
        <f t="shared" si="284"/>
        <v>1.929643584135605</v>
      </c>
      <c r="BG101" s="359">
        <f t="shared" si="284"/>
        <v>1.9317019499657742</v>
      </c>
      <c r="BH101" s="359">
        <f t="shared" si="284"/>
        <v>1.9337731247928573</v>
      </c>
      <c r="BI101" s="359">
        <f t="shared" si="284"/>
        <v>1.9358572112736956</v>
      </c>
      <c r="BJ101" s="359">
        <f t="shared" si="284"/>
        <v>1.9379543131342705</v>
      </c>
      <c r="BK101" s="359">
        <f t="shared" si="284"/>
        <v>1.9400645351836743</v>
      </c>
      <c r="BL101" s="359">
        <f t="shared" si="284"/>
        <v>1.9421879833283027</v>
      </c>
      <c r="BM101" s="359">
        <f t="shared" si="284"/>
        <v>1.9443247645862669</v>
      </c>
      <c r="BN101" s="359">
        <f t="shared" si="284"/>
        <v>1.9464749871020397</v>
      </c>
      <c r="BO101" s="359">
        <f t="shared" si="284"/>
        <v>1.9988700538444992</v>
      </c>
      <c r="BP101" s="359">
        <f t="shared" si="284"/>
        <v>2.0011036169837979</v>
      </c>
      <c r="BQ101" s="359">
        <f t="shared" si="284"/>
        <v>2.0033513077474359</v>
      </c>
      <c r="BR101" s="359">
        <f t="shared" si="284"/>
        <v>2.0056132418442205</v>
      </c>
      <c r="BS101" s="359">
        <f t="shared" ref="BS101:ED101" si="285">IFERROR(BS45/-BS57,0)</f>
        <v>2.007889536217125</v>
      </c>
      <c r="BT101" s="359">
        <f t="shared" si="285"/>
        <v>2.010180309059808</v>
      </c>
      <c r="BU101" s="359">
        <f t="shared" si="285"/>
        <v>2.0124856798334001</v>
      </c>
      <c r="BV101" s="359">
        <f t="shared" si="285"/>
        <v>2.0148057692835617</v>
      </c>
      <c r="BW101" s="359">
        <f t="shared" si="285"/>
        <v>2.0171406994578147</v>
      </c>
      <c r="BX101" s="359">
        <f t="shared" si="285"/>
        <v>2.0194905937231642</v>
      </c>
      <c r="BY101" s="359">
        <f t="shared" si="285"/>
        <v>2.0218555767839943</v>
      </c>
      <c r="BZ101" s="359">
        <f t="shared" si="285"/>
        <v>2.0242357747002702</v>
      </c>
      <c r="CA101" s="359">
        <f t="shared" si="285"/>
        <v>2.0788641954146176</v>
      </c>
      <c r="CB101" s="359">
        <f t="shared" si="285"/>
        <v>2.0813373463402427</v>
      </c>
      <c r="CC101" s="359">
        <f t="shared" si="285"/>
        <v>2.0838265007188146</v>
      </c>
      <c r="CD101" s="359">
        <f t="shared" si="285"/>
        <v>2.0863317936141983</v>
      </c>
      <c r="CE101" s="359">
        <f t="shared" si="285"/>
        <v>2.0888533615788045</v>
      </c>
      <c r="CF101" s="359">
        <f t="shared" si="285"/>
        <v>2.0913913426741888</v>
      </c>
      <c r="CG101" s="359">
        <f t="shared" si="285"/>
        <v>2.0939458764919805</v>
      </c>
      <c r="CH101" s="359">
        <f t="shared" si="285"/>
        <v>2.0965171041751689</v>
      </c>
      <c r="CI101" s="359">
        <f t="shared" si="285"/>
        <v>2.0991051684397473</v>
      </c>
      <c r="CJ101" s="359">
        <f t="shared" si="285"/>
        <v>2.1017102135967125</v>
      </c>
      <c r="CK101" s="359">
        <f t="shared" si="285"/>
        <v>2.104332385574446</v>
      </c>
      <c r="CL101" s="359">
        <f t="shared" si="285"/>
        <v>2.1069718319414643</v>
      </c>
      <c r="CM101" s="359">
        <f t="shared" si="285"/>
        <v>2.163991513908964</v>
      </c>
      <c r="CN101" s="359">
        <f t="shared" si="285"/>
        <v>2.1667348759314993</v>
      </c>
      <c r="CO101" s="359">
        <f t="shared" si="285"/>
        <v>2.1694964219327106</v>
      </c>
      <c r="CP101" s="359">
        <f t="shared" si="285"/>
        <v>2.1722763102548313</v>
      </c>
      <c r="CQ101" s="359">
        <f t="shared" si="285"/>
        <v>2.175074701045288</v>
      </c>
      <c r="CR101" s="359">
        <f t="shared" si="285"/>
        <v>2.1778917562825408</v>
      </c>
      <c r="CS101" s="359">
        <f t="shared" si="285"/>
        <v>2.1807276398023596</v>
      </c>
      <c r="CT101" s="359">
        <f t="shared" si="285"/>
        <v>2.1835825173245627</v>
      </c>
      <c r="CU101" s="359">
        <f t="shared" si="285"/>
        <v>2.1864565564802123</v>
      </c>
      <c r="CV101" s="359">
        <f t="shared" si="285"/>
        <v>2.1893499268392889</v>
      </c>
      <c r="CW101" s="359">
        <f t="shared" si="285"/>
        <v>2.1922627999388444</v>
      </c>
      <c r="CX101" s="359">
        <f t="shared" si="285"/>
        <v>2.1951953493116498</v>
      </c>
      <c r="CY101" s="359">
        <f t="shared" si="285"/>
        <v>2.2547820956422044</v>
      </c>
      <c r="CZ101" s="359">
        <f t="shared" si="285"/>
        <v>2.2578311097047292</v>
      </c>
      <c r="DA101" s="359">
        <f t="shared" si="285"/>
        <v>2.2609008535871191</v>
      </c>
      <c r="DB101" s="359">
        <f t="shared" si="285"/>
        <v>2.2639915137860123</v>
      </c>
      <c r="DC101" s="359">
        <f t="shared" si="285"/>
        <v>2.2671032790000583</v>
      </c>
      <c r="DD101" s="359">
        <f t="shared" si="285"/>
        <v>2.2702363401625574</v>
      </c>
      <c r="DE101" s="359">
        <f t="shared" si="285"/>
        <v>2.2733908904746869</v>
      </c>
      <c r="DF101" s="359">
        <f t="shared" si="285"/>
        <v>2.2765671254393225</v>
      </c>
      <c r="DG101" s="359">
        <f t="shared" si="285"/>
        <v>2.279765242895464</v>
      </c>
      <c r="DH101" s="359">
        <f t="shared" si="285"/>
        <v>2.2829854430532839</v>
      </c>
      <c r="DI101" s="359">
        <f t="shared" si="285"/>
        <v>2.2862279285298066</v>
      </c>
      <c r="DJ101" s="359">
        <f t="shared" si="285"/>
        <v>2.2894929043852406</v>
      </c>
      <c r="DK101" s="359">
        <f t="shared" si="285"/>
        <v>2.3518432464689201</v>
      </c>
      <c r="DL101" s="359">
        <f t="shared" si="285"/>
        <v>2.3552391097320746</v>
      </c>
      <c r="DM101" s="359">
        <f t="shared" si="285"/>
        <v>2.3586586891800319</v>
      </c>
      <c r="DN101" s="359">
        <f t="shared" si="285"/>
        <v>2.3621022055662908</v>
      </c>
      <c r="DO101" s="359">
        <f t="shared" si="285"/>
        <v>2.3655698823472426</v>
      </c>
      <c r="DP101" s="359">
        <f t="shared" si="285"/>
        <v>2.3690619457237272</v>
      </c>
      <c r="DQ101" s="359">
        <f t="shared" si="285"/>
        <v>2.3725786246833529</v>
      </c>
      <c r="DR101" s="359">
        <f t="shared" si="285"/>
        <v>2.3761201510436054</v>
      </c>
      <c r="DS101" s="359">
        <f t="shared" si="285"/>
        <v>2.3796867594957596</v>
      </c>
      <c r="DT101" s="359">
        <f t="shared" si="285"/>
        <v>2.3832786876496099</v>
      </c>
      <c r="DU101" s="359">
        <f t="shared" si="285"/>
        <v>2.3868961760790439</v>
      </c>
      <c r="DV101" s="359">
        <f t="shared" si="285"/>
        <v>2.3905394683684666</v>
      </c>
      <c r="DW101" s="359">
        <f t="shared" si="285"/>
        <v>0</v>
      </c>
      <c r="DX101" s="359">
        <f t="shared" si="285"/>
        <v>0</v>
      </c>
      <c r="DY101" s="359">
        <f t="shared" si="285"/>
        <v>0</v>
      </c>
      <c r="DZ101" s="359">
        <f t="shared" si="285"/>
        <v>0</v>
      </c>
      <c r="EA101" s="359">
        <f t="shared" si="285"/>
        <v>0</v>
      </c>
      <c r="EB101" s="359">
        <f t="shared" si="285"/>
        <v>0</v>
      </c>
      <c r="EC101" s="359">
        <f t="shared" si="285"/>
        <v>0</v>
      </c>
      <c r="ED101" s="359">
        <f t="shared" si="285"/>
        <v>0</v>
      </c>
      <c r="EE101" s="359">
        <f t="shared" ref="EE101:GD101" si="286">IFERROR(EE45/-EE57,0)</f>
        <v>0</v>
      </c>
      <c r="EF101" s="359">
        <f t="shared" si="286"/>
        <v>0</v>
      </c>
      <c r="EG101" s="359">
        <f t="shared" si="286"/>
        <v>0</v>
      </c>
      <c r="EH101" s="359">
        <f t="shared" si="286"/>
        <v>0</v>
      </c>
      <c r="EI101" s="359">
        <f t="shared" si="286"/>
        <v>0</v>
      </c>
      <c r="EJ101" s="359">
        <f t="shared" si="286"/>
        <v>0</v>
      </c>
      <c r="EK101" s="359">
        <f t="shared" si="286"/>
        <v>0</v>
      </c>
      <c r="EL101" s="359">
        <f t="shared" si="286"/>
        <v>0</v>
      </c>
      <c r="EM101" s="359">
        <f t="shared" si="286"/>
        <v>0</v>
      </c>
      <c r="EN101" s="359">
        <f t="shared" si="286"/>
        <v>0</v>
      </c>
      <c r="EO101" s="359">
        <f t="shared" si="286"/>
        <v>0</v>
      </c>
      <c r="EP101" s="359">
        <f t="shared" si="286"/>
        <v>0</v>
      </c>
      <c r="EQ101" s="359">
        <f t="shared" si="286"/>
        <v>0</v>
      </c>
      <c r="ER101" s="359">
        <f t="shared" si="286"/>
        <v>0</v>
      </c>
      <c r="ES101" s="359">
        <f t="shared" si="286"/>
        <v>0</v>
      </c>
      <c r="ET101" s="359">
        <f t="shared" si="286"/>
        <v>0</v>
      </c>
      <c r="EU101" s="359">
        <f t="shared" si="286"/>
        <v>0</v>
      </c>
      <c r="EV101" s="359">
        <f t="shared" si="286"/>
        <v>0</v>
      </c>
      <c r="EW101" s="359">
        <f t="shared" si="286"/>
        <v>0</v>
      </c>
      <c r="EX101" s="359">
        <f t="shared" si="286"/>
        <v>0</v>
      </c>
      <c r="EY101" s="359">
        <f t="shared" si="286"/>
        <v>0</v>
      </c>
      <c r="EZ101" s="359">
        <f t="shared" si="286"/>
        <v>0</v>
      </c>
      <c r="FA101" s="359">
        <f t="shared" si="286"/>
        <v>0</v>
      </c>
      <c r="FB101" s="359">
        <f t="shared" si="286"/>
        <v>0</v>
      </c>
      <c r="FC101" s="359">
        <f t="shared" si="286"/>
        <v>0</v>
      </c>
      <c r="FD101" s="359">
        <f t="shared" si="286"/>
        <v>0</v>
      </c>
      <c r="FE101" s="359">
        <f t="shared" si="286"/>
        <v>0</v>
      </c>
      <c r="FF101" s="359">
        <f t="shared" si="286"/>
        <v>0</v>
      </c>
      <c r="FG101" s="359">
        <f t="shared" si="286"/>
        <v>0</v>
      </c>
      <c r="FH101" s="359">
        <f t="shared" si="286"/>
        <v>0</v>
      </c>
      <c r="FI101" s="359">
        <f t="shared" si="286"/>
        <v>0</v>
      </c>
      <c r="FJ101" s="359">
        <f t="shared" si="286"/>
        <v>0</v>
      </c>
      <c r="FK101" s="359">
        <f t="shared" si="286"/>
        <v>0</v>
      </c>
      <c r="FL101" s="359">
        <f t="shared" si="286"/>
        <v>0</v>
      </c>
      <c r="FM101" s="359">
        <f t="shared" si="286"/>
        <v>0</v>
      </c>
      <c r="FN101" s="359">
        <f t="shared" si="286"/>
        <v>0</v>
      </c>
      <c r="FO101" s="359">
        <f t="shared" si="286"/>
        <v>0</v>
      </c>
      <c r="FP101" s="359">
        <f t="shared" si="286"/>
        <v>0</v>
      </c>
      <c r="FQ101" s="359">
        <f t="shared" si="286"/>
        <v>0</v>
      </c>
      <c r="FR101" s="359">
        <f t="shared" si="286"/>
        <v>0</v>
      </c>
      <c r="FS101" s="359">
        <f t="shared" si="286"/>
        <v>0</v>
      </c>
      <c r="FT101" s="359">
        <f t="shared" si="286"/>
        <v>0</v>
      </c>
      <c r="FU101" s="359">
        <f t="shared" si="286"/>
        <v>0</v>
      </c>
      <c r="FV101" s="359">
        <f t="shared" si="286"/>
        <v>0</v>
      </c>
      <c r="FW101" s="359">
        <f t="shared" si="286"/>
        <v>0</v>
      </c>
      <c r="FX101" s="359">
        <f t="shared" si="286"/>
        <v>0</v>
      </c>
      <c r="FY101" s="359">
        <f t="shared" si="286"/>
        <v>0</v>
      </c>
      <c r="FZ101" s="359">
        <f t="shared" si="286"/>
        <v>0</v>
      </c>
      <c r="GA101" s="359">
        <f t="shared" si="286"/>
        <v>0</v>
      </c>
      <c r="GB101" s="359">
        <f t="shared" si="286"/>
        <v>0</v>
      </c>
      <c r="GC101" s="359">
        <f t="shared" si="286"/>
        <v>0</v>
      </c>
      <c r="GD101" s="359">
        <f t="shared" si="286"/>
        <v>0</v>
      </c>
      <c r="GE101" s="359">
        <f t="shared" ref="GE101:GM101" si="287">IFERROR(GE45/-GE57,0)</f>
        <v>0</v>
      </c>
      <c r="GF101" s="359">
        <f t="shared" si="287"/>
        <v>0</v>
      </c>
      <c r="GG101" s="359">
        <f t="shared" si="287"/>
        <v>0</v>
      </c>
      <c r="GH101" s="359">
        <f t="shared" si="287"/>
        <v>0</v>
      </c>
      <c r="GI101" s="359">
        <f t="shared" si="287"/>
        <v>0</v>
      </c>
      <c r="GJ101" s="359">
        <f t="shared" si="287"/>
        <v>0</v>
      </c>
      <c r="GK101" s="359">
        <f t="shared" si="287"/>
        <v>0</v>
      </c>
      <c r="GL101" s="359">
        <f t="shared" si="287"/>
        <v>0</v>
      </c>
      <c r="GM101" s="359">
        <f t="shared" si="287"/>
        <v>0</v>
      </c>
      <c r="GN101" s="614"/>
      <c r="GO101" s="614"/>
      <c r="GP101" s="614"/>
      <c r="GQ101" s="614"/>
      <c r="GR101" s="614"/>
      <c r="GS101" s="614"/>
      <c r="GT101" s="614"/>
      <c r="GU101" s="614"/>
      <c r="GV101" s="614"/>
      <c r="GW101" s="614"/>
      <c r="GX101" s="614"/>
      <c r="GY101" s="614"/>
      <c r="GZ101" s="614"/>
      <c r="HA101" s="614"/>
      <c r="HB101" s="614"/>
      <c r="HC101" s="614"/>
      <c r="HD101" s="614"/>
      <c r="HE101" s="614"/>
      <c r="HF101" s="614"/>
      <c r="HG101" s="614"/>
      <c r="HH101" s="614"/>
      <c r="HI101" s="614"/>
      <c r="HJ101" s="614"/>
      <c r="HK101" s="614"/>
      <c r="HL101" s="614"/>
      <c r="HM101" s="614"/>
      <c r="HN101" s="614"/>
      <c r="HO101" s="614"/>
      <c r="HP101" s="614"/>
      <c r="HQ101" s="614"/>
      <c r="HR101" s="614"/>
      <c r="HS101" s="614"/>
      <c r="HT101" s="614"/>
      <c r="HU101" s="614"/>
      <c r="HV101" s="614"/>
      <c r="HW101" s="614"/>
      <c r="HX101" s="614"/>
      <c r="HY101" s="614"/>
      <c r="HZ101" s="614"/>
      <c r="IA101" s="614"/>
      <c r="IB101" s="614"/>
      <c r="IC101" s="614"/>
      <c r="ID101" s="614"/>
      <c r="IE101" s="614"/>
      <c r="IF101" s="614"/>
      <c r="IG101" s="614"/>
      <c r="IH101" s="614"/>
      <c r="II101" s="614"/>
      <c r="IJ101" s="614"/>
      <c r="IK101" s="614"/>
      <c r="IL101" s="614"/>
      <c r="IM101" s="614"/>
      <c r="IN101" s="614"/>
      <c r="IO101" s="614"/>
      <c r="IP101" s="614"/>
      <c r="IQ101" s="614"/>
      <c r="IR101" s="614"/>
      <c r="IS101" s="614"/>
      <c r="IT101" s="614"/>
      <c r="IU101" s="614"/>
      <c r="IV101" s="614"/>
      <c r="IW101" s="614"/>
      <c r="IX101" s="614"/>
      <c r="IY101" s="614"/>
      <c r="IZ101" s="614"/>
      <c r="JA101" s="614"/>
      <c r="JB101" s="614"/>
      <c r="JC101" s="614"/>
      <c r="JD101" s="614"/>
      <c r="JE101" s="614"/>
      <c r="JF101" s="614"/>
      <c r="JG101" s="614"/>
      <c r="JH101" s="614"/>
      <c r="JI101" s="614"/>
      <c r="JJ101" s="614"/>
      <c r="JK101" s="614"/>
      <c r="JL101" s="614"/>
      <c r="JM101" s="614"/>
      <c r="JN101" s="614"/>
      <c r="JO101" s="614"/>
      <c r="JP101" s="614"/>
      <c r="JQ101" s="614"/>
      <c r="JR101" s="614"/>
      <c r="JS101" s="614"/>
      <c r="JT101" s="614"/>
      <c r="JU101" s="614"/>
      <c r="JV101" s="614"/>
      <c r="JW101" s="614"/>
      <c r="JX101" s="614"/>
      <c r="JY101" s="614"/>
      <c r="JZ101" s="614"/>
      <c r="KA101" s="614"/>
      <c r="KB101" s="614"/>
      <c r="KC101" s="614"/>
      <c r="KD101" s="614"/>
      <c r="KE101" s="614"/>
      <c r="KF101" s="614"/>
      <c r="KG101" s="614"/>
      <c r="KH101" s="614"/>
      <c r="KI101" s="614"/>
      <c r="KJ101" s="614"/>
      <c r="KK101" s="614"/>
      <c r="KL101" s="614"/>
      <c r="KM101" s="614"/>
      <c r="KN101" s="614"/>
      <c r="KO101" s="614"/>
      <c r="KP101" s="614"/>
      <c r="KQ101" s="614"/>
      <c r="KR101" s="614"/>
      <c r="KS101" s="614"/>
      <c r="KT101" s="614"/>
      <c r="KU101" s="614"/>
      <c r="KV101" s="614"/>
      <c r="KW101" s="614"/>
      <c r="KX101" s="614"/>
      <c r="KY101" s="614"/>
      <c r="KZ101" s="614"/>
      <c r="LA101" s="614"/>
      <c r="LB101" s="614"/>
      <c r="LC101" s="614"/>
      <c r="LD101" s="614"/>
      <c r="LE101" s="614"/>
      <c r="LF101" s="614"/>
      <c r="LG101" s="614"/>
      <c r="LH101" s="614"/>
      <c r="LI101" s="614"/>
      <c r="LJ101" s="614"/>
      <c r="LK101" s="614"/>
      <c r="LL101" s="614"/>
      <c r="LM101" s="614"/>
      <c r="LN101" s="614"/>
      <c r="LO101" s="614"/>
      <c r="LP101" s="614"/>
      <c r="LQ101" s="614"/>
      <c r="LR101" s="614"/>
      <c r="LS101" s="614"/>
      <c r="LT101" s="614"/>
      <c r="LU101" s="614"/>
      <c r="LV101" s="614"/>
      <c r="LW101" s="614"/>
      <c r="LX101" s="614"/>
      <c r="LY101" s="614"/>
      <c r="LZ101" s="614"/>
      <c r="MA101" s="614"/>
      <c r="MB101" s="614"/>
      <c r="MC101" s="614"/>
      <c r="MD101" s="614"/>
      <c r="ME101" s="614"/>
      <c r="MF101" s="614"/>
      <c r="MG101" s="614"/>
      <c r="MH101" s="614"/>
      <c r="MI101" s="614"/>
      <c r="MJ101" s="614"/>
      <c r="MK101" s="614"/>
      <c r="ML101" s="614"/>
      <c r="MM101" s="614"/>
      <c r="MN101" s="614"/>
      <c r="MO101" s="614"/>
      <c r="MP101" s="614"/>
      <c r="MQ101" s="614"/>
      <c r="MR101" s="614"/>
      <c r="MS101" s="614"/>
      <c r="MT101" s="614"/>
      <c r="MU101" s="614"/>
      <c r="MV101" s="614"/>
      <c r="MW101" s="614"/>
      <c r="MX101" s="614"/>
      <c r="MY101" s="614"/>
      <c r="MZ101" s="614"/>
      <c r="NA101" s="614"/>
      <c r="NB101" s="614"/>
    </row>
    <row r="102" spans="2:366" ht="16" customHeight="1" x14ac:dyDescent="0.15">
      <c r="G102" s="27"/>
    </row>
    <row r="103" spans="2:366" ht="16" customHeight="1" x14ac:dyDescent="0.15">
      <c r="B103" s="385" t="s">
        <v>57</v>
      </c>
      <c r="C103" s="385"/>
      <c r="D103" s="385"/>
      <c r="E103" s="386"/>
      <c r="F103" s="387">
        <f>+F54</f>
        <v>-6224400</v>
      </c>
      <c r="G103" s="387">
        <f t="shared" ref="G103:BR103" si="288">+G54</f>
        <v>-31712.425534333335</v>
      </c>
      <c r="H103" s="387">
        <f t="shared" si="288"/>
        <v>-31712.425534333335</v>
      </c>
      <c r="I103" s="387">
        <f t="shared" si="288"/>
        <v>-31712.425534333335</v>
      </c>
      <c r="J103" s="387">
        <f t="shared" si="288"/>
        <v>-31712.425534333335</v>
      </c>
      <c r="K103" s="387">
        <f t="shared" si="288"/>
        <v>-31712.425534333335</v>
      </c>
      <c r="L103" s="387">
        <f t="shared" si="288"/>
        <v>-31712.425534333335</v>
      </c>
      <c r="M103" s="387">
        <f t="shared" si="288"/>
        <v>-31712.425534333335</v>
      </c>
      <c r="N103" s="387">
        <f t="shared" si="288"/>
        <v>-31712.425534333335</v>
      </c>
      <c r="O103" s="387">
        <f t="shared" si="288"/>
        <v>28450.780899166675</v>
      </c>
      <c r="P103" s="387">
        <f t="shared" si="288"/>
        <v>28450.780899166675</v>
      </c>
      <c r="Q103" s="387">
        <f t="shared" si="288"/>
        <v>28450.780899166675</v>
      </c>
      <c r="R103" s="387">
        <f t="shared" si="288"/>
        <v>28450.780899166675</v>
      </c>
      <c r="S103" s="387">
        <f t="shared" si="288"/>
        <v>29184.681202895841</v>
      </c>
      <c r="T103" s="387">
        <f t="shared" si="288"/>
        <v>29184.681202895841</v>
      </c>
      <c r="U103" s="387">
        <f t="shared" si="288"/>
        <v>29184.681202895841</v>
      </c>
      <c r="V103" s="387">
        <f t="shared" si="288"/>
        <v>29184.681202895841</v>
      </c>
      <c r="W103" s="387">
        <f t="shared" si="288"/>
        <v>29184.681202895841</v>
      </c>
      <c r="X103" s="387">
        <f t="shared" si="288"/>
        <v>29184.681202895841</v>
      </c>
      <c r="Y103" s="387">
        <f t="shared" si="288"/>
        <v>29184.681202895841</v>
      </c>
      <c r="Z103" s="387">
        <f t="shared" si="288"/>
        <v>29184.681202895841</v>
      </c>
      <c r="AA103" s="387">
        <f t="shared" si="288"/>
        <v>29184.681202895841</v>
      </c>
      <c r="AB103" s="387">
        <f t="shared" si="288"/>
        <v>29184.681202895841</v>
      </c>
      <c r="AC103" s="387">
        <f t="shared" si="288"/>
        <v>29184.681202895841</v>
      </c>
      <c r="AD103" s="387">
        <f t="shared" si="288"/>
        <v>29184.681202895841</v>
      </c>
      <c r="AE103" s="387">
        <f t="shared" si="288"/>
        <v>29937.381629843228</v>
      </c>
      <c r="AF103" s="387">
        <f t="shared" si="288"/>
        <v>29937.381629843228</v>
      </c>
      <c r="AG103" s="387">
        <f t="shared" si="288"/>
        <v>29937.381629843228</v>
      </c>
      <c r="AH103" s="387">
        <f t="shared" si="288"/>
        <v>29937.381629843228</v>
      </c>
      <c r="AI103" s="387">
        <f t="shared" si="288"/>
        <v>29937.381629843228</v>
      </c>
      <c r="AJ103" s="387">
        <f t="shared" si="288"/>
        <v>29937.381629843228</v>
      </c>
      <c r="AK103" s="387">
        <f t="shared" si="288"/>
        <v>29937.381629843228</v>
      </c>
      <c r="AL103" s="387">
        <f t="shared" si="288"/>
        <v>29937.381629843228</v>
      </c>
      <c r="AM103" s="387">
        <f t="shared" si="288"/>
        <v>29937.381629843228</v>
      </c>
      <c r="AN103" s="387">
        <f t="shared" si="288"/>
        <v>29937.381629843228</v>
      </c>
      <c r="AO103" s="387">
        <f t="shared" si="288"/>
        <v>29937.381629843228</v>
      </c>
      <c r="AP103" s="387">
        <f t="shared" si="288"/>
        <v>29937.381629843228</v>
      </c>
      <c r="AQ103" s="387">
        <f t="shared" si="288"/>
        <v>30709.361235401801</v>
      </c>
      <c r="AR103" s="387">
        <f t="shared" si="288"/>
        <v>30709.361235401801</v>
      </c>
      <c r="AS103" s="387">
        <f t="shared" si="288"/>
        <v>30709.361235401801</v>
      </c>
      <c r="AT103" s="387">
        <f t="shared" si="288"/>
        <v>30709.361235401801</v>
      </c>
      <c r="AU103" s="387">
        <f t="shared" si="288"/>
        <v>30709.361235401801</v>
      </c>
      <c r="AV103" s="387">
        <f t="shared" si="288"/>
        <v>30709.361235401801</v>
      </c>
      <c r="AW103" s="387">
        <f t="shared" si="288"/>
        <v>30709.361235401801</v>
      </c>
      <c r="AX103" s="387">
        <f t="shared" si="288"/>
        <v>30709.361235401801</v>
      </c>
      <c r="AY103" s="387">
        <f t="shared" si="288"/>
        <v>30709.361235401801</v>
      </c>
      <c r="AZ103" s="387">
        <f t="shared" si="288"/>
        <v>30709.361235401801</v>
      </c>
      <c r="BA103" s="387">
        <f t="shared" si="288"/>
        <v>30709.361235401801</v>
      </c>
      <c r="BB103" s="387">
        <f t="shared" si="288"/>
        <v>30709.361235401801</v>
      </c>
      <c r="BC103" s="387">
        <f t="shared" si="288"/>
        <v>31501.1112323956</v>
      </c>
      <c r="BD103" s="387">
        <f t="shared" si="288"/>
        <v>31501.1112323956</v>
      </c>
      <c r="BE103" s="387">
        <f t="shared" si="288"/>
        <v>31501.1112323956</v>
      </c>
      <c r="BF103" s="387">
        <f t="shared" si="288"/>
        <v>31501.1112323956</v>
      </c>
      <c r="BG103" s="387">
        <f t="shared" si="288"/>
        <v>31501.1112323956</v>
      </c>
      <c r="BH103" s="387">
        <f t="shared" si="288"/>
        <v>31501.1112323956</v>
      </c>
      <c r="BI103" s="387">
        <f t="shared" si="288"/>
        <v>31501.1112323956</v>
      </c>
      <c r="BJ103" s="387">
        <f t="shared" si="288"/>
        <v>31501.1112323956</v>
      </c>
      <c r="BK103" s="387">
        <f t="shared" si="288"/>
        <v>31501.1112323956</v>
      </c>
      <c r="BL103" s="387">
        <f t="shared" si="288"/>
        <v>31501.1112323956</v>
      </c>
      <c r="BM103" s="387">
        <f t="shared" si="288"/>
        <v>31501.1112323956</v>
      </c>
      <c r="BN103" s="387">
        <f t="shared" si="288"/>
        <v>31501.1112323956</v>
      </c>
      <c r="BO103" s="387">
        <f t="shared" si="288"/>
        <v>32313.135298636411</v>
      </c>
      <c r="BP103" s="387">
        <f t="shared" si="288"/>
        <v>32313.135298636411</v>
      </c>
      <c r="BQ103" s="387">
        <f t="shared" si="288"/>
        <v>32313.135298636411</v>
      </c>
      <c r="BR103" s="387">
        <f t="shared" si="288"/>
        <v>32313.135298636411</v>
      </c>
      <c r="BS103" s="387">
        <f t="shared" ref="BS103:ED103" si="289">+BS54</f>
        <v>32313.135298636411</v>
      </c>
      <c r="BT103" s="387">
        <f t="shared" si="289"/>
        <v>32313.135298636411</v>
      </c>
      <c r="BU103" s="387">
        <f t="shared" si="289"/>
        <v>32313.135298636411</v>
      </c>
      <c r="BV103" s="387">
        <f t="shared" si="289"/>
        <v>32313.135298636411</v>
      </c>
      <c r="BW103" s="387">
        <f t="shared" si="289"/>
        <v>32313.135298636411</v>
      </c>
      <c r="BX103" s="387">
        <f t="shared" si="289"/>
        <v>32313.135298636411</v>
      </c>
      <c r="BY103" s="387">
        <f t="shared" si="289"/>
        <v>32313.135298636411</v>
      </c>
      <c r="BZ103" s="387">
        <f t="shared" si="289"/>
        <v>32313.135298636411</v>
      </c>
      <c r="CA103" s="387">
        <f t="shared" si="289"/>
        <v>33145.949892241857</v>
      </c>
      <c r="CB103" s="387">
        <f t="shared" si="289"/>
        <v>33145.949892241857</v>
      </c>
      <c r="CC103" s="387">
        <f t="shared" si="289"/>
        <v>33145.949892241857</v>
      </c>
      <c r="CD103" s="387">
        <f t="shared" si="289"/>
        <v>33145.949892241857</v>
      </c>
      <c r="CE103" s="387">
        <f t="shared" si="289"/>
        <v>33145.949892241857</v>
      </c>
      <c r="CF103" s="387">
        <f t="shared" si="289"/>
        <v>33145.949892241857</v>
      </c>
      <c r="CG103" s="387">
        <f t="shared" si="289"/>
        <v>33145.949892241857</v>
      </c>
      <c r="CH103" s="387">
        <f t="shared" si="289"/>
        <v>33145.949892241857</v>
      </c>
      <c r="CI103" s="387">
        <f t="shared" si="289"/>
        <v>33145.949892241857</v>
      </c>
      <c r="CJ103" s="387">
        <f t="shared" si="289"/>
        <v>33145.949892241857</v>
      </c>
      <c r="CK103" s="387">
        <f t="shared" si="289"/>
        <v>33145.949892241857</v>
      </c>
      <c r="CL103" s="387">
        <f t="shared" si="289"/>
        <v>33145.949892241857</v>
      </c>
      <c r="CM103" s="387">
        <f t="shared" si="289"/>
        <v>34000.08457491023</v>
      </c>
      <c r="CN103" s="387">
        <f t="shared" si="289"/>
        <v>34000.08457491023</v>
      </c>
      <c r="CO103" s="387">
        <f t="shared" si="289"/>
        <v>34000.08457491023</v>
      </c>
      <c r="CP103" s="387">
        <f t="shared" si="289"/>
        <v>34000.08457491023</v>
      </c>
      <c r="CQ103" s="387">
        <f t="shared" si="289"/>
        <v>34000.08457491023</v>
      </c>
      <c r="CR103" s="387">
        <f t="shared" si="289"/>
        <v>34000.08457491023</v>
      </c>
      <c r="CS103" s="387">
        <f t="shared" si="289"/>
        <v>34000.08457491023</v>
      </c>
      <c r="CT103" s="387">
        <f t="shared" si="289"/>
        <v>34000.08457491023</v>
      </c>
      <c r="CU103" s="387">
        <f t="shared" si="289"/>
        <v>34000.08457491023</v>
      </c>
      <c r="CV103" s="387">
        <f t="shared" si="289"/>
        <v>34000.08457491023</v>
      </c>
      <c r="CW103" s="387">
        <f t="shared" si="289"/>
        <v>34000.08457491023</v>
      </c>
      <c r="CX103" s="387">
        <f t="shared" si="289"/>
        <v>34000.08457491023</v>
      </c>
      <c r="CY103" s="387">
        <f t="shared" si="289"/>
        <v>34876.082343352566</v>
      </c>
      <c r="CZ103" s="387">
        <f t="shared" si="289"/>
        <v>34876.082343352566</v>
      </c>
      <c r="DA103" s="387">
        <f t="shared" si="289"/>
        <v>34876.082343352566</v>
      </c>
      <c r="DB103" s="387">
        <f t="shared" si="289"/>
        <v>34876.082343352566</v>
      </c>
      <c r="DC103" s="387">
        <f t="shared" si="289"/>
        <v>34876.082343352566</v>
      </c>
      <c r="DD103" s="387">
        <f t="shared" si="289"/>
        <v>34876.082343352566</v>
      </c>
      <c r="DE103" s="387">
        <f t="shared" si="289"/>
        <v>34876.082343352566</v>
      </c>
      <c r="DF103" s="387">
        <f t="shared" si="289"/>
        <v>34876.082343352566</v>
      </c>
      <c r="DG103" s="387">
        <f t="shared" si="289"/>
        <v>34876.082343352566</v>
      </c>
      <c r="DH103" s="387">
        <f t="shared" si="289"/>
        <v>34876.082343352566</v>
      </c>
      <c r="DI103" s="387">
        <f t="shared" si="289"/>
        <v>34876.082343352566</v>
      </c>
      <c r="DJ103" s="387">
        <f t="shared" si="289"/>
        <v>34876.082343352566</v>
      </c>
      <c r="DK103" s="387">
        <f t="shared" si="289"/>
        <v>35774.499969087345</v>
      </c>
      <c r="DL103" s="387">
        <f t="shared" si="289"/>
        <v>35774.499969087345</v>
      </c>
      <c r="DM103" s="387">
        <f t="shared" si="289"/>
        <v>35774.499969087345</v>
      </c>
      <c r="DN103" s="387">
        <f t="shared" si="289"/>
        <v>35774.499969087345</v>
      </c>
      <c r="DO103" s="387">
        <f t="shared" si="289"/>
        <v>35774.499969087345</v>
      </c>
      <c r="DP103" s="387">
        <f t="shared" si="289"/>
        <v>35774.499969087345</v>
      </c>
      <c r="DQ103" s="387">
        <f t="shared" si="289"/>
        <v>35774.499969087345</v>
      </c>
      <c r="DR103" s="387">
        <f t="shared" si="289"/>
        <v>35774.499969087345</v>
      </c>
      <c r="DS103" s="387">
        <f t="shared" si="289"/>
        <v>35774.499969087345</v>
      </c>
      <c r="DT103" s="387">
        <f t="shared" si="289"/>
        <v>35774.499969087345</v>
      </c>
      <c r="DU103" s="387">
        <f t="shared" si="289"/>
        <v>35774.499969087345</v>
      </c>
      <c r="DV103" s="387">
        <f t="shared" si="289"/>
        <v>7721899.3027915275</v>
      </c>
      <c r="DW103" s="387">
        <f t="shared" si="289"/>
        <v>0</v>
      </c>
      <c r="DX103" s="387">
        <f t="shared" si="289"/>
        <v>0</v>
      </c>
      <c r="DY103" s="387">
        <f t="shared" si="289"/>
        <v>0</v>
      </c>
      <c r="DZ103" s="387">
        <f t="shared" si="289"/>
        <v>0</v>
      </c>
      <c r="EA103" s="387">
        <f t="shared" si="289"/>
        <v>0</v>
      </c>
      <c r="EB103" s="387">
        <f t="shared" si="289"/>
        <v>0</v>
      </c>
      <c r="EC103" s="387">
        <f t="shared" si="289"/>
        <v>0</v>
      </c>
      <c r="ED103" s="387">
        <f t="shared" si="289"/>
        <v>0</v>
      </c>
      <c r="EE103" s="387">
        <f t="shared" ref="EE103:GC103" si="290">+EE54</f>
        <v>0</v>
      </c>
      <c r="EF103" s="387">
        <f t="shared" si="290"/>
        <v>0</v>
      </c>
      <c r="EG103" s="387">
        <f t="shared" si="290"/>
        <v>0</v>
      </c>
      <c r="EH103" s="387">
        <f t="shared" si="290"/>
        <v>0</v>
      </c>
      <c r="EI103" s="387">
        <f t="shared" si="290"/>
        <v>0</v>
      </c>
      <c r="EJ103" s="387">
        <f t="shared" si="290"/>
        <v>0</v>
      </c>
      <c r="EK103" s="387">
        <f t="shared" si="290"/>
        <v>0</v>
      </c>
      <c r="EL103" s="387">
        <f t="shared" si="290"/>
        <v>0</v>
      </c>
      <c r="EM103" s="387">
        <f t="shared" si="290"/>
        <v>0</v>
      </c>
      <c r="EN103" s="387">
        <f t="shared" si="290"/>
        <v>0</v>
      </c>
      <c r="EO103" s="387">
        <f t="shared" si="290"/>
        <v>0</v>
      </c>
      <c r="EP103" s="387">
        <f t="shared" si="290"/>
        <v>0</v>
      </c>
      <c r="EQ103" s="387">
        <f t="shared" si="290"/>
        <v>0</v>
      </c>
      <c r="ER103" s="387">
        <f t="shared" si="290"/>
        <v>0</v>
      </c>
      <c r="ES103" s="387">
        <f t="shared" si="290"/>
        <v>0</v>
      </c>
      <c r="ET103" s="387">
        <f t="shared" si="290"/>
        <v>0</v>
      </c>
      <c r="EU103" s="387">
        <f t="shared" si="290"/>
        <v>0</v>
      </c>
      <c r="EV103" s="387">
        <f t="shared" si="290"/>
        <v>0</v>
      </c>
      <c r="EW103" s="387">
        <f t="shared" si="290"/>
        <v>0</v>
      </c>
      <c r="EX103" s="387">
        <f t="shared" si="290"/>
        <v>0</v>
      </c>
      <c r="EY103" s="387">
        <f t="shared" si="290"/>
        <v>0</v>
      </c>
      <c r="EZ103" s="387">
        <f t="shared" si="290"/>
        <v>0</v>
      </c>
      <c r="FA103" s="387">
        <f t="shared" si="290"/>
        <v>0</v>
      </c>
      <c r="FB103" s="387">
        <f t="shared" si="290"/>
        <v>0</v>
      </c>
      <c r="FC103" s="387">
        <f t="shared" si="290"/>
        <v>0</v>
      </c>
      <c r="FD103" s="387">
        <f t="shared" si="290"/>
        <v>0</v>
      </c>
      <c r="FE103" s="387">
        <f t="shared" si="290"/>
        <v>0</v>
      </c>
      <c r="FF103" s="387">
        <f t="shared" si="290"/>
        <v>0</v>
      </c>
      <c r="FG103" s="387">
        <f t="shared" si="290"/>
        <v>0</v>
      </c>
      <c r="FH103" s="387">
        <f t="shared" si="290"/>
        <v>0</v>
      </c>
      <c r="FI103" s="387">
        <f t="shared" si="290"/>
        <v>0</v>
      </c>
      <c r="FJ103" s="387">
        <f t="shared" si="290"/>
        <v>0</v>
      </c>
      <c r="FK103" s="387">
        <f t="shared" si="290"/>
        <v>0</v>
      </c>
      <c r="FL103" s="387">
        <f t="shared" si="290"/>
        <v>0</v>
      </c>
      <c r="FM103" s="387">
        <f t="shared" si="290"/>
        <v>0</v>
      </c>
      <c r="FN103" s="387">
        <f t="shared" si="290"/>
        <v>0</v>
      </c>
      <c r="FO103" s="387">
        <f t="shared" si="290"/>
        <v>0</v>
      </c>
      <c r="FP103" s="387">
        <f t="shared" si="290"/>
        <v>0</v>
      </c>
      <c r="FQ103" s="387">
        <f t="shared" si="290"/>
        <v>0</v>
      </c>
      <c r="FR103" s="387">
        <f t="shared" si="290"/>
        <v>0</v>
      </c>
      <c r="FS103" s="387">
        <f t="shared" si="290"/>
        <v>0</v>
      </c>
      <c r="FT103" s="387">
        <f t="shared" si="290"/>
        <v>0</v>
      </c>
      <c r="FU103" s="387">
        <f t="shared" si="290"/>
        <v>0</v>
      </c>
      <c r="FV103" s="387">
        <f t="shared" si="290"/>
        <v>0</v>
      </c>
      <c r="FW103" s="387">
        <f t="shared" si="290"/>
        <v>0</v>
      </c>
      <c r="FX103" s="387">
        <f t="shared" si="290"/>
        <v>0</v>
      </c>
      <c r="FY103" s="387">
        <f t="shared" si="290"/>
        <v>0</v>
      </c>
      <c r="FZ103" s="387">
        <f t="shared" si="290"/>
        <v>0</v>
      </c>
      <c r="GA103" s="387">
        <f t="shared" si="290"/>
        <v>0</v>
      </c>
      <c r="GB103" s="387">
        <f t="shared" si="290"/>
        <v>0</v>
      </c>
      <c r="GC103" s="387">
        <f t="shared" si="290"/>
        <v>0</v>
      </c>
      <c r="GD103" s="387">
        <f>+GD54</f>
        <v>0</v>
      </c>
      <c r="GE103" s="387">
        <f t="shared" ref="GE103:GM103" si="291">+GE54</f>
        <v>0</v>
      </c>
      <c r="GF103" s="387">
        <f t="shared" si="291"/>
        <v>0</v>
      </c>
      <c r="GG103" s="387">
        <f t="shared" si="291"/>
        <v>0</v>
      </c>
      <c r="GH103" s="387">
        <f t="shared" si="291"/>
        <v>0</v>
      </c>
      <c r="GI103" s="387">
        <f t="shared" si="291"/>
        <v>0</v>
      </c>
      <c r="GJ103" s="387">
        <f t="shared" si="291"/>
        <v>0</v>
      </c>
      <c r="GK103" s="387">
        <f t="shared" si="291"/>
        <v>0</v>
      </c>
      <c r="GL103" s="387">
        <f t="shared" si="291"/>
        <v>0</v>
      </c>
      <c r="GM103" s="387">
        <f t="shared" si="291"/>
        <v>0</v>
      </c>
      <c r="GN103" s="615"/>
      <c r="GO103" s="615"/>
      <c r="GP103" s="615"/>
    </row>
    <row r="104" spans="2:366" ht="16" customHeight="1" x14ac:dyDescent="0.15">
      <c r="B104" s="56" t="s">
        <v>15</v>
      </c>
      <c r="D104" s="25">
        <f>XIRR(F103:INDEX(F103:XFD103,$F$5+1),F8:INDEX(F8:XFD8,$F$5+1))</f>
        <v>6.9042411446571361E-2</v>
      </c>
    </row>
    <row r="105" spans="2:366" ht="16" customHeight="1" x14ac:dyDescent="0.15">
      <c r="B105" s="56" t="s">
        <v>302</v>
      </c>
      <c r="D105" s="359">
        <f>SUMIF(F103:INDEX(F103:XFD103,$F$5+1),"&gt;0")/-SUMIF(F103:INDEX(F103:XFD103,$F$5+1),"&lt;0")</f>
        <v>1.7439120133768942</v>
      </c>
    </row>
    <row r="106" spans="2:366" ht="16" customHeight="1" x14ac:dyDescent="0.15">
      <c r="B106" s="56" t="s">
        <v>16</v>
      </c>
      <c r="D106" s="117">
        <f>XNPV(discount_rate,F103:INDEX(F103:XFD103,$F$5+1),F8:INDEX(F8:XFD8,$F$5+1))</f>
        <v>-1311782.8359429929</v>
      </c>
    </row>
    <row r="107" spans="2:366" ht="16" customHeight="1" x14ac:dyDescent="0.15">
      <c r="B107" s="385" t="s">
        <v>58</v>
      </c>
      <c r="C107" s="385"/>
      <c r="D107" s="385"/>
      <c r="E107" s="386"/>
      <c r="F107" s="387">
        <f>+F$69</f>
        <v>-2676233.4004024141</v>
      </c>
      <c r="G107" s="387">
        <f t="shared" ref="G107:BR107" si="292">+G$69</f>
        <v>0</v>
      </c>
      <c r="H107" s="387">
        <f t="shared" si="292"/>
        <v>0</v>
      </c>
      <c r="I107" s="387">
        <f t="shared" si="292"/>
        <v>0</v>
      </c>
      <c r="J107" s="387">
        <f t="shared" si="292"/>
        <v>0</v>
      </c>
      <c r="K107" s="387">
        <f t="shared" si="292"/>
        <v>0</v>
      </c>
      <c r="L107" s="387">
        <f t="shared" si="292"/>
        <v>0</v>
      </c>
      <c r="M107" s="387">
        <f t="shared" si="292"/>
        <v>0</v>
      </c>
      <c r="N107" s="387">
        <f t="shared" si="292"/>
        <v>0</v>
      </c>
      <c r="O107" s="387">
        <f t="shared" si="292"/>
        <v>9036.5163503938275</v>
      </c>
      <c r="P107" s="387">
        <f t="shared" si="292"/>
        <v>9036.5163503938275</v>
      </c>
      <c r="Q107" s="387">
        <f t="shared" si="292"/>
        <v>9036.5163503938275</v>
      </c>
      <c r="R107" s="387">
        <f t="shared" si="292"/>
        <v>9036.5163503938275</v>
      </c>
      <c r="S107" s="387">
        <f t="shared" si="292"/>
        <v>9770.4166541229934</v>
      </c>
      <c r="T107" s="387">
        <f t="shared" si="292"/>
        <v>9770.4166541229934</v>
      </c>
      <c r="U107" s="387">
        <f t="shared" si="292"/>
        <v>9770.4166541229934</v>
      </c>
      <c r="V107" s="387">
        <f t="shared" si="292"/>
        <v>9770.4166541229934</v>
      </c>
      <c r="W107" s="387">
        <f t="shared" si="292"/>
        <v>9770.4166541229934</v>
      </c>
      <c r="X107" s="387">
        <f t="shared" si="292"/>
        <v>118421.33429201599</v>
      </c>
      <c r="Y107" s="387">
        <f t="shared" si="292"/>
        <v>8590.1507348824016</v>
      </c>
      <c r="Z107" s="387">
        <f t="shared" si="292"/>
        <v>8590.1507348824016</v>
      </c>
      <c r="AA107" s="387">
        <f t="shared" si="292"/>
        <v>8590.1507348824016</v>
      </c>
      <c r="AB107" s="387">
        <f t="shared" si="292"/>
        <v>8590.1507348824016</v>
      </c>
      <c r="AC107" s="387">
        <f t="shared" si="292"/>
        <v>8590.1507348824016</v>
      </c>
      <c r="AD107" s="387">
        <f t="shared" si="292"/>
        <v>8590.1507348824052</v>
      </c>
      <c r="AE107" s="387">
        <f t="shared" si="292"/>
        <v>9342.8511618297925</v>
      </c>
      <c r="AF107" s="387">
        <f t="shared" si="292"/>
        <v>9342.8511618297889</v>
      </c>
      <c r="AG107" s="387">
        <f t="shared" si="292"/>
        <v>9342.8511618297889</v>
      </c>
      <c r="AH107" s="387">
        <f t="shared" si="292"/>
        <v>9342.8511618297925</v>
      </c>
      <c r="AI107" s="387">
        <f t="shared" si="292"/>
        <v>9342.8511618297889</v>
      </c>
      <c r="AJ107" s="387">
        <f t="shared" si="292"/>
        <v>9342.8511618297925</v>
      </c>
      <c r="AK107" s="387">
        <f t="shared" si="292"/>
        <v>9342.8511618297889</v>
      </c>
      <c r="AL107" s="387">
        <f t="shared" si="292"/>
        <v>9342.8511618297889</v>
      </c>
      <c r="AM107" s="387">
        <f t="shared" si="292"/>
        <v>9342.8511618297925</v>
      </c>
      <c r="AN107" s="387">
        <f t="shared" si="292"/>
        <v>9342.8511618297925</v>
      </c>
      <c r="AO107" s="387">
        <f t="shared" si="292"/>
        <v>9342.8511618297889</v>
      </c>
      <c r="AP107" s="387">
        <f t="shared" si="292"/>
        <v>9342.8511618297889</v>
      </c>
      <c r="AQ107" s="387">
        <f t="shared" si="292"/>
        <v>10114.830767388361</v>
      </c>
      <c r="AR107" s="387">
        <f t="shared" si="292"/>
        <v>10114.830767388361</v>
      </c>
      <c r="AS107" s="387">
        <f t="shared" si="292"/>
        <v>10114.830767388361</v>
      </c>
      <c r="AT107" s="387">
        <f t="shared" si="292"/>
        <v>10114.830767388365</v>
      </c>
      <c r="AU107" s="387">
        <f t="shared" si="292"/>
        <v>10114.830767388361</v>
      </c>
      <c r="AV107" s="387">
        <f t="shared" si="292"/>
        <v>10114.830767388361</v>
      </c>
      <c r="AW107" s="387">
        <f t="shared" si="292"/>
        <v>10114.830767388365</v>
      </c>
      <c r="AX107" s="387">
        <f t="shared" si="292"/>
        <v>10114.830767388361</v>
      </c>
      <c r="AY107" s="387">
        <f t="shared" si="292"/>
        <v>10114.830767388365</v>
      </c>
      <c r="AZ107" s="387">
        <f t="shared" si="292"/>
        <v>10114.830767388365</v>
      </c>
      <c r="BA107" s="387">
        <f t="shared" si="292"/>
        <v>10114.830767388365</v>
      </c>
      <c r="BB107" s="387">
        <f t="shared" si="292"/>
        <v>10114.830767388365</v>
      </c>
      <c r="BC107" s="387">
        <f t="shared" si="292"/>
        <v>10906.580764382164</v>
      </c>
      <c r="BD107" s="387">
        <f t="shared" si="292"/>
        <v>10906.580764382164</v>
      </c>
      <c r="BE107" s="387">
        <f t="shared" si="292"/>
        <v>10906.580764382161</v>
      </c>
      <c r="BF107" s="387">
        <f t="shared" si="292"/>
        <v>10906.580764382161</v>
      </c>
      <c r="BG107" s="387">
        <f t="shared" si="292"/>
        <v>10906.580764382161</v>
      </c>
      <c r="BH107" s="387">
        <f t="shared" si="292"/>
        <v>10906.580764382161</v>
      </c>
      <c r="BI107" s="387">
        <f t="shared" si="292"/>
        <v>10906.580764382161</v>
      </c>
      <c r="BJ107" s="387">
        <f t="shared" si="292"/>
        <v>10906.580764382161</v>
      </c>
      <c r="BK107" s="387">
        <f t="shared" si="292"/>
        <v>10906.580764382161</v>
      </c>
      <c r="BL107" s="387">
        <f t="shared" si="292"/>
        <v>10906.580764382161</v>
      </c>
      <c r="BM107" s="387">
        <f t="shared" si="292"/>
        <v>10906.580764382161</v>
      </c>
      <c r="BN107" s="387">
        <f t="shared" si="292"/>
        <v>10906.580764382164</v>
      </c>
      <c r="BO107" s="387">
        <f t="shared" si="292"/>
        <v>11718.604830622968</v>
      </c>
      <c r="BP107" s="387">
        <f t="shared" si="292"/>
        <v>11718.604830622971</v>
      </c>
      <c r="BQ107" s="387">
        <f t="shared" si="292"/>
        <v>11718.604830622971</v>
      </c>
      <c r="BR107" s="387">
        <f t="shared" si="292"/>
        <v>11718.604830622975</v>
      </c>
      <c r="BS107" s="387">
        <f t="shared" ref="BS107:ED107" si="293">+BS$69</f>
        <v>11718.604830622971</v>
      </c>
      <c r="BT107" s="387">
        <f t="shared" si="293"/>
        <v>11718.604830622971</v>
      </c>
      <c r="BU107" s="387">
        <f t="shared" si="293"/>
        <v>11718.604830622968</v>
      </c>
      <c r="BV107" s="387">
        <f t="shared" si="293"/>
        <v>11718.604830622971</v>
      </c>
      <c r="BW107" s="387">
        <f t="shared" si="293"/>
        <v>11718.604830622971</v>
      </c>
      <c r="BX107" s="387">
        <f t="shared" si="293"/>
        <v>11718.604830622971</v>
      </c>
      <c r="BY107" s="387">
        <f t="shared" si="293"/>
        <v>11718.604830622971</v>
      </c>
      <c r="BZ107" s="387">
        <f t="shared" si="293"/>
        <v>11718.604830622971</v>
      </c>
      <c r="CA107" s="387">
        <f t="shared" si="293"/>
        <v>12551.419424228414</v>
      </c>
      <c r="CB107" s="387">
        <f t="shared" si="293"/>
        <v>12551.419424228421</v>
      </c>
      <c r="CC107" s="387">
        <f t="shared" si="293"/>
        <v>12551.419424228417</v>
      </c>
      <c r="CD107" s="387">
        <f t="shared" si="293"/>
        <v>12551.419424228421</v>
      </c>
      <c r="CE107" s="387">
        <f t="shared" si="293"/>
        <v>12551.419424228417</v>
      </c>
      <c r="CF107" s="387">
        <f t="shared" si="293"/>
        <v>12551.419424228417</v>
      </c>
      <c r="CG107" s="387">
        <f t="shared" si="293"/>
        <v>12551.419424228421</v>
      </c>
      <c r="CH107" s="387">
        <f t="shared" si="293"/>
        <v>12551.419424228417</v>
      </c>
      <c r="CI107" s="387">
        <f t="shared" si="293"/>
        <v>12551.419424228421</v>
      </c>
      <c r="CJ107" s="387">
        <f t="shared" si="293"/>
        <v>12551.419424228417</v>
      </c>
      <c r="CK107" s="387">
        <f t="shared" si="293"/>
        <v>12551.419424228417</v>
      </c>
      <c r="CL107" s="387">
        <f t="shared" si="293"/>
        <v>12551.419424228421</v>
      </c>
      <c r="CM107" s="387">
        <f t="shared" si="293"/>
        <v>13405.55410689679</v>
      </c>
      <c r="CN107" s="387">
        <f t="shared" si="293"/>
        <v>13405.554106896794</v>
      </c>
      <c r="CO107" s="387">
        <f t="shared" si="293"/>
        <v>13405.55410689679</v>
      </c>
      <c r="CP107" s="387">
        <f t="shared" si="293"/>
        <v>13405.55410689679</v>
      </c>
      <c r="CQ107" s="387">
        <f t="shared" si="293"/>
        <v>13405.55410689679</v>
      </c>
      <c r="CR107" s="387">
        <f t="shared" si="293"/>
        <v>13405.55410689679</v>
      </c>
      <c r="CS107" s="387">
        <f t="shared" si="293"/>
        <v>13405.55410689679</v>
      </c>
      <c r="CT107" s="387">
        <f t="shared" si="293"/>
        <v>13405.55410689679</v>
      </c>
      <c r="CU107" s="387">
        <f t="shared" si="293"/>
        <v>13405.554106896794</v>
      </c>
      <c r="CV107" s="387">
        <f t="shared" si="293"/>
        <v>13405.55410689679</v>
      </c>
      <c r="CW107" s="387">
        <f t="shared" si="293"/>
        <v>13405.55410689679</v>
      </c>
      <c r="CX107" s="387">
        <f t="shared" si="293"/>
        <v>13405.554106896794</v>
      </c>
      <c r="CY107" s="387">
        <f t="shared" si="293"/>
        <v>14281.551875339126</v>
      </c>
      <c r="CZ107" s="387">
        <f t="shared" si="293"/>
        <v>14281.551875339126</v>
      </c>
      <c r="DA107" s="387">
        <f t="shared" si="293"/>
        <v>14281.55187533913</v>
      </c>
      <c r="DB107" s="387">
        <f t="shared" si="293"/>
        <v>14281.551875339126</v>
      </c>
      <c r="DC107" s="387">
        <f t="shared" si="293"/>
        <v>14281.551875339126</v>
      </c>
      <c r="DD107" s="387">
        <f t="shared" si="293"/>
        <v>14281.551875339126</v>
      </c>
      <c r="DE107" s="387">
        <f t="shared" si="293"/>
        <v>14281.55187533913</v>
      </c>
      <c r="DF107" s="387">
        <f t="shared" si="293"/>
        <v>14281.551875339126</v>
      </c>
      <c r="DG107" s="387">
        <f t="shared" si="293"/>
        <v>14281.551875339126</v>
      </c>
      <c r="DH107" s="387">
        <f t="shared" si="293"/>
        <v>14281.551875339126</v>
      </c>
      <c r="DI107" s="387">
        <f t="shared" si="293"/>
        <v>14281.551875339126</v>
      </c>
      <c r="DJ107" s="387">
        <f t="shared" si="293"/>
        <v>14281.551875339126</v>
      </c>
      <c r="DK107" s="387">
        <f t="shared" si="293"/>
        <v>15179.969501073909</v>
      </c>
      <c r="DL107" s="387">
        <f t="shared" si="293"/>
        <v>15179.969501073909</v>
      </c>
      <c r="DM107" s="387">
        <f t="shared" si="293"/>
        <v>15179.969501073909</v>
      </c>
      <c r="DN107" s="387">
        <f t="shared" si="293"/>
        <v>15179.969501073909</v>
      </c>
      <c r="DO107" s="387">
        <f t="shared" si="293"/>
        <v>15179.969501073909</v>
      </c>
      <c r="DP107" s="387">
        <f t="shared" si="293"/>
        <v>15179.969501073909</v>
      </c>
      <c r="DQ107" s="387">
        <f t="shared" si="293"/>
        <v>15179.969501073905</v>
      </c>
      <c r="DR107" s="387">
        <f t="shared" si="293"/>
        <v>15179.969501073901</v>
      </c>
      <c r="DS107" s="387">
        <f t="shared" si="293"/>
        <v>15179.969501073905</v>
      </c>
      <c r="DT107" s="387">
        <f t="shared" si="293"/>
        <v>15179.969501073905</v>
      </c>
      <c r="DU107" s="387">
        <f t="shared" si="293"/>
        <v>15179.969501073909</v>
      </c>
      <c r="DV107" s="387">
        <f t="shared" si="293"/>
        <v>4033743.9279504158</v>
      </c>
      <c r="DW107" s="387">
        <f t="shared" si="293"/>
        <v>0</v>
      </c>
      <c r="DX107" s="387">
        <f t="shared" si="293"/>
        <v>0</v>
      </c>
      <c r="DY107" s="387">
        <f t="shared" si="293"/>
        <v>0</v>
      </c>
      <c r="DZ107" s="387">
        <f t="shared" si="293"/>
        <v>0</v>
      </c>
      <c r="EA107" s="387">
        <f t="shared" si="293"/>
        <v>0</v>
      </c>
      <c r="EB107" s="387">
        <f t="shared" si="293"/>
        <v>0</v>
      </c>
      <c r="EC107" s="387">
        <f t="shared" si="293"/>
        <v>0</v>
      </c>
      <c r="ED107" s="387">
        <f t="shared" si="293"/>
        <v>0</v>
      </c>
      <c r="EE107" s="387">
        <f t="shared" ref="EE107:GM107" si="294">+EE$69</f>
        <v>0</v>
      </c>
      <c r="EF107" s="387">
        <f t="shared" si="294"/>
        <v>0</v>
      </c>
      <c r="EG107" s="387">
        <f t="shared" si="294"/>
        <v>0</v>
      </c>
      <c r="EH107" s="387">
        <f t="shared" si="294"/>
        <v>0</v>
      </c>
      <c r="EI107" s="387">
        <f t="shared" si="294"/>
        <v>0</v>
      </c>
      <c r="EJ107" s="387">
        <f t="shared" si="294"/>
        <v>0</v>
      </c>
      <c r="EK107" s="387">
        <f t="shared" si="294"/>
        <v>0</v>
      </c>
      <c r="EL107" s="387">
        <f t="shared" si="294"/>
        <v>0</v>
      </c>
      <c r="EM107" s="387">
        <f t="shared" si="294"/>
        <v>0</v>
      </c>
      <c r="EN107" s="387">
        <f t="shared" si="294"/>
        <v>0</v>
      </c>
      <c r="EO107" s="387">
        <f t="shared" si="294"/>
        <v>0</v>
      </c>
      <c r="EP107" s="387">
        <f t="shared" si="294"/>
        <v>0</v>
      </c>
      <c r="EQ107" s="387">
        <f t="shared" si="294"/>
        <v>0</v>
      </c>
      <c r="ER107" s="387">
        <f t="shared" si="294"/>
        <v>0</v>
      </c>
      <c r="ES107" s="387">
        <f t="shared" si="294"/>
        <v>0</v>
      </c>
      <c r="ET107" s="387">
        <f t="shared" si="294"/>
        <v>0</v>
      </c>
      <c r="EU107" s="387">
        <f t="shared" si="294"/>
        <v>0</v>
      </c>
      <c r="EV107" s="387">
        <f t="shared" si="294"/>
        <v>0</v>
      </c>
      <c r="EW107" s="387">
        <f t="shared" si="294"/>
        <v>0</v>
      </c>
      <c r="EX107" s="387">
        <f t="shared" si="294"/>
        <v>0</v>
      </c>
      <c r="EY107" s="387">
        <f t="shared" si="294"/>
        <v>0</v>
      </c>
      <c r="EZ107" s="387">
        <f t="shared" si="294"/>
        <v>0</v>
      </c>
      <c r="FA107" s="387">
        <f t="shared" si="294"/>
        <v>0</v>
      </c>
      <c r="FB107" s="387">
        <f t="shared" si="294"/>
        <v>0</v>
      </c>
      <c r="FC107" s="387">
        <f t="shared" si="294"/>
        <v>0</v>
      </c>
      <c r="FD107" s="387">
        <f t="shared" si="294"/>
        <v>0</v>
      </c>
      <c r="FE107" s="387">
        <f t="shared" si="294"/>
        <v>0</v>
      </c>
      <c r="FF107" s="387">
        <f t="shared" si="294"/>
        <v>0</v>
      </c>
      <c r="FG107" s="387">
        <f t="shared" si="294"/>
        <v>0</v>
      </c>
      <c r="FH107" s="387">
        <f t="shared" si="294"/>
        <v>0</v>
      </c>
      <c r="FI107" s="387">
        <f t="shared" si="294"/>
        <v>0</v>
      </c>
      <c r="FJ107" s="387">
        <f t="shared" si="294"/>
        <v>0</v>
      </c>
      <c r="FK107" s="387">
        <f t="shared" si="294"/>
        <v>0</v>
      </c>
      <c r="FL107" s="387">
        <f t="shared" si="294"/>
        <v>0</v>
      </c>
      <c r="FM107" s="387">
        <f t="shared" si="294"/>
        <v>0</v>
      </c>
      <c r="FN107" s="387">
        <f t="shared" si="294"/>
        <v>0</v>
      </c>
      <c r="FO107" s="387">
        <f t="shared" si="294"/>
        <v>0</v>
      </c>
      <c r="FP107" s="387">
        <f t="shared" si="294"/>
        <v>0</v>
      </c>
      <c r="FQ107" s="387">
        <f t="shared" si="294"/>
        <v>0</v>
      </c>
      <c r="FR107" s="387">
        <f t="shared" si="294"/>
        <v>0</v>
      </c>
      <c r="FS107" s="387">
        <f t="shared" si="294"/>
        <v>0</v>
      </c>
      <c r="FT107" s="387">
        <f t="shared" si="294"/>
        <v>0</v>
      </c>
      <c r="FU107" s="387">
        <f t="shared" si="294"/>
        <v>0</v>
      </c>
      <c r="FV107" s="387">
        <f t="shared" si="294"/>
        <v>0</v>
      </c>
      <c r="FW107" s="387">
        <f t="shared" si="294"/>
        <v>0</v>
      </c>
      <c r="FX107" s="387">
        <f t="shared" si="294"/>
        <v>0</v>
      </c>
      <c r="FY107" s="387">
        <f t="shared" si="294"/>
        <v>0</v>
      </c>
      <c r="FZ107" s="387">
        <f t="shared" si="294"/>
        <v>0</v>
      </c>
      <c r="GA107" s="387">
        <f t="shared" si="294"/>
        <v>0</v>
      </c>
      <c r="GB107" s="387">
        <f t="shared" si="294"/>
        <v>0</v>
      </c>
      <c r="GC107" s="387">
        <f t="shared" si="294"/>
        <v>0</v>
      </c>
      <c r="GD107" s="387">
        <f t="shared" si="294"/>
        <v>0</v>
      </c>
      <c r="GE107" s="387">
        <f t="shared" si="294"/>
        <v>0</v>
      </c>
      <c r="GF107" s="387">
        <f t="shared" si="294"/>
        <v>0</v>
      </c>
      <c r="GG107" s="387">
        <f t="shared" si="294"/>
        <v>0</v>
      </c>
      <c r="GH107" s="387">
        <f t="shared" si="294"/>
        <v>0</v>
      </c>
      <c r="GI107" s="387">
        <f t="shared" si="294"/>
        <v>0</v>
      </c>
      <c r="GJ107" s="387">
        <f t="shared" si="294"/>
        <v>0</v>
      </c>
      <c r="GK107" s="387">
        <f t="shared" si="294"/>
        <v>0</v>
      </c>
      <c r="GL107" s="387">
        <f t="shared" si="294"/>
        <v>0</v>
      </c>
      <c r="GM107" s="387">
        <f t="shared" si="294"/>
        <v>0</v>
      </c>
      <c r="GN107" s="615"/>
      <c r="GO107" s="615"/>
      <c r="GP107" s="615"/>
    </row>
    <row r="108" spans="2:366" ht="16" customHeight="1" x14ac:dyDescent="0.15">
      <c r="B108" s="56" t="s">
        <v>15</v>
      </c>
      <c r="D108" s="25">
        <f>XIRR(F107:INDEX(F107:XFD107,$F$5+1),F8:INDEX(F8:XFD8,$F$5+1))</f>
        <v>8.6626896262168906E-2</v>
      </c>
    </row>
    <row r="109" spans="2:366" ht="16" customHeight="1" x14ac:dyDescent="0.15">
      <c r="B109" s="56" t="s">
        <v>302</v>
      </c>
      <c r="D109" s="359">
        <f>SUMIF(F107:INDEX(F107:XFD107,$F$5+1),"&gt;0")/-SUMIF(F107:INDEX(F107:XFD107,$F$5+1),"&lt;0")</f>
        <v>2.0340306246030173</v>
      </c>
    </row>
    <row r="110" spans="2:366" ht="16" customHeight="1" x14ac:dyDescent="0.15">
      <c r="B110" s="56" t="s">
        <v>16</v>
      </c>
      <c r="D110" s="117">
        <f>XNPV(discount_rate,F107:INDEX(F107:XFD107,$F$5+1),F8:INDEX(F8:XFD8,$F$5+1))</f>
        <v>-254484.31127593061</v>
      </c>
    </row>
  </sheetData>
  <conditionalFormatting sqref="F7:XFD7">
    <cfRule type="cellIs" dxfId="3" priority="5" operator="lessThanOrEqual">
      <formula>$F$5</formula>
    </cfRule>
  </conditionalFormatting>
  <conditionalFormatting sqref="F16:GD19">
    <cfRule type="cellIs" dxfId="2" priority="3" operator="greaterThan">
      <formula>0</formula>
    </cfRule>
  </conditionalFormatting>
  <conditionalFormatting sqref="GE16:GP19">
    <cfRule type="cellIs" dxfId="1" priority="1" operator="greaterThan">
      <formula>0</formula>
    </cfRule>
  </conditionalFormatting>
  <pageMargins left="0.7" right="0.7" top="0.75" bottom="0.75" header="0.3" footer="0.3"/>
  <pageSetup paperSize="9"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93189-9478-4F43-9EE7-D124353D7346}">
  <sheetPr codeName="Sheet7">
    <tabColor rgb="FFFFFF99"/>
  </sheetPr>
  <dimension ref="A2:AY51"/>
  <sheetViews>
    <sheetView showGridLines="0" zoomScale="120" zoomScaleNormal="120" workbookViewId="0">
      <pane xSplit="4" ySplit="9" topLeftCell="E10" activePane="bottomRight" state="frozen"/>
      <selection pane="topRight" activeCell="D1" sqref="D1"/>
      <selection pane="bottomLeft" activeCell="A8" sqref="A8"/>
      <selection pane="bottomRight"/>
    </sheetView>
  </sheetViews>
  <sheetFormatPr baseColWidth="10" defaultColWidth="0" defaultRowHeight="11" x14ac:dyDescent="0.15"/>
  <cols>
    <col min="1" max="1" width="10.75" customWidth="1"/>
    <col min="2" max="2" width="42.25" bestFit="1" customWidth="1"/>
    <col min="3" max="3" width="19.75" customWidth="1"/>
    <col min="4" max="4" width="14.25" style="30" bestFit="1" customWidth="1"/>
    <col min="5" max="5" width="6.5" style="30" customWidth="1"/>
    <col min="6" max="6" width="18.75" customWidth="1"/>
    <col min="7" max="8" width="18.75" style="6" customWidth="1"/>
    <col min="9" max="9" width="21.25" style="6" bestFit="1" customWidth="1"/>
    <col min="10" max="13" width="18.75" style="6" customWidth="1"/>
    <col min="14" max="14" width="16.75" style="6" customWidth="1"/>
    <col min="15" max="23" width="16.75" customWidth="1"/>
    <col min="24" max="26" width="16.75" hidden="1" customWidth="1"/>
    <col min="27" max="35" width="13" hidden="1" customWidth="1"/>
    <col min="36" max="36" width="14.5" hidden="1" customWidth="1"/>
    <col min="37" max="37" width="10.75" hidden="1" customWidth="1"/>
    <col min="38" max="38" width="16" hidden="1" customWidth="1"/>
    <col min="39" max="51" width="0" hidden="1" customWidth="1"/>
    <col min="52" max="16384" width="10.75" hidden="1"/>
  </cols>
  <sheetData>
    <row r="2" spans="2:51" ht="16" x14ac:dyDescent="0.2">
      <c r="B2" s="18" t="str">
        <f>'Assumptions_&amp;_Inputs'!$E$14&amp;" Annual P&amp;L"</f>
        <v>2480 Dundas St W Annual P&amp;L</v>
      </c>
      <c r="C2" s="18"/>
    </row>
    <row r="3" spans="2:51" x14ac:dyDescent="0.15">
      <c r="B3" s="138" t="s">
        <v>182</v>
      </c>
      <c r="C3" s="138"/>
      <c r="I3" s="56"/>
      <c r="J3" s="110"/>
      <c r="N3" s="111"/>
    </row>
    <row r="4" spans="2:51" x14ac:dyDescent="0.15">
      <c r="B4" s="138"/>
      <c r="C4" s="138"/>
      <c r="I4" s="56"/>
      <c r="N4" s="111"/>
    </row>
    <row r="5" spans="2:51" x14ac:dyDescent="0.15">
      <c r="B5" s="3" t="s">
        <v>59</v>
      </c>
      <c r="C5" s="3"/>
      <c r="F5" s="339">
        <f>hold_length</f>
        <v>10</v>
      </c>
      <c r="G5" s="6" t="s">
        <v>82</v>
      </c>
      <c r="H5" s="6" t="str">
        <f>SUBSTITUTE(ADDRESS(1,F5+5,4),"1","")</f>
        <v>O</v>
      </c>
      <c r="I5" s="407" t="s">
        <v>237</v>
      </c>
      <c r="J5" s="108">
        <f>INDEX($B$8:$V$26,MATCH("NOI",$B$8:$B$26,0),MATCH($F$5+1,$B$8:$V$8,0))</f>
        <v>440350.9001617023</v>
      </c>
      <c r="K5" s="28" t="s">
        <v>47</v>
      </c>
      <c r="L5" s="109">
        <f>$J$5/exit_cap_rate</f>
        <v>8006380.0029400419</v>
      </c>
    </row>
    <row r="6" spans="2:51" x14ac:dyDescent="0.15">
      <c r="F6" s="6"/>
    </row>
    <row r="7" spans="2:51" x14ac:dyDescent="0.15">
      <c r="F7" s="314" t="s">
        <v>61</v>
      </c>
    </row>
    <row r="8" spans="2:51" x14ac:dyDescent="0.15">
      <c r="B8" s="57" t="s">
        <v>60</v>
      </c>
      <c r="C8" s="57"/>
      <c r="D8" s="347"/>
      <c r="E8" s="347"/>
      <c r="F8" s="419">
        <v>0</v>
      </c>
      <c r="G8" s="58">
        <v>1</v>
      </c>
      <c r="H8" s="58">
        <f>G8+1</f>
        <v>2</v>
      </c>
      <c r="I8" s="58">
        <f t="shared" ref="I8:V8" si="0">H8+1</f>
        <v>3</v>
      </c>
      <c r="J8" s="58">
        <f t="shared" si="0"/>
        <v>4</v>
      </c>
      <c r="K8" s="58">
        <f t="shared" si="0"/>
        <v>5</v>
      </c>
      <c r="L8" s="58">
        <f t="shared" si="0"/>
        <v>6</v>
      </c>
      <c r="M8" s="58">
        <f t="shared" si="0"/>
        <v>7</v>
      </c>
      <c r="N8" s="58">
        <f t="shared" si="0"/>
        <v>8</v>
      </c>
      <c r="O8" s="58">
        <f t="shared" si="0"/>
        <v>9</v>
      </c>
      <c r="P8" s="58">
        <f t="shared" si="0"/>
        <v>10</v>
      </c>
      <c r="Q8" s="58">
        <f t="shared" si="0"/>
        <v>11</v>
      </c>
      <c r="R8" s="58">
        <f t="shared" si="0"/>
        <v>12</v>
      </c>
      <c r="S8" s="58">
        <f t="shared" si="0"/>
        <v>13</v>
      </c>
      <c r="T8" s="58">
        <f t="shared" si="0"/>
        <v>14</v>
      </c>
      <c r="U8" s="340">
        <f t="shared" si="0"/>
        <v>15</v>
      </c>
      <c r="V8" s="58">
        <f t="shared" si="0"/>
        <v>16</v>
      </c>
      <c r="W8" s="103"/>
      <c r="X8" s="103"/>
      <c r="Y8" s="103"/>
      <c r="Z8" s="103"/>
      <c r="AA8" s="103"/>
      <c r="AB8" s="103"/>
      <c r="AC8" s="103"/>
      <c r="AD8" s="103"/>
      <c r="AE8" s="103"/>
      <c r="AF8" s="103"/>
      <c r="AG8" s="103"/>
      <c r="AH8" s="103"/>
      <c r="AI8" s="103"/>
      <c r="AJ8" s="103"/>
      <c r="AK8" s="103"/>
      <c r="AL8" s="103"/>
      <c r="AM8" s="103"/>
      <c r="AN8" s="103"/>
      <c r="AO8" s="103"/>
      <c r="AP8" s="103"/>
      <c r="AQ8" s="103"/>
      <c r="AR8" s="103"/>
      <c r="AS8" s="103"/>
      <c r="AT8" s="103"/>
      <c r="AU8" s="103"/>
      <c r="AV8" s="103"/>
      <c r="AW8" s="103"/>
      <c r="AX8" s="103"/>
      <c r="AY8" s="103"/>
    </row>
    <row r="9" spans="2:51" x14ac:dyDescent="0.15">
      <c r="B9" s="49" t="s">
        <v>40</v>
      </c>
      <c r="C9" s="340" t="s">
        <v>141</v>
      </c>
      <c r="D9" s="348"/>
      <c r="E9" s="348"/>
      <c r="F9" s="54">
        <f>purchase_date</f>
        <v>46266</v>
      </c>
      <c r="G9" s="54">
        <f>EDATE(F9,12)</f>
        <v>46631</v>
      </c>
      <c r="H9" s="54">
        <f>EDATE(G9,12)</f>
        <v>46997</v>
      </c>
      <c r="I9" s="54">
        <f t="shared" ref="I9:V9" si="1">EDATE(H9,12)</f>
        <v>47362</v>
      </c>
      <c r="J9" s="54">
        <f t="shared" si="1"/>
        <v>47727</v>
      </c>
      <c r="K9" s="54">
        <f t="shared" si="1"/>
        <v>48092</v>
      </c>
      <c r="L9" s="54">
        <f t="shared" si="1"/>
        <v>48458</v>
      </c>
      <c r="M9" s="54">
        <f t="shared" si="1"/>
        <v>48823</v>
      </c>
      <c r="N9" s="54">
        <f t="shared" si="1"/>
        <v>49188</v>
      </c>
      <c r="O9" s="54">
        <f t="shared" si="1"/>
        <v>49553</v>
      </c>
      <c r="P9" s="54">
        <f t="shared" si="1"/>
        <v>49919</v>
      </c>
      <c r="Q9" s="54">
        <f t="shared" si="1"/>
        <v>50284</v>
      </c>
      <c r="R9" s="54">
        <f t="shared" si="1"/>
        <v>50649</v>
      </c>
      <c r="S9" s="54">
        <f t="shared" si="1"/>
        <v>51014</v>
      </c>
      <c r="T9" s="54">
        <f t="shared" si="1"/>
        <v>51380</v>
      </c>
      <c r="U9" s="54">
        <f t="shared" si="1"/>
        <v>51745</v>
      </c>
      <c r="V9" s="54">
        <f t="shared" si="1"/>
        <v>52110</v>
      </c>
      <c r="W9" s="343"/>
      <c r="X9" s="343"/>
      <c r="Y9" s="343"/>
      <c r="Z9" s="343"/>
      <c r="AA9" s="343"/>
      <c r="AB9" s="343"/>
      <c r="AC9" s="343"/>
      <c r="AD9" s="343"/>
      <c r="AE9" s="343"/>
      <c r="AF9" s="343"/>
      <c r="AG9" s="343"/>
      <c r="AH9" s="343"/>
      <c r="AI9" s="343"/>
      <c r="AJ9" s="343"/>
      <c r="AK9" s="103"/>
    </row>
    <row r="10" spans="2:51" x14ac:dyDescent="0.15">
      <c r="B10" s="31" t="s">
        <v>284</v>
      </c>
      <c r="C10" s="312" t="s">
        <v>150</v>
      </c>
      <c r="F10" s="31"/>
      <c r="G10" s="52">
        <f>SUMIFS('Monthly_P&amp;L'!$G$29:$XFD$29,'Monthly_P&amp;L'!$G$14:$XFD$14,G$8)</f>
        <v>448561.64000000007</v>
      </c>
      <c r="H10" s="52">
        <f>SUMIFS('Monthly_P&amp;L'!$G$29:$XFD$29,'Monthly_P&amp;L'!$G$14:$XFD$14,H$8)</f>
        <v>475046.29500000016</v>
      </c>
      <c r="I10" s="52">
        <f>SUMIFS('Monthly_P&amp;L'!$G$29:$XFD$29,'Monthly_P&amp;L'!$G$14:$XFD$14,I$8)</f>
        <v>486922.45237499994</v>
      </c>
      <c r="J10" s="52">
        <f>SUMIFS('Monthly_P&amp;L'!$G$29:$XFD$29,'Monthly_P&amp;L'!$G$14:$XFD$14,J$8)</f>
        <v>499095.51368437492</v>
      </c>
      <c r="K10" s="52">
        <f>SUMIFS('Monthly_P&amp;L'!$G$29:$XFD$29,'Monthly_P&amp;L'!$G$14:$XFD$14,K$8)</f>
        <v>511572.90152648435</v>
      </c>
      <c r="L10" s="52">
        <f>SUMIFS('Monthly_P&amp;L'!$G$29:$XFD$29,'Monthly_P&amp;L'!$G$14:$XFD$14,L$8)</f>
        <v>524362.22406464629</v>
      </c>
      <c r="M10" s="52">
        <f>SUMIFS('Monthly_P&amp;L'!$G$29:$XFD$29,'Monthly_P&amp;L'!$G$14:$XFD$14,M$8)</f>
        <v>537471.27966626233</v>
      </c>
      <c r="N10" s="52">
        <f>SUMIFS('Monthly_P&amp;L'!$G$29:$XFD$29,'Monthly_P&amp;L'!$G$14:$XFD$14,N$8)</f>
        <v>550908.06165791885</v>
      </c>
      <c r="O10" s="52">
        <f>SUMIFS('Monthly_P&amp;L'!$G$29:$XFD$29,'Monthly_P&amp;L'!$G$14:$XFD$14,O$8)</f>
        <v>564680.76319936675</v>
      </c>
      <c r="P10" s="52">
        <f>SUMIFS('Monthly_P&amp;L'!$G$29:$XFD$29,'Monthly_P&amp;L'!$G$14:$XFD$14,P$8)</f>
        <v>578797.78227935091</v>
      </c>
      <c r="Q10" s="52">
        <f>SUMIFS('Monthly_P&amp;L'!$G$29:$XFD$29,'Monthly_P&amp;L'!$G$14:$XFD$14,Q$8)</f>
        <v>593267.72683633468</v>
      </c>
      <c r="R10" s="52">
        <f>SUMIFS('Monthly_P&amp;L'!$G$29:$XFD$29,'Monthly_P&amp;L'!$G$14:$XFD$14,R$8)</f>
        <v>608099.42000724282</v>
      </c>
      <c r="S10" s="52">
        <f>SUMIFS('Monthly_P&amp;L'!$G$29:$XFD$29,'Monthly_P&amp;L'!$G$14:$XFD$14,S$8)</f>
        <v>623301.9055074238</v>
      </c>
      <c r="T10" s="52">
        <f>SUMIFS('Monthly_P&amp;L'!$G$29:$XFD$29,'Monthly_P&amp;L'!$G$14:$XFD$14,T$8)</f>
        <v>638884.45314510947</v>
      </c>
      <c r="U10" s="341">
        <f>SUMIFS('Monthly_P&amp;L'!$G$29:$XFD$29,'Monthly_P&amp;L'!$G$14:$XFD$14,U$8)</f>
        <v>654856.56447373703</v>
      </c>
      <c r="V10" s="52">
        <f>SUMIFS('Monthly_P&amp;L'!$G$29:$XFD$29,'Monthly_P&amp;L'!$G$14:$XFD$14,V$8)</f>
        <v>503420.98393918521</v>
      </c>
      <c r="W10" s="344"/>
      <c r="X10" s="344"/>
      <c r="Y10" s="344"/>
      <c r="Z10" s="344"/>
      <c r="AA10" s="344"/>
      <c r="AB10" s="344"/>
      <c r="AC10" s="344"/>
      <c r="AD10" s="344"/>
      <c r="AE10" s="344"/>
      <c r="AF10" s="344"/>
      <c r="AG10" s="344"/>
      <c r="AH10" s="344"/>
      <c r="AI10" s="344"/>
      <c r="AJ10" s="344"/>
    </row>
    <row r="11" spans="2:51" x14ac:dyDescent="0.15">
      <c r="B11" s="43" t="s">
        <v>285</v>
      </c>
      <c r="C11" s="313" t="s">
        <v>150</v>
      </c>
      <c r="D11" s="123"/>
      <c r="E11" s="123"/>
      <c r="F11" s="43"/>
      <c r="G11" s="53">
        <f>SUMIFS('Monthly_P&amp;L'!$G$30:$XFD$30,'Monthly_P&amp;L'!$G$14:$XFD$14,G$8)</f>
        <v>6000</v>
      </c>
      <c r="H11" s="53">
        <f>SUMIFS('Monthly_P&amp;L'!$G$30:$XFD$30,'Monthly_P&amp;L'!$G$14:$XFD$14,H$8)</f>
        <v>6150</v>
      </c>
      <c r="I11" s="53">
        <f>SUMIFS('Monthly_P&amp;L'!$G$30:$XFD$30,'Monthly_P&amp;L'!$G$14:$XFD$14,I$8)</f>
        <v>6303.75</v>
      </c>
      <c r="J11" s="53">
        <f>SUMIFS('Monthly_P&amp;L'!$G$30:$XFD$30,'Monthly_P&amp;L'!$G$14:$XFD$14,J$8)</f>
        <v>6461.34375</v>
      </c>
      <c r="K11" s="53">
        <f>SUMIFS('Monthly_P&amp;L'!$G$30:$XFD$30,'Monthly_P&amp;L'!$G$14:$XFD$14,K$8)</f>
        <v>6622.8773437500013</v>
      </c>
      <c r="L11" s="53">
        <f>SUMIFS('Monthly_P&amp;L'!$G$30:$XFD$30,'Monthly_P&amp;L'!$G$14:$XFD$14,L$8)</f>
        <v>6788.4492773437487</v>
      </c>
      <c r="M11" s="53">
        <f>SUMIFS('Monthly_P&amp;L'!$G$30:$XFD$30,'Monthly_P&amp;L'!$G$14:$XFD$14,M$8)</f>
        <v>6958.1605092773398</v>
      </c>
      <c r="N11" s="53">
        <f>SUMIFS('Monthly_P&amp;L'!$G$30:$XFD$30,'Monthly_P&amp;L'!$G$14:$XFD$14,N$8)</f>
        <v>7132.1145220092758</v>
      </c>
      <c r="O11" s="53">
        <f>SUMIFS('Monthly_P&amp;L'!$G$30:$XFD$30,'Monthly_P&amp;L'!$G$14:$XFD$14,O$8)</f>
        <v>7310.4173850595043</v>
      </c>
      <c r="P11" s="53">
        <f>SUMIFS('Monthly_P&amp;L'!$G$30:$XFD$30,'Monthly_P&amp;L'!$G$14:$XFD$14,P$8)</f>
        <v>7493.1778196859932</v>
      </c>
      <c r="Q11" s="53">
        <f>SUMIFS('Monthly_P&amp;L'!$G$30:$XFD$30,'Monthly_P&amp;L'!$G$14:$XFD$14,Q$8)</f>
        <v>7680.507265178142</v>
      </c>
      <c r="R11" s="53">
        <f>SUMIFS('Monthly_P&amp;L'!$G$30:$XFD$30,'Monthly_P&amp;L'!$G$14:$XFD$14,R$8)</f>
        <v>7872.5199468075916</v>
      </c>
      <c r="S11" s="53">
        <f>SUMIFS('Monthly_P&amp;L'!$G$30:$XFD$30,'Monthly_P&amp;L'!$G$14:$XFD$14,S$8)</f>
        <v>8069.3329454777813</v>
      </c>
      <c r="T11" s="53">
        <f>SUMIFS('Monthly_P&amp;L'!$G$30:$XFD$30,'Monthly_P&amp;L'!$G$14:$XFD$14,T$8)</f>
        <v>8271.0662691147245</v>
      </c>
      <c r="U11" s="402">
        <f>SUMIFS('Monthly_P&amp;L'!$G$30:$XFD$30,'Monthly_P&amp;L'!$G$14:$XFD$14,U$8)</f>
        <v>8477.8429258425949</v>
      </c>
      <c r="V11" s="53">
        <f>SUMIFS('Monthly_P&amp;L'!$G$30:$XFD$30,'Monthly_P&amp;L'!$G$14:$XFD$14,V$8)</f>
        <v>6517.3417492414919</v>
      </c>
      <c r="W11" s="344"/>
      <c r="X11" s="344"/>
      <c r="Y11" s="344"/>
      <c r="Z11" s="344"/>
      <c r="AA11" s="344"/>
      <c r="AB11" s="344"/>
      <c r="AC11" s="344"/>
      <c r="AD11" s="344"/>
      <c r="AE11" s="344"/>
      <c r="AF11" s="344"/>
      <c r="AG11" s="344"/>
      <c r="AH11" s="344"/>
      <c r="AI11" s="344"/>
      <c r="AJ11" s="344"/>
    </row>
    <row r="12" spans="2:51" x14ac:dyDescent="0.15">
      <c r="B12" s="3" t="s">
        <v>112</v>
      </c>
      <c r="C12" s="3"/>
      <c r="D12" s="55"/>
      <c r="E12" s="55"/>
      <c r="F12" s="3"/>
      <c r="G12" s="346">
        <f>SUM(G10:G11)</f>
        <v>454561.64000000007</v>
      </c>
      <c r="H12" s="346">
        <f t="shared" ref="H12:V12" si="2">SUM(H10:H11)</f>
        <v>481196.29500000016</v>
      </c>
      <c r="I12" s="346">
        <f t="shared" si="2"/>
        <v>493226.20237499994</v>
      </c>
      <c r="J12" s="346">
        <f t="shared" si="2"/>
        <v>505556.85743437492</v>
      </c>
      <c r="K12" s="346">
        <f t="shared" si="2"/>
        <v>518195.77887023432</v>
      </c>
      <c r="L12" s="346">
        <f t="shared" si="2"/>
        <v>531150.67334198998</v>
      </c>
      <c r="M12" s="346">
        <f t="shared" si="2"/>
        <v>544429.4401755397</v>
      </c>
      <c r="N12" s="346">
        <f t="shared" si="2"/>
        <v>558040.17617992812</v>
      </c>
      <c r="O12" s="346">
        <f t="shared" si="2"/>
        <v>571991.18058442627</v>
      </c>
      <c r="P12" s="346">
        <f t="shared" si="2"/>
        <v>586290.96009903692</v>
      </c>
      <c r="Q12" s="346">
        <f t="shared" si="2"/>
        <v>600948.23410151282</v>
      </c>
      <c r="R12" s="346">
        <f t="shared" si="2"/>
        <v>615971.93995405047</v>
      </c>
      <c r="S12" s="346">
        <f t="shared" si="2"/>
        <v>631371.2384529016</v>
      </c>
      <c r="T12" s="346">
        <f t="shared" si="2"/>
        <v>647155.5194142242</v>
      </c>
      <c r="U12" s="400">
        <f t="shared" si="2"/>
        <v>663334.40739957965</v>
      </c>
      <c r="V12" s="346">
        <f t="shared" si="2"/>
        <v>509938.32568842673</v>
      </c>
      <c r="W12" s="344"/>
      <c r="X12" s="344"/>
      <c r="Y12" s="344"/>
      <c r="Z12" s="344"/>
      <c r="AA12" s="344"/>
      <c r="AB12" s="344"/>
      <c r="AC12" s="344"/>
      <c r="AD12" s="344"/>
      <c r="AE12" s="344"/>
      <c r="AF12" s="344"/>
      <c r="AG12" s="344"/>
      <c r="AH12" s="344"/>
      <c r="AI12" s="344"/>
      <c r="AJ12" s="344"/>
    </row>
    <row r="13" spans="2:51" x14ac:dyDescent="0.15">
      <c r="B13" s="391" t="s">
        <v>308</v>
      </c>
      <c r="C13" s="312" t="s">
        <v>155</v>
      </c>
      <c r="D13" s="55"/>
      <c r="E13" s="55"/>
      <c r="F13" s="3"/>
      <c r="G13" s="392">
        <f>IF(G$8=1,0,IFERROR(G10/F10-1,0))</f>
        <v>0</v>
      </c>
      <c r="H13" s="392">
        <f t="shared" ref="H13:V13" si="3">IF(H$8=1,0,IFERROR(H10/G10-1,0))</f>
        <v>5.9043512949524812E-2</v>
      </c>
      <c r="I13" s="392">
        <f t="shared" si="3"/>
        <v>2.4999999999999467E-2</v>
      </c>
      <c r="J13" s="392">
        <f t="shared" si="3"/>
        <v>2.4999999999999911E-2</v>
      </c>
      <c r="K13" s="392">
        <f t="shared" si="3"/>
        <v>2.5000000000000133E-2</v>
      </c>
      <c r="L13" s="392">
        <f t="shared" si="3"/>
        <v>2.4999999999999689E-2</v>
      </c>
      <c r="M13" s="392">
        <f t="shared" si="3"/>
        <v>2.4999999999999689E-2</v>
      </c>
      <c r="N13" s="392">
        <f t="shared" si="3"/>
        <v>2.4999999999999911E-2</v>
      </c>
      <c r="O13" s="392">
        <f t="shared" si="3"/>
        <v>2.4999999999999911E-2</v>
      </c>
      <c r="P13" s="392">
        <f t="shared" si="3"/>
        <v>2.4999999999999911E-2</v>
      </c>
      <c r="Q13" s="392">
        <f t="shared" si="3"/>
        <v>2.4999999999999911E-2</v>
      </c>
      <c r="R13" s="392">
        <f t="shared" si="3"/>
        <v>2.4999999999999689E-2</v>
      </c>
      <c r="S13" s="392">
        <f t="shared" si="3"/>
        <v>2.4999999999999911E-2</v>
      </c>
      <c r="T13" s="392">
        <f t="shared" si="3"/>
        <v>2.5000000000000133E-2</v>
      </c>
      <c r="U13" s="401">
        <f t="shared" si="3"/>
        <v>2.4999999999999689E-2</v>
      </c>
      <c r="V13" s="392">
        <f t="shared" si="3"/>
        <v>-0.23125000000000018</v>
      </c>
      <c r="W13" s="344"/>
      <c r="X13" s="344"/>
      <c r="Y13" s="344"/>
      <c r="Z13" s="344"/>
      <c r="AA13" s="344"/>
      <c r="AB13" s="344"/>
      <c r="AC13" s="344"/>
      <c r="AD13" s="344"/>
      <c r="AE13" s="344"/>
      <c r="AF13" s="344"/>
      <c r="AG13" s="344"/>
      <c r="AH13" s="344"/>
      <c r="AI13" s="344"/>
      <c r="AJ13" s="344"/>
    </row>
    <row r="14" spans="2:51" x14ac:dyDescent="0.15">
      <c r="B14" s="31"/>
      <c r="C14" s="31"/>
      <c r="F14" s="31"/>
      <c r="G14" s="52"/>
      <c r="H14" s="52"/>
      <c r="I14" s="52"/>
      <c r="J14" s="52"/>
      <c r="K14" s="52"/>
      <c r="L14" s="52"/>
      <c r="M14" s="52"/>
      <c r="N14" s="52"/>
      <c r="O14" s="52"/>
      <c r="P14" s="52"/>
      <c r="Q14" s="52"/>
      <c r="R14" s="52"/>
      <c r="S14" s="52"/>
      <c r="T14" s="52"/>
      <c r="U14" s="341"/>
      <c r="V14" s="52"/>
      <c r="W14" s="344"/>
      <c r="X14" s="344"/>
      <c r="Y14" s="344"/>
      <c r="Z14" s="344"/>
      <c r="AA14" s="344"/>
      <c r="AB14" s="344"/>
      <c r="AC14" s="344"/>
      <c r="AD14" s="344"/>
      <c r="AE14" s="344"/>
      <c r="AF14" s="344"/>
      <c r="AG14" s="344"/>
      <c r="AH14" s="344"/>
      <c r="AI14" s="344"/>
      <c r="AJ14" s="344"/>
    </row>
    <row r="15" spans="2:51" x14ac:dyDescent="0.15">
      <c r="B15" t="s">
        <v>315</v>
      </c>
      <c r="C15" s="312" t="s">
        <v>150</v>
      </c>
      <c r="D15" s="393">
        <f>vacancy_allowance</f>
        <v>0.03</v>
      </c>
      <c r="E15" s="393"/>
      <c r="G15" s="341">
        <f>SUMIFS('Monthly_P&amp;L'!$G$32:$XFD$32,'Monthly_P&amp;L'!$G$14:$XFD$14,G$8)</f>
        <v>-13456.849199999997</v>
      </c>
      <c r="H15" s="341">
        <f>SUMIFS('Monthly_P&amp;L'!$G$32:$XFD$32,'Monthly_P&amp;L'!$G$14:$XFD$14,H$8)</f>
        <v>-14251.388850000001</v>
      </c>
      <c r="I15" s="341">
        <f>SUMIFS('Monthly_P&amp;L'!$G$32:$XFD$32,'Monthly_P&amp;L'!$G$14:$XFD$14,I$8)</f>
        <v>-14607.673571250001</v>
      </c>
      <c r="J15" s="341">
        <f>SUMIFS('Monthly_P&amp;L'!$G$32:$XFD$32,'Monthly_P&amp;L'!$G$14:$XFD$14,J$8)</f>
        <v>-14972.865410531243</v>
      </c>
      <c r="K15" s="341">
        <f>SUMIFS('Monthly_P&amp;L'!$G$32:$XFD$32,'Monthly_P&amp;L'!$G$14:$XFD$14,K$8)</f>
        <v>-15347.187045794526</v>
      </c>
      <c r="L15" s="341">
        <f>SUMIFS('Monthly_P&amp;L'!$G$32:$XFD$32,'Monthly_P&amp;L'!$G$14:$XFD$14,L$8)</f>
        <v>-15730.866721939392</v>
      </c>
      <c r="M15" s="341">
        <f>SUMIFS('Monthly_P&amp;L'!$G$32:$XFD$32,'Monthly_P&amp;L'!$G$14:$XFD$14,M$8)</f>
        <v>-16124.138389987866</v>
      </c>
      <c r="N15" s="341">
        <f>SUMIFS('Monthly_P&amp;L'!$G$32:$XFD$32,'Monthly_P&amp;L'!$G$14:$XFD$14,N$8)</f>
        <v>-16527.241849737566</v>
      </c>
      <c r="O15" s="341">
        <f>SUMIFS('Monthly_P&amp;L'!$G$32:$XFD$32,'Monthly_P&amp;L'!$G$14:$XFD$14,O$8)</f>
        <v>-16940.422895981003</v>
      </c>
      <c r="P15" s="341">
        <f>SUMIFS('Monthly_P&amp;L'!$G$32:$XFD$32,'Monthly_P&amp;L'!$G$14:$XFD$14,P$8)</f>
        <v>-17363.933468380525</v>
      </c>
      <c r="Q15" s="341">
        <f>SUMIFS('Monthly_P&amp;L'!$G$32:$XFD$32,'Monthly_P&amp;L'!$G$14:$XFD$14,Q$8)</f>
        <v>-17798.031805090035</v>
      </c>
      <c r="R15" s="341">
        <f>SUMIFS('Monthly_P&amp;L'!$G$32:$XFD$32,'Monthly_P&amp;L'!$G$14:$XFD$14,R$8)</f>
        <v>-18242.982600217281</v>
      </c>
      <c r="S15" s="341">
        <f>SUMIFS('Monthly_P&amp;L'!$G$32:$XFD$32,'Monthly_P&amp;L'!$G$14:$XFD$14,S$8)</f>
        <v>-18699.057165222719</v>
      </c>
      <c r="T15" s="341">
        <f>SUMIFS('Monthly_P&amp;L'!$G$32:$XFD$32,'Monthly_P&amp;L'!$G$14:$XFD$14,T$8)</f>
        <v>-19166.533594353277</v>
      </c>
      <c r="U15" s="341">
        <f>SUMIFS('Monthly_P&amp;L'!$G$32:$XFD$32,'Monthly_P&amp;L'!$G$14:$XFD$14,U$8)</f>
        <v>-19645.696934212112</v>
      </c>
      <c r="V15" s="341">
        <f>SUMIFS('Monthly_P&amp;L'!$G$32:$XFD$32,'Monthly_P&amp;L'!$G$14:$XFD$14,V$8)</f>
        <v>-15102.629518175558</v>
      </c>
      <c r="W15" s="344"/>
      <c r="X15" s="344"/>
      <c r="Y15" s="344"/>
      <c r="Z15" s="344"/>
      <c r="AA15" s="344"/>
      <c r="AB15" s="344"/>
      <c r="AC15" s="344"/>
      <c r="AD15" s="344"/>
      <c r="AE15" s="344"/>
      <c r="AF15" s="344"/>
      <c r="AG15" s="344"/>
      <c r="AH15" s="344"/>
      <c r="AI15" s="344"/>
      <c r="AJ15" s="344"/>
    </row>
    <row r="16" spans="2:51" x14ac:dyDescent="0.15">
      <c r="B16" s="5" t="s">
        <v>275</v>
      </c>
      <c r="C16" s="313" t="s">
        <v>150</v>
      </c>
      <c r="D16" s="338"/>
      <c r="E16" s="338"/>
      <c r="F16" s="5"/>
      <c r="G16" s="53">
        <f>SUMIFS('Monthly_P&amp;L'!$G$33:$XFD$33,'Monthly_P&amp;L'!$G$14:$XFD$14,G$8)</f>
        <v>-42010.719999999994</v>
      </c>
      <c r="H16" s="53">
        <f>SUMIFS('Monthly_P&amp;L'!$G$33:$XFD$33,'Monthly_P&amp;L'!$G$14:$XFD$14,H$8)</f>
        <v>0</v>
      </c>
      <c r="I16" s="53">
        <f>SUMIFS('Monthly_P&amp;L'!$G$33:$XFD$33,'Monthly_P&amp;L'!$G$14:$XFD$14,I$8)</f>
        <v>0</v>
      </c>
      <c r="J16" s="53">
        <f>SUMIFS('Monthly_P&amp;L'!$G$33:$XFD$33,'Monthly_P&amp;L'!$G$14:$XFD$14,J$8)</f>
        <v>0</v>
      </c>
      <c r="K16" s="53">
        <f>SUMIFS('Monthly_P&amp;L'!$G$33:$XFD$33,'Monthly_P&amp;L'!$G$14:$XFD$14,K$8)</f>
        <v>0</v>
      </c>
      <c r="L16" s="53">
        <f>SUMIFS('Monthly_P&amp;L'!$G$33:$XFD$33,'Monthly_P&amp;L'!$G$14:$XFD$14,L$8)</f>
        <v>0</v>
      </c>
      <c r="M16" s="53">
        <f>SUMIFS('Monthly_P&amp;L'!$G$33:$XFD$33,'Monthly_P&amp;L'!$G$14:$XFD$14,M$8)</f>
        <v>0</v>
      </c>
      <c r="N16" s="53">
        <f>SUMIFS('Monthly_P&amp;L'!$G$33:$XFD$33,'Monthly_P&amp;L'!$G$14:$XFD$14,N$8)</f>
        <v>0</v>
      </c>
      <c r="O16" s="53">
        <f>SUMIFS('Monthly_P&amp;L'!$G$33:$XFD$33,'Monthly_P&amp;L'!$G$14:$XFD$14,O$8)</f>
        <v>0</v>
      </c>
      <c r="P16" s="53">
        <f>SUMIFS('Monthly_P&amp;L'!$G$33:$XFD$33,'Monthly_P&amp;L'!$G$14:$XFD$14,P$8)</f>
        <v>0</v>
      </c>
      <c r="Q16" s="53">
        <f>SUMIFS('Monthly_P&amp;L'!$G$33:$XFD$33,'Monthly_P&amp;L'!$G$14:$XFD$14,Q$8)</f>
        <v>0</v>
      </c>
      <c r="R16" s="53">
        <f>SUMIFS('Monthly_P&amp;L'!$G$33:$XFD$33,'Monthly_P&amp;L'!$G$14:$XFD$14,R$8)</f>
        <v>0</v>
      </c>
      <c r="S16" s="53">
        <f>SUMIFS('Monthly_P&amp;L'!$G$33:$XFD$33,'Monthly_P&amp;L'!$G$14:$XFD$14,S$8)</f>
        <v>0</v>
      </c>
      <c r="T16" s="53">
        <f>SUMIFS('Monthly_P&amp;L'!$G$33:$XFD$33,'Monthly_P&amp;L'!$G$14:$XFD$14,T$8)</f>
        <v>0</v>
      </c>
      <c r="U16" s="402">
        <f>SUMIFS('Monthly_P&amp;L'!$G$33:$XFD$33,'Monthly_P&amp;L'!$G$14:$XFD$14,U$8)</f>
        <v>0</v>
      </c>
      <c r="V16" s="53">
        <f>SUMIFS('Monthly_P&amp;L'!$G$33:$XFD$33,'Monthly_P&amp;L'!$G$14:$XFD$14,V$8)</f>
        <v>0</v>
      </c>
      <c r="W16" s="344"/>
      <c r="X16" s="344"/>
      <c r="Y16" s="344"/>
      <c r="Z16" s="344"/>
      <c r="AA16" s="344"/>
      <c r="AB16" s="344"/>
      <c r="AC16" s="344"/>
      <c r="AD16" s="344"/>
      <c r="AE16" s="344"/>
      <c r="AF16" s="344"/>
      <c r="AG16" s="344"/>
      <c r="AH16" s="344"/>
      <c r="AI16" s="344"/>
      <c r="AJ16" s="344"/>
    </row>
    <row r="17" spans="2:38" x14ac:dyDescent="0.15">
      <c r="B17" s="3" t="s">
        <v>49</v>
      </c>
      <c r="C17" s="3"/>
      <c r="D17" s="55"/>
      <c r="E17" s="55"/>
      <c r="F17" s="3"/>
      <c r="G17" s="50">
        <f>G12+G15+G16</f>
        <v>399094.0708000001</v>
      </c>
      <c r="H17" s="50">
        <f t="shared" ref="H17:V17" si="4">H12+H15+H16</f>
        <v>466944.90615000017</v>
      </c>
      <c r="I17" s="50">
        <f t="shared" si="4"/>
        <v>478618.52880374994</v>
      </c>
      <c r="J17" s="50">
        <f t="shared" si="4"/>
        <v>490583.99202384369</v>
      </c>
      <c r="K17" s="50">
        <f t="shared" si="4"/>
        <v>502848.59182443982</v>
      </c>
      <c r="L17" s="50">
        <f t="shared" si="4"/>
        <v>515419.80662005057</v>
      </c>
      <c r="M17" s="50">
        <f t="shared" si="4"/>
        <v>528305.30178555183</v>
      </c>
      <c r="N17" s="50">
        <f t="shared" si="4"/>
        <v>541512.93433019053</v>
      </c>
      <c r="O17" s="50">
        <f t="shared" si="4"/>
        <v>555050.75768844527</v>
      </c>
      <c r="P17" s="50">
        <f t="shared" si="4"/>
        <v>568927.02663065644</v>
      </c>
      <c r="Q17" s="50">
        <f t="shared" si="4"/>
        <v>583150.20229642279</v>
      </c>
      <c r="R17" s="50">
        <f t="shared" si="4"/>
        <v>597728.95735383313</v>
      </c>
      <c r="S17" s="50">
        <f t="shared" si="4"/>
        <v>612672.18128767889</v>
      </c>
      <c r="T17" s="50">
        <f t="shared" si="4"/>
        <v>627988.98581987096</v>
      </c>
      <c r="U17" s="50">
        <f t="shared" si="4"/>
        <v>643688.71046536753</v>
      </c>
      <c r="V17" s="50">
        <f t="shared" si="4"/>
        <v>494835.69617025118</v>
      </c>
      <c r="W17" s="50"/>
      <c r="X17" s="50"/>
      <c r="Y17" s="50"/>
      <c r="Z17" s="50"/>
      <c r="AA17" s="50"/>
      <c r="AB17" s="50"/>
      <c r="AC17" s="50"/>
      <c r="AD17" s="50"/>
      <c r="AE17" s="50"/>
      <c r="AF17" s="50"/>
      <c r="AG17" s="50"/>
      <c r="AH17" s="50"/>
      <c r="AI17" s="50"/>
      <c r="AJ17" s="50"/>
    </row>
    <row r="18" spans="2:38" x14ac:dyDescent="0.15">
      <c r="B18" s="3"/>
      <c r="C18" s="3"/>
      <c r="D18" s="55"/>
      <c r="E18" s="55"/>
      <c r="F18" s="3"/>
      <c r="G18" s="50"/>
      <c r="H18" s="50"/>
      <c r="I18" s="50"/>
      <c r="J18" s="50"/>
      <c r="K18" s="50"/>
      <c r="L18" s="50"/>
      <c r="M18" s="50"/>
      <c r="N18" s="50"/>
      <c r="O18" s="50"/>
      <c r="P18" s="50"/>
      <c r="Q18" s="50"/>
      <c r="R18" s="50"/>
      <c r="S18" s="50"/>
      <c r="T18" s="50"/>
      <c r="U18" s="50"/>
      <c r="V18" s="50"/>
      <c r="W18" s="50"/>
      <c r="X18" s="50"/>
      <c r="Y18" s="50"/>
      <c r="Z18" s="50"/>
      <c r="AA18" s="50"/>
      <c r="AB18" s="50"/>
      <c r="AC18" s="50"/>
      <c r="AD18" s="50"/>
      <c r="AE18" s="50"/>
      <c r="AF18" s="50"/>
      <c r="AG18" s="50"/>
      <c r="AH18" s="50"/>
      <c r="AI18" s="50"/>
      <c r="AJ18" s="50"/>
    </row>
    <row r="19" spans="2:38" x14ac:dyDescent="0.15">
      <c r="B19" t="s">
        <v>316</v>
      </c>
      <c r="C19" s="312" t="s">
        <v>150</v>
      </c>
      <c r="D19" s="337">
        <f>management_fee</f>
        <v>3.5000000000000003E-2</v>
      </c>
      <c r="E19" s="337"/>
      <c r="G19" s="44">
        <f>SUMIFS('Monthly_P&amp;L'!$G$37:$XFD$37,'Monthly_P&amp;L'!$G$14:$XFD$14,G$8)</f>
        <v>-13968.292478000001</v>
      </c>
      <c r="H19" s="44">
        <f>SUMIFS('Monthly_P&amp;L'!$G$37:$XFD$37,'Monthly_P&amp;L'!$G$14:$XFD$14,H$8)</f>
        <v>-16343.071715250007</v>
      </c>
      <c r="I19" s="44">
        <f>SUMIFS('Monthly_P&amp;L'!$G$37:$XFD$37,'Monthly_P&amp;L'!$G$14:$XFD$14,I$8)</f>
        <v>-16751.648508131246</v>
      </c>
      <c r="J19" s="44">
        <f>SUMIFS('Monthly_P&amp;L'!$G$37:$XFD$37,'Monthly_P&amp;L'!$G$14:$XFD$14,J$8)</f>
        <v>-17170.439720834529</v>
      </c>
      <c r="K19" s="44">
        <f>SUMIFS('Monthly_P&amp;L'!$G$37:$XFD$37,'Monthly_P&amp;L'!$G$14:$XFD$14,K$8)</f>
        <v>-17599.700713855393</v>
      </c>
      <c r="L19" s="44">
        <f>SUMIFS('Monthly_P&amp;L'!$G$37:$XFD$37,'Monthly_P&amp;L'!$G$14:$XFD$14,L$8)</f>
        <v>-18039.693231701778</v>
      </c>
      <c r="M19" s="44">
        <f>SUMIFS('Monthly_P&amp;L'!$G$37:$XFD$37,'Monthly_P&amp;L'!$G$14:$XFD$14,M$8)</f>
        <v>-18490.685562494316</v>
      </c>
      <c r="N19" s="44">
        <f>SUMIFS('Monthly_P&amp;L'!$G$37:$XFD$37,'Monthly_P&amp;L'!$G$14:$XFD$14,N$8)</f>
        <v>-18952.952701556671</v>
      </c>
      <c r="O19" s="44">
        <f>SUMIFS('Monthly_P&amp;L'!$G$37:$XFD$37,'Monthly_P&amp;L'!$G$14:$XFD$14,O$8)</f>
        <v>-19426.776519095594</v>
      </c>
      <c r="P19" s="44">
        <f>SUMIFS('Monthly_P&amp;L'!$G$37:$XFD$37,'Monthly_P&amp;L'!$G$14:$XFD$14,P$8)</f>
        <v>-19912.445932072977</v>
      </c>
      <c r="Q19" s="44">
        <f>SUMIFS('Monthly_P&amp;L'!$G$37:$XFD$37,'Monthly_P&amp;L'!$G$14:$XFD$14,Q$8)</f>
        <v>-20410.257080374799</v>
      </c>
      <c r="R19" s="44">
        <f>SUMIFS('Monthly_P&amp;L'!$G$37:$XFD$37,'Monthly_P&amp;L'!$G$14:$XFD$14,R$8)</f>
        <v>-20920.513507384167</v>
      </c>
      <c r="S19" s="44">
        <f>SUMIFS('Monthly_P&amp;L'!$G$37:$XFD$37,'Monthly_P&amp;L'!$G$14:$XFD$14,S$8)</f>
        <v>-21443.526345068763</v>
      </c>
      <c r="T19" s="44">
        <f>SUMIFS('Monthly_P&amp;L'!$G$37:$XFD$37,'Monthly_P&amp;L'!$G$14:$XFD$14,T$8)</f>
        <v>-21979.614503695484</v>
      </c>
      <c r="U19" s="135">
        <f>SUMIFS('Monthly_P&amp;L'!$G$37:$XFD$37,'Monthly_P&amp;L'!$G$14:$XFD$14,U$8)</f>
        <v>-22529.10486628786</v>
      </c>
      <c r="V19" s="44">
        <f>SUMIFS('Monthly_P&amp;L'!$G$37:$XFD$37,'Monthly_P&amp;L'!$G$14:$XFD$14,V$8)</f>
        <v>-17319.249365958793</v>
      </c>
      <c r="W19" s="65"/>
      <c r="X19" s="65"/>
      <c r="Y19" s="65"/>
      <c r="Z19" s="65"/>
      <c r="AA19" s="65"/>
      <c r="AB19" s="65"/>
      <c r="AC19" s="65"/>
      <c r="AD19" s="65"/>
      <c r="AE19" s="65"/>
      <c r="AF19" s="65"/>
      <c r="AG19" s="65"/>
      <c r="AH19" s="65"/>
      <c r="AI19" s="65"/>
      <c r="AJ19" s="65"/>
    </row>
    <row r="20" spans="2:38" x14ac:dyDescent="0.15">
      <c r="B20" s="127" t="s">
        <v>278</v>
      </c>
      <c r="C20" s="312" t="s">
        <v>150</v>
      </c>
      <c r="D20" s="335">
        <f>+'Assumptions_&amp;_Inputs'!$E$61</f>
        <v>11200</v>
      </c>
      <c r="E20" s="335"/>
      <c r="G20" s="44">
        <f>SUMIFS('Monthly_P&amp;L'!$G$40:$XFD$40,'Monthly_P&amp;L'!$G$14:$XFD$14,G$8)</f>
        <v>-11200.000000000002</v>
      </c>
      <c r="H20" s="44">
        <f>SUMIFS('Monthly_P&amp;L'!$G$40:$XFD$40,'Monthly_P&amp;L'!$G$14:$XFD$14,H$8)</f>
        <v>-11479.999999999998</v>
      </c>
      <c r="I20" s="44">
        <f>SUMIFS('Monthly_P&amp;L'!$G$40:$XFD$40,'Monthly_P&amp;L'!$G$14:$XFD$14,I$8)</f>
        <v>-11767</v>
      </c>
      <c r="J20" s="44">
        <f>SUMIFS('Monthly_P&amp;L'!$G$40:$XFD$40,'Monthly_P&amp;L'!$G$14:$XFD$14,J$8)</f>
        <v>-12061.174999999996</v>
      </c>
      <c r="K20" s="44">
        <f>SUMIFS('Monthly_P&amp;L'!$G$40:$XFD$40,'Monthly_P&amp;L'!$G$14:$XFD$14,K$8)</f>
        <v>-12362.704374999999</v>
      </c>
      <c r="L20" s="44">
        <f>SUMIFS('Monthly_P&amp;L'!$G$40:$XFD$40,'Monthly_P&amp;L'!$G$14:$XFD$14,L$8)</f>
        <v>-12671.771984374995</v>
      </c>
      <c r="M20" s="44">
        <f>SUMIFS('Monthly_P&amp;L'!$G$40:$XFD$40,'Monthly_P&amp;L'!$G$14:$XFD$14,M$8)</f>
        <v>-12988.56628398437</v>
      </c>
      <c r="N20" s="44">
        <f>SUMIFS('Monthly_P&amp;L'!$G$40:$XFD$40,'Monthly_P&amp;L'!$G$14:$XFD$14,N$8)</f>
        <v>-13313.280441083976</v>
      </c>
      <c r="O20" s="44">
        <f>SUMIFS('Monthly_P&amp;L'!$G$40:$XFD$40,'Monthly_P&amp;L'!$G$14:$XFD$14,O$8)</f>
        <v>-13646.112452111076</v>
      </c>
      <c r="P20" s="44">
        <f>SUMIFS('Monthly_P&amp;L'!$G$40:$XFD$40,'Monthly_P&amp;L'!$G$14:$XFD$14,P$8)</f>
        <v>-13987.265263413849</v>
      </c>
      <c r="Q20" s="44">
        <f>SUMIFS('Monthly_P&amp;L'!$G$40:$XFD$40,'Monthly_P&amp;L'!$G$14:$XFD$14,Q$8)</f>
        <v>-14336.946894999199</v>
      </c>
      <c r="R20" s="44">
        <f>SUMIFS('Monthly_P&amp;L'!$G$40:$XFD$40,'Monthly_P&amp;L'!$G$14:$XFD$14,R$8)</f>
        <v>-14695.37056737417</v>
      </c>
      <c r="S20" s="44">
        <f>SUMIFS('Monthly_P&amp;L'!$G$40:$XFD$40,'Monthly_P&amp;L'!$G$14:$XFD$14,S$8)</f>
        <v>-15062.754831558525</v>
      </c>
      <c r="T20" s="44">
        <f>SUMIFS('Monthly_P&amp;L'!$G$40:$XFD$40,'Monthly_P&amp;L'!$G$14:$XFD$14,T$8)</f>
        <v>-15439.323702347492</v>
      </c>
      <c r="U20" s="135">
        <f>SUMIFS('Monthly_P&amp;L'!$G$40:$XFD$40,'Monthly_P&amp;L'!$G$14:$XFD$14,U$8)</f>
        <v>-15825.306794906171</v>
      </c>
      <c r="V20" s="44">
        <f>SUMIFS('Monthly_P&amp;L'!$G$40:$XFD$40,'Monthly_P&amp;L'!$G$14:$XFD$14,V$8)</f>
        <v>-12165.704598584118</v>
      </c>
      <c r="W20" s="65"/>
      <c r="X20" s="65"/>
      <c r="Y20" s="65"/>
      <c r="Z20" s="65"/>
      <c r="AA20" s="65"/>
      <c r="AB20" s="65"/>
      <c r="AC20" s="65"/>
      <c r="AD20" s="65"/>
      <c r="AE20" s="65"/>
      <c r="AF20" s="65"/>
      <c r="AG20" s="65"/>
      <c r="AH20" s="65"/>
      <c r="AI20" s="65"/>
      <c r="AJ20" s="65"/>
    </row>
    <row r="21" spans="2:38" x14ac:dyDescent="0.15">
      <c r="B21" t="s">
        <v>317</v>
      </c>
      <c r="C21" s="312" t="s">
        <v>150</v>
      </c>
      <c r="D21" s="335">
        <f>+'Assumptions_&amp;_Inputs'!$E$63</f>
        <v>16711.8</v>
      </c>
      <c r="E21" s="335"/>
      <c r="G21" s="44">
        <f>SUMIFS('Monthly_P&amp;L'!$G$39:$XFD$39,'Monthly_P&amp;L'!$G$14:$XFD$14,G$8)</f>
        <v>-17491.684000000001</v>
      </c>
      <c r="H21" s="44">
        <f>SUMIFS('Monthly_P&amp;L'!$G$39:$XFD$39,'Monthly_P&amp;L'!$G$14:$XFD$14,H$8)</f>
        <v>-17129.594999999998</v>
      </c>
      <c r="I21" s="44">
        <f>SUMIFS('Monthly_P&amp;L'!$G$39:$XFD$39,'Monthly_P&amp;L'!$G$14:$XFD$14,I$8)</f>
        <v>-17557.834874999997</v>
      </c>
      <c r="J21" s="44">
        <f>SUMIFS('Monthly_P&amp;L'!$G$39:$XFD$39,'Monthly_P&amp;L'!$G$14:$XFD$14,J$8)</f>
        <v>-17996.780746874996</v>
      </c>
      <c r="K21" s="44">
        <f>SUMIFS('Monthly_P&amp;L'!$G$39:$XFD$39,'Monthly_P&amp;L'!$G$14:$XFD$14,K$8)</f>
        <v>-18446.700265546868</v>
      </c>
      <c r="L21" s="44">
        <f>SUMIFS('Monthly_P&amp;L'!$G$39:$XFD$39,'Monthly_P&amp;L'!$G$14:$XFD$14,L$8)</f>
        <v>-18907.867772185538</v>
      </c>
      <c r="M21" s="44">
        <f>SUMIFS('Monthly_P&amp;L'!$G$39:$XFD$39,'Monthly_P&amp;L'!$G$14:$XFD$14,M$8)</f>
        <v>-19380.564466490177</v>
      </c>
      <c r="N21" s="44">
        <f>SUMIFS('Monthly_P&amp;L'!$G$39:$XFD$39,'Monthly_P&amp;L'!$G$14:$XFD$14,N$8)</f>
        <v>-19865.078578152432</v>
      </c>
      <c r="O21" s="44">
        <f>SUMIFS('Monthly_P&amp;L'!$G$39:$XFD$39,'Monthly_P&amp;L'!$G$14:$XFD$14,O$8)</f>
        <v>-20361.705542606243</v>
      </c>
      <c r="P21" s="44">
        <f>SUMIFS('Monthly_P&amp;L'!$G$39:$XFD$39,'Monthly_P&amp;L'!$G$14:$XFD$14,P$8)</f>
        <v>-20870.748181171395</v>
      </c>
      <c r="Q21" s="44">
        <f>SUMIFS('Monthly_P&amp;L'!$G$39:$XFD$39,'Monthly_P&amp;L'!$G$14:$XFD$14,Q$8)</f>
        <v>-21392.516885700679</v>
      </c>
      <c r="R21" s="44">
        <f>SUMIFS('Monthly_P&amp;L'!$G$39:$XFD$39,'Monthly_P&amp;L'!$G$14:$XFD$14,R$8)</f>
        <v>-21927.329807843198</v>
      </c>
      <c r="S21" s="44">
        <f>SUMIFS('Monthly_P&amp;L'!$G$39:$XFD$39,'Monthly_P&amp;L'!$G$14:$XFD$14,S$8)</f>
        <v>-22475.513053039267</v>
      </c>
      <c r="T21" s="44">
        <f>SUMIFS('Monthly_P&amp;L'!$G$39:$XFD$39,'Monthly_P&amp;L'!$G$14:$XFD$14,T$8)</f>
        <v>-23037.400879365261</v>
      </c>
      <c r="U21" s="135">
        <f>SUMIFS('Monthly_P&amp;L'!$G$39:$XFD$39,'Monthly_P&amp;L'!$G$14:$XFD$14,U$8)</f>
        <v>-23613.335901349386</v>
      </c>
      <c r="V21" s="44">
        <f>SUMIFS('Monthly_P&amp;L'!$G$39:$XFD$39,'Monthly_P&amp;L'!$G$14:$XFD$14,V$8)</f>
        <v>-18152.75197416234</v>
      </c>
      <c r="W21" s="65"/>
      <c r="X21" s="65"/>
      <c r="Y21" s="65"/>
      <c r="Z21" s="65"/>
      <c r="AA21" s="65"/>
      <c r="AB21" s="65"/>
      <c r="AC21" s="65"/>
      <c r="AD21" s="65"/>
      <c r="AE21" s="65"/>
      <c r="AF21" s="65"/>
      <c r="AG21" s="65"/>
      <c r="AH21" s="65"/>
      <c r="AI21" s="65"/>
      <c r="AJ21" s="65"/>
    </row>
    <row r="22" spans="2:38" x14ac:dyDescent="0.15">
      <c r="B22" t="s">
        <v>318</v>
      </c>
      <c r="C22" s="312" t="s">
        <v>150</v>
      </c>
      <c r="D22" s="335">
        <f>+'Assumptions_&amp;_Inputs'!$I$60</f>
        <v>54313.875</v>
      </c>
      <c r="E22" s="335"/>
      <c r="G22" s="44">
        <f>SUMIFS('Monthly_P&amp;L'!$G$42:$XFD$42,'Monthly_P&amp;L'!$G$14:$XFD$14,G$8)</f>
        <v>-54313.875</v>
      </c>
      <c r="H22" s="44">
        <f>SUMIFS('Monthly_P&amp;L'!$G$42:$XFD$42,'Monthly_P&amp;L'!$G$14:$XFD$14,H$8)</f>
        <v>-55400.152499999997</v>
      </c>
      <c r="I22" s="44">
        <f>SUMIFS('Monthly_P&amp;L'!$G$42:$XFD$42,'Monthly_P&amp;L'!$G$14:$XFD$14,I$8)</f>
        <v>-56508.155549999989</v>
      </c>
      <c r="J22" s="44">
        <f>SUMIFS('Monthly_P&amp;L'!$G$42:$XFD$42,'Monthly_P&amp;L'!$G$14:$XFD$14,J$8)</f>
        <v>-57638.318660999998</v>
      </c>
      <c r="K22" s="44">
        <f>SUMIFS('Monthly_P&amp;L'!$G$42:$XFD$42,'Monthly_P&amp;L'!$G$14:$XFD$14,K$8)</f>
        <v>-58791.085034219985</v>
      </c>
      <c r="L22" s="44">
        <f>SUMIFS('Monthly_P&amp;L'!$G$42:$XFD$42,'Monthly_P&amp;L'!$G$14:$XFD$14,L$8)</f>
        <v>-59966.90673490442</v>
      </c>
      <c r="M22" s="44">
        <f>SUMIFS('Monthly_P&amp;L'!$G$42:$XFD$42,'Monthly_P&amp;L'!$G$14:$XFD$14,M$8)</f>
        <v>-61166.244869602502</v>
      </c>
      <c r="N22" s="44">
        <f>SUMIFS('Monthly_P&amp;L'!$G$42:$XFD$42,'Monthly_P&amp;L'!$G$14:$XFD$14,N$8)</f>
        <v>-62389.569766994558</v>
      </c>
      <c r="O22" s="44">
        <f>SUMIFS('Monthly_P&amp;L'!$G$42:$XFD$42,'Monthly_P&amp;L'!$G$14:$XFD$14,O$8)</f>
        <v>-63637.361162334426</v>
      </c>
      <c r="P22" s="44">
        <f>SUMIFS('Monthly_P&amp;L'!$G$42:$XFD$42,'Monthly_P&amp;L'!$G$14:$XFD$14,P$8)</f>
        <v>-64910.108385581123</v>
      </c>
      <c r="Q22" s="44">
        <f>SUMIFS('Monthly_P&amp;L'!$G$42:$XFD$42,'Monthly_P&amp;L'!$G$14:$XFD$14,Q$8)</f>
        <v>-66208.310553292758</v>
      </c>
      <c r="R22" s="44">
        <f>SUMIFS('Monthly_P&amp;L'!$G$42:$XFD$42,'Monthly_P&amp;L'!$G$14:$XFD$14,R$8)</f>
        <v>-67532.476764358609</v>
      </c>
      <c r="S22" s="44">
        <f>SUMIFS('Monthly_P&amp;L'!$G$42:$XFD$42,'Monthly_P&amp;L'!$G$14:$XFD$14,S$8)</f>
        <v>-68883.126299645766</v>
      </c>
      <c r="T22" s="44">
        <f>SUMIFS('Monthly_P&amp;L'!$G$42:$XFD$42,'Monthly_P&amp;L'!$G$14:$XFD$14,T$8)</f>
        <v>-70260.788825638694</v>
      </c>
      <c r="U22" s="135">
        <f>SUMIFS('Monthly_P&amp;L'!$G$42:$XFD$42,'Monthly_P&amp;L'!$G$14:$XFD$14,U$8)</f>
        <v>-71666.004602151472</v>
      </c>
      <c r="V22" s="44">
        <f>SUMIFS('Monthly_P&amp;L'!$G$42:$XFD$42,'Monthly_P&amp;L'!$G$14:$XFD$14,V$8)</f>
        <v>-54824.493520645883</v>
      </c>
      <c r="W22" s="65"/>
      <c r="X22" s="65"/>
      <c r="Y22" s="65"/>
      <c r="Z22" s="65"/>
      <c r="AA22" s="65"/>
      <c r="AB22" s="65"/>
      <c r="AC22" s="65"/>
      <c r="AD22" s="65"/>
      <c r="AE22" s="65"/>
      <c r="AF22" s="65"/>
      <c r="AG22" s="65"/>
      <c r="AH22" s="65"/>
      <c r="AI22" s="65"/>
      <c r="AJ22" s="65"/>
    </row>
    <row r="23" spans="2:38" x14ac:dyDescent="0.15">
      <c r="B23" s="5" t="s">
        <v>279</v>
      </c>
      <c r="C23" s="314" t="s">
        <v>150</v>
      </c>
      <c r="D23" s="336">
        <f>+'Assumptions_&amp;_Inputs'!$E$65</f>
        <v>15976.5</v>
      </c>
      <c r="E23" s="336"/>
      <c r="F23" s="5"/>
      <c r="G23" s="51">
        <f>SUMIFS('Monthly_P&amp;L'!$G$41:$XFD$41,'Monthly_P&amp;L'!$G$14:$XFD$14,G$8)</f>
        <v>-15976.5</v>
      </c>
      <c r="H23" s="51">
        <f>SUMIFS('Monthly_P&amp;L'!$G$41:$XFD$41,'Monthly_P&amp;L'!$G$14:$XFD$14,H$8)</f>
        <v>-16375.912499999997</v>
      </c>
      <c r="I23" s="51">
        <f>SUMIFS('Monthly_P&amp;L'!$G$41:$XFD$41,'Monthly_P&amp;L'!$G$14:$XFD$14,I$8)</f>
        <v>-16785.310312500002</v>
      </c>
      <c r="J23" s="51">
        <f>SUMIFS('Monthly_P&amp;L'!$G$41:$XFD$41,'Monthly_P&amp;L'!$G$14:$XFD$14,J$8)</f>
        <v>-17204.943070312493</v>
      </c>
      <c r="K23" s="51">
        <f>SUMIFS('Monthly_P&amp;L'!$G$41:$XFD$41,'Monthly_P&amp;L'!$G$14:$XFD$14,K$8)</f>
        <v>-17635.066647070304</v>
      </c>
      <c r="L23" s="51">
        <f>SUMIFS('Monthly_P&amp;L'!$G$41:$XFD$41,'Monthly_P&amp;L'!$G$14:$XFD$14,L$8)</f>
        <v>-18075.943313247059</v>
      </c>
      <c r="M23" s="51">
        <f>SUMIFS('Monthly_P&amp;L'!$G$41:$XFD$41,'Monthly_P&amp;L'!$G$14:$XFD$14,M$8)</f>
        <v>-18527.841896078233</v>
      </c>
      <c r="N23" s="51">
        <f>SUMIFS('Monthly_P&amp;L'!$G$41:$XFD$41,'Monthly_P&amp;L'!$G$14:$XFD$14,N$8)</f>
        <v>-18991.037943480191</v>
      </c>
      <c r="O23" s="51">
        <f>SUMIFS('Monthly_P&amp;L'!$G$41:$XFD$41,'Monthly_P&amp;L'!$G$14:$XFD$14,O$8)</f>
        <v>-19465.813892067192</v>
      </c>
      <c r="P23" s="51">
        <f>SUMIFS('Monthly_P&amp;L'!$G$41:$XFD$41,'Monthly_P&amp;L'!$G$14:$XFD$14,P$8)</f>
        <v>-19952.459239368865</v>
      </c>
      <c r="Q23" s="51">
        <f>SUMIFS('Monthly_P&amp;L'!$G$41:$XFD$41,'Monthly_P&amp;L'!$G$14:$XFD$14,Q$8)</f>
        <v>-20451.270720353088</v>
      </c>
      <c r="R23" s="51">
        <f>SUMIFS('Monthly_P&amp;L'!$G$41:$XFD$41,'Monthly_P&amp;L'!$G$14:$XFD$14,R$8)</f>
        <v>-20962.552488361911</v>
      </c>
      <c r="S23" s="51">
        <f>SUMIFS('Monthly_P&amp;L'!$G$41:$XFD$41,'Monthly_P&amp;L'!$G$14:$XFD$14,S$8)</f>
        <v>-21486.61630057096</v>
      </c>
      <c r="T23" s="51">
        <f>SUMIFS('Monthly_P&amp;L'!$G$41:$XFD$41,'Monthly_P&amp;L'!$G$14:$XFD$14,T$8)</f>
        <v>-22023.781708085226</v>
      </c>
      <c r="U23" s="316">
        <f>SUMIFS('Monthly_P&amp;L'!$G$41:$XFD$41,'Monthly_P&amp;L'!$G$14:$XFD$14,U$8)</f>
        <v>-22574.376250787365</v>
      </c>
      <c r="V23" s="51">
        <f>SUMIFS('Monthly_P&amp;L'!$G$41:$XFD$41,'Monthly_P&amp;L'!$G$14:$XFD$14,V$8)</f>
        <v>-17354.051742792784</v>
      </c>
      <c r="W23" s="65"/>
      <c r="X23" s="65"/>
      <c r="Y23" s="65"/>
      <c r="Z23" s="65"/>
      <c r="AA23" s="65"/>
      <c r="AB23" s="65"/>
      <c r="AC23" s="65"/>
      <c r="AD23" s="65"/>
      <c r="AE23" s="65"/>
      <c r="AF23" s="65"/>
      <c r="AG23" s="65"/>
      <c r="AH23" s="65"/>
      <c r="AI23" s="65"/>
      <c r="AJ23" s="65"/>
    </row>
    <row r="24" spans="2:38" x14ac:dyDescent="0.15">
      <c r="B24" t="s">
        <v>66</v>
      </c>
      <c r="G24" s="13">
        <f>SUM(G19:G23)</f>
        <v>-112950.351478</v>
      </c>
      <c r="H24" s="13">
        <f t="shared" ref="H24:V24" si="5">SUM(H19:H23)</f>
        <v>-116728.73171524999</v>
      </c>
      <c r="I24" s="13">
        <f t="shared" si="5"/>
        <v>-119369.94924563124</v>
      </c>
      <c r="J24" s="13">
        <f t="shared" si="5"/>
        <v>-122071.65719902201</v>
      </c>
      <c r="K24" s="13">
        <f t="shared" si="5"/>
        <v>-124835.25703569254</v>
      </c>
      <c r="L24" s="13">
        <f t="shared" si="5"/>
        <v>-127662.18303641379</v>
      </c>
      <c r="M24" s="13">
        <f t="shared" si="5"/>
        <v>-130553.9030786496</v>
      </c>
      <c r="N24" s="13">
        <f t="shared" si="5"/>
        <v>-133511.91943126783</v>
      </c>
      <c r="O24" s="13">
        <f t="shared" si="5"/>
        <v>-136537.76956821454</v>
      </c>
      <c r="P24" s="13">
        <f t="shared" si="5"/>
        <v>-139633.02700160822</v>
      </c>
      <c r="Q24" s="13">
        <f t="shared" si="5"/>
        <v>-142799.30213472052</v>
      </c>
      <c r="R24" s="13">
        <f t="shared" si="5"/>
        <v>-146038.24313532206</v>
      </c>
      <c r="S24" s="13">
        <f t="shared" si="5"/>
        <v>-149351.53682988329</v>
      </c>
      <c r="T24" s="13">
        <f t="shared" si="5"/>
        <v>-152740.90961913217</v>
      </c>
      <c r="U24" s="13">
        <f t="shared" si="5"/>
        <v>-156208.12841548226</v>
      </c>
      <c r="V24" s="13">
        <f t="shared" si="5"/>
        <v>-119816.25120214392</v>
      </c>
      <c r="W24" s="13"/>
      <c r="X24" s="13"/>
      <c r="Y24" s="13"/>
      <c r="Z24" s="13"/>
      <c r="AA24" s="13"/>
      <c r="AB24" s="13"/>
      <c r="AC24" s="13"/>
      <c r="AD24" s="13"/>
      <c r="AE24" s="13"/>
      <c r="AF24" s="13"/>
      <c r="AG24" s="13"/>
      <c r="AH24" s="13"/>
      <c r="AI24" s="13"/>
      <c r="AJ24" s="13"/>
    </row>
    <row r="25" spans="2:38" x14ac:dyDescent="0.15">
      <c r="O25" s="6"/>
      <c r="P25" s="6"/>
      <c r="Q25" s="6"/>
      <c r="R25" s="6"/>
      <c r="S25" s="6"/>
      <c r="T25" s="6"/>
      <c r="U25" s="403"/>
      <c r="V25" s="6"/>
      <c r="W25" s="6"/>
      <c r="X25" s="6"/>
      <c r="Y25" s="6"/>
      <c r="Z25" s="6"/>
      <c r="AA25" s="6"/>
      <c r="AB25" s="6"/>
      <c r="AC25" s="6"/>
      <c r="AD25" s="6"/>
      <c r="AE25" s="6"/>
      <c r="AF25" s="6"/>
      <c r="AG25" s="6"/>
      <c r="AH25" s="6"/>
      <c r="AI25" s="6"/>
      <c r="AJ25" s="6"/>
    </row>
    <row r="26" spans="2:38" x14ac:dyDescent="0.15">
      <c r="B26" s="395" t="s">
        <v>48</v>
      </c>
      <c r="C26" s="416" t="s">
        <v>150</v>
      </c>
      <c r="D26" s="396"/>
      <c r="E26" s="396"/>
      <c r="F26" s="395"/>
      <c r="G26" s="397">
        <f>G17+G24</f>
        <v>286143.71932200011</v>
      </c>
      <c r="H26" s="397">
        <f t="shared" ref="H26:V26" si="6">H17+H24</f>
        <v>350216.17443475017</v>
      </c>
      <c r="I26" s="397">
        <f t="shared" si="6"/>
        <v>359248.57955811871</v>
      </c>
      <c r="J26" s="397">
        <f t="shared" si="6"/>
        <v>368512.33482482168</v>
      </c>
      <c r="K26" s="397">
        <f t="shared" si="6"/>
        <v>378013.33478874725</v>
      </c>
      <c r="L26" s="397">
        <f t="shared" si="6"/>
        <v>387757.62358363677</v>
      </c>
      <c r="M26" s="397">
        <f t="shared" si="6"/>
        <v>397751.39870690223</v>
      </c>
      <c r="N26" s="397">
        <f t="shared" si="6"/>
        <v>408001.0148989227</v>
      </c>
      <c r="O26" s="397">
        <f t="shared" si="6"/>
        <v>418512.98812023073</v>
      </c>
      <c r="P26" s="397">
        <f t="shared" si="6"/>
        <v>429293.99962904822</v>
      </c>
      <c r="Q26" s="397">
        <f t="shared" si="6"/>
        <v>440350.9001617023</v>
      </c>
      <c r="R26" s="397">
        <f t="shared" si="6"/>
        <v>451690.71421851107</v>
      </c>
      <c r="S26" s="397">
        <f t="shared" si="6"/>
        <v>463320.6444577956</v>
      </c>
      <c r="T26" s="397">
        <f t="shared" si="6"/>
        <v>475248.07620073878</v>
      </c>
      <c r="U26" s="60">
        <f t="shared" si="6"/>
        <v>487480.5820498853</v>
      </c>
      <c r="V26" s="397">
        <f t="shared" si="6"/>
        <v>375019.44496810727</v>
      </c>
      <c r="W26" s="109"/>
      <c r="X26" s="109"/>
      <c r="Y26" s="109"/>
      <c r="Z26" s="109"/>
      <c r="AA26" s="109"/>
      <c r="AB26" s="109"/>
      <c r="AC26" s="109"/>
      <c r="AD26" s="109"/>
      <c r="AE26" s="109"/>
      <c r="AF26" s="109"/>
      <c r="AG26" s="109"/>
      <c r="AH26" s="109"/>
      <c r="AI26" s="109"/>
      <c r="AJ26" s="109"/>
      <c r="AL26" s="105"/>
    </row>
    <row r="27" spans="2:38" x14ac:dyDescent="0.15">
      <c r="B27" s="3"/>
      <c r="C27" s="3"/>
      <c r="D27" s="55"/>
      <c r="E27" s="55"/>
      <c r="F27" s="3"/>
      <c r="G27" s="109"/>
      <c r="H27" s="109"/>
      <c r="I27" s="109"/>
      <c r="J27" s="109"/>
      <c r="K27" s="109"/>
      <c r="L27" s="109"/>
      <c r="M27" s="109"/>
      <c r="N27" s="109"/>
      <c r="O27" s="109"/>
      <c r="P27" s="109"/>
      <c r="Q27" s="109"/>
      <c r="R27" s="109"/>
      <c r="S27" s="109"/>
      <c r="T27" s="109"/>
      <c r="U27" s="109"/>
      <c r="V27" s="109"/>
      <c r="W27" s="109"/>
      <c r="X27" s="109"/>
      <c r="Y27" s="109"/>
      <c r="Z27" s="109"/>
      <c r="AA27" s="109"/>
      <c r="AB27" s="109"/>
      <c r="AC27" s="109"/>
      <c r="AD27" s="109"/>
      <c r="AE27" s="109"/>
      <c r="AF27" s="109"/>
      <c r="AG27" s="109"/>
      <c r="AH27" s="109"/>
      <c r="AI27" s="109"/>
      <c r="AJ27" s="109"/>
      <c r="AL27" s="105"/>
    </row>
    <row r="28" spans="2:38" x14ac:dyDescent="0.15">
      <c r="B28" s="43" t="s">
        <v>281</v>
      </c>
      <c r="C28" s="314" t="s">
        <v>150</v>
      </c>
      <c r="D28" s="126"/>
      <c r="E28" s="126"/>
      <c r="F28" s="29">
        <f>'Monthly_P&amp;L'!$F$47</f>
        <v>0</v>
      </c>
      <c r="G28" s="53">
        <f>SUMIFS('Monthly_P&amp;L'!$G$47:$XFD$47,'Monthly_P&amp;L'!$G$14:$XFD$14,G$8)</f>
        <v>-426040</v>
      </c>
      <c r="H28" s="53">
        <f>SUMIFS('Monthly_P&amp;L'!$G$47:$XFD$47,'Monthly_P&amp;L'!$G$14:$XFD$14,H$8)</f>
        <v>0</v>
      </c>
      <c r="I28" s="53">
        <f>SUMIFS('Monthly_P&amp;L'!$G$47:$XFD$47,'Monthly_P&amp;L'!$G$14:$XFD$14,I$8)</f>
        <v>0</v>
      </c>
      <c r="J28" s="53">
        <f>SUMIFS('Monthly_P&amp;L'!$G$47:$XFD$47,'Monthly_P&amp;L'!$G$14:$XFD$14,J$8)</f>
        <v>0</v>
      </c>
      <c r="K28" s="53">
        <f>SUMIFS('Monthly_P&amp;L'!$G$47:$XFD$47,'Monthly_P&amp;L'!$G$14:$XFD$14,K$8)</f>
        <v>0</v>
      </c>
      <c r="L28" s="53">
        <f>SUMIFS('Monthly_P&amp;L'!$G$47:$XFD$47,'Monthly_P&amp;L'!$G$14:$XFD$14,L$8)</f>
        <v>0</v>
      </c>
      <c r="M28" s="53">
        <f>SUMIFS('Monthly_P&amp;L'!$G$47:$XFD$47,'Monthly_P&amp;L'!$G$14:$XFD$14,M$8)</f>
        <v>0</v>
      </c>
      <c r="N28" s="53">
        <f>SUMIFS('Monthly_P&amp;L'!$G$47:$XFD$47,'Monthly_P&amp;L'!$G$14:$XFD$14,N$8)</f>
        <v>0</v>
      </c>
      <c r="O28" s="53">
        <f>SUMIFS('Monthly_P&amp;L'!$G$47:$XFD$47,'Monthly_P&amp;L'!$G$14:$XFD$14,O$8)</f>
        <v>0</v>
      </c>
      <c r="P28" s="53">
        <f>SUMIFS('Monthly_P&amp;L'!$G$47:$XFD$47,'Monthly_P&amp;L'!$G$14:$XFD$14,P$8)</f>
        <v>0</v>
      </c>
      <c r="Q28" s="53">
        <f>SUMIFS('Monthly_P&amp;L'!$G$47:$XFD$47,'Monthly_P&amp;L'!$G$14:$XFD$14,Q$8)</f>
        <v>0</v>
      </c>
      <c r="R28" s="53">
        <f>SUMIFS('Monthly_P&amp;L'!$G$47:$XFD$47,'Monthly_P&amp;L'!$G$14:$XFD$14,R$8)</f>
        <v>0</v>
      </c>
      <c r="S28" s="53">
        <f>SUMIFS('Monthly_P&amp;L'!$G$47:$XFD$47,'Monthly_P&amp;L'!$G$14:$XFD$14,S$8)</f>
        <v>0</v>
      </c>
      <c r="T28" s="53">
        <f>SUMIFS('Monthly_P&amp;L'!$G$47:$XFD$47,'Monthly_P&amp;L'!$G$14:$XFD$14,T$8)</f>
        <v>0</v>
      </c>
      <c r="U28" s="53">
        <f>SUMIFS('Monthly_P&amp;L'!$G$47:$XFD$47,'Monthly_P&amp;L'!$G$14:$XFD$14,U$8)</f>
        <v>0</v>
      </c>
      <c r="V28" s="344">
        <f>SUMIFS('Monthly_P&amp;L'!$G$47:$XFD$47,'Monthly_P&amp;L'!$G$14:$XFD$14,V$8)</f>
        <v>0</v>
      </c>
      <c r="W28" s="344"/>
      <c r="X28" s="344"/>
      <c r="Y28" s="344"/>
      <c r="Z28" s="344"/>
      <c r="AA28" s="344"/>
      <c r="AB28" s="344"/>
      <c r="AC28" s="344"/>
      <c r="AD28" s="344"/>
      <c r="AE28" s="344"/>
      <c r="AF28" s="344"/>
      <c r="AG28" s="344"/>
      <c r="AH28" s="344"/>
      <c r="AI28" s="344"/>
      <c r="AJ28" s="344"/>
    </row>
    <row r="29" spans="2:38" x14ac:dyDescent="0.15">
      <c r="B29" s="59" t="s">
        <v>236</v>
      </c>
      <c r="C29" s="416" t="s">
        <v>150</v>
      </c>
      <c r="D29" s="349"/>
      <c r="E29" s="349"/>
      <c r="F29" s="59"/>
      <c r="G29" s="60">
        <f>G26+G28</f>
        <v>-139896.28067799989</v>
      </c>
      <c r="H29" s="60">
        <f t="shared" ref="H29:V29" si="7">H26+H28</f>
        <v>350216.17443475017</v>
      </c>
      <c r="I29" s="60">
        <f t="shared" si="7"/>
        <v>359248.57955811871</v>
      </c>
      <c r="J29" s="60">
        <f t="shared" si="7"/>
        <v>368512.33482482168</v>
      </c>
      <c r="K29" s="60">
        <f t="shared" si="7"/>
        <v>378013.33478874725</v>
      </c>
      <c r="L29" s="60">
        <f t="shared" si="7"/>
        <v>387757.62358363677</v>
      </c>
      <c r="M29" s="60">
        <f t="shared" si="7"/>
        <v>397751.39870690223</v>
      </c>
      <c r="N29" s="60">
        <f t="shared" si="7"/>
        <v>408001.0148989227</v>
      </c>
      <c r="O29" s="60">
        <f t="shared" si="7"/>
        <v>418512.98812023073</v>
      </c>
      <c r="P29" s="60">
        <f t="shared" si="7"/>
        <v>429293.99962904822</v>
      </c>
      <c r="Q29" s="60">
        <f t="shared" si="7"/>
        <v>440350.9001617023</v>
      </c>
      <c r="R29" s="60">
        <f t="shared" si="7"/>
        <v>451690.71421851107</v>
      </c>
      <c r="S29" s="60">
        <f t="shared" si="7"/>
        <v>463320.6444577956</v>
      </c>
      <c r="T29" s="60">
        <f t="shared" si="7"/>
        <v>475248.07620073878</v>
      </c>
      <c r="U29" s="60">
        <f t="shared" si="7"/>
        <v>487480.5820498853</v>
      </c>
      <c r="V29" s="404">
        <f t="shared" si="7"/>
        <v>375019.44496810727</v>
      </c>
    </row>
    <row r="30" spans="2:38" x14ac:dyDescent="0.15">
      <c r="B30" s="3"/>
      <c r="C30" s="3"/>
    </row>
    <row r="31" spans="2:38" x14ac:dyDescent="0.15">
      <c r="B31" s="31" t="s">
        <v>319</v>
      </c>
      <c r="C31" s="312" t="s">
        <v>150</v>
      </c>
      <c r="D31" s="55"/>
      <c r="E31" s="55"/>
      <c r="F31" s="3"/>
      <c r="G31" s="342">
        <f>SUMIFS('Monthly_P&amp;L'!$G$51:$XFD$51,'Monthly_P&amp;L'!$G$14:$XFD$14,G$8)</f>
        <v>0</v>
      </c>
      <c r="H31" s="342">
        <f>SUMIFS('Monthly_P&amp;L'!$G$51:$XFD$51,'Monthly_P&amp;L'!$G$14:$XFD$14,H$8)</f>
        <v>0</v>
      </c>
      <c r="I31" s="342">
        <f>SUMIFS('Monthly_P&amp;L'!$G$51:$XFD$51,'Monthly_P&amp;L'!$G$14:$XFD$14,I$8)</f>
        <v>0</v>
      </c>
      <c r="J31" s="342">
        <f>SUMIFS('Monthly_P&amp;L'!$G$51:$XFD$51,'Monthly_P&amp;L'!$G$14:$XFD$14,J$8)</f>
        <v>0</v>
      </c>
      <c r="K31" s="342">
        <f>SUMIFS('Monthly_P&amp;L'!$G$51:$XFD$51,'Monthly_P&amp;L'!$G$14:$XFD$14,K$8)</f>
        <v>0</v>
      </c>
      <c r="L31" s="342">
        <f>SUMIFS('Monthly_P&amp;L'!$G$51:$XFD$51,'Monthly_P&amp;L'!$G$14:$XFD$14,L$8)</f>
        <v>0</v>
      </c>
      <c r="M31" s="342">
        <f>SUMIFS('Monthly_P&amp;L'!$G$51:$XFD$51,'Monthly_P&amp;L'!$G$14:$XFD$14,M$8)</f>
        <v>0</v>
      </c>
      <c r="N31" s="342">
        <f>SUMIFS('Monthly_P&amp;L'!$G$51:$XFD$51,'Monthly_P&amp;L'!$G$14:$XFD$14,N$8)</f>
        <v>0</v>
      </c>
      <c r="O31" s="342">
        <f>SUMIFS('Monthly_P&amp;L'!$G$51:$XFD$51,'Monthly_P&amp;L'!$G$14:$XFD$14,O$8)</f>
        <v>0</v>
      </c>
      <c r="P31" s="342">
        <f>SUMIFS('Monthly_P&amp;L'!$G$51:$XFD$51,'Monthly_P&amp;L'!$G$14:$XFD$14,P$8)</f>
        <v>8006380.0029400419</v>
      </c>
      <c r="Q31" s="342">
        <f>SUMIFS('Monthly_P&amp;L'!$G$51:$XFD$51,'Monthly_P&amp;L'!$G$14:$XFD$14,Q$8)</f>
        <v>0</v>
      </c>
      <c r="R31" s="342">
        <f>SUMIFS('Monthly_P&amp;L'!$G$51:$XFD$51,'Monthly_P&amp;L'!$G$14:$XFD$14,R$8)</f>
        <v>0</v>
      </c>
      <c r="S31" s="342">
        <f>SUMIFS('Monthly_P&amp;L'!$G$51:$XFD$51,'Monthly_P&amp;L'!$G$14:$XFD$14,S$8)</f>
        <v>0</v>
      </c>
      <c r="T31" s="342">
        <f>SUMIFS('Monthly_P&amp;L'!$G$51:$XFD$51,'Monthly_P&amp;L'!$G$14:$XFD$14,T$8)</f>
        <v>0</v>
      </c>
      <c r="U31" s="342">
        <f>SUMIFS('Monthly_P&amp;L'!$G$51:$XFD$51,'Monthly_P&amp;L'!$G$14:$XFD$14,U$8)</f>
        <v>0</v>
      </c>
      <c r="V31" s="342">
        <f>SUMIFS('Monthly_P&amp;L'!$G$51:$XFD$51,'Monthly_P&amp;L'!$G$14:$XFD$14,V$8)</f>
        <v>0</v>
      </c>
      <c r="W31" s="342"/>
      <c r="X31" s="342"/>
      <c r="Y31" s="342"/>
      <c r="Z31" s="342"/>
      <c r="AA31" s="342"/>
      <c r="AB31" s="342"/>
      <c r="AC31" s="342"/>
      <c r="AD31" s="342"/>
      <c r="AE31" s="342"/>
      <c r="AF31" s="342"/>
      <c r="AG31" s="342"/>
      <c r="AH31" s="342"/>
      <c r="AI31" s="342"/>
      <c r="AJ31" s="342"/>
    </row>
    <row r="32" spans="2:38" x14ac:dyDescent="0.15">
      <c r="B32" s="319" t="s">
        <v>320</v>
      </c>
      <c r="C32" s="314" t="s">
        <v>150</v>
      </c>
      <c r="D32" s="398">
        <f>cost_sale</f>
        <v>0.04</v>
      </c>
      <c r="E32" s="398"/>
      <c r="F32" s="374"/>
      <c r="G32" s="399">
        <f>SUMIFS('Monthly_P&amp;L'!$G$52:$XFD$52,'Monthly_P&amp;L'!$G$14:$XFD$14,G$8)</f>
        <v>0</v>
      </c>
      <c r="H32" s="399">
        <f>SUMIFS('Monthly_P&amp;L'!$G$52:$XFD$52,'Monthly_P&amp;L'!$G$14:$XFD$14,H$8)</f>
        <v>0</v>
      </c>
      <c r="I32" s="399">
        <f>SUMIFS('Monthly_P&amp;L'!$G$52:$XFD$52,'Monthly_P&amp;L'!$G$14:$XFD$14,I$8)</f>
        <v>0</v>
      </c>
      <c r="J32" s="399">
        <f>SUMIFS('Monthly_P&amp;L'!$G$52:$XFD$52,'Monthly_P&amp;L'!$G$14:$XFD$14,J$8)</f>
        <v>0</v>
      </c>
      <c r="K32" s="399">
        <f>SUMIFS('Monthly_P&amp;L'!$G$52:$XFD$52,'Monthly_P&amp;L'!$G$14:$XFD$14,K$8)</f>
        <v>0</v>
      </c>
      <c r="L32" s="399">
        <f>SUMIFS('Monthly_P&amp;L'!$G$52:$XFD$52,'Monthly_P&amp;L'!$G$14:$XFD$14,L$8)</f>
        <v>0</v>
      </c>
      <c r="M32" s="399">
        <f>SUMIFS('Monthly_P&amp;L'!$G$52:$XFD$52,'Monthly_P&amp;L'!$G$14:$XFD$14,M$8)</f>
        <v>0</v>
      </c>
      <c r="N32" s="399">
        <f>SUMIFS('Monthly_P&amp;L'!$G$52:$XFD$52,'Monthly_P&amp;L'!$G$14:$XFD$14,N$8)</f>
        <v>0</v>
      </c>
      <c r="O32" s="399">
        <f>SUMIFS('Monthly_P&amp;L'!$G$52:$XFD$52,'Monthly_P&amp;L'!$G$14:$XFD$14,O$8)</f>
        <v>0</v>
      </c>
      <c r="P32" s="399">
        <f>SUMIFS('Monthly_P&amp;L'!$G$52:$XFD$52,'Monthly_P&amp;L'!$G$14:$XFD$14,P$8)</f>
        <v>-320255.20011760166</v>
      </c>
      <c r="Q32" s="399">
        <f>SUMIFS('Monthly_P&amp;L'!$G$52:$XFD$52,'Monthly_P&amp;L'!$G$14:$XFD$14,Q$8)</f>
        <v>0</v>
      </c>
      <c r="R32" s="399">
        <f>SUMIFS('Monthly_P&amp;L'!$G$52:$XFD$52,'Monthly_P&amp;L'!$G$14:$XFD$14,R$8)</f>
        <v>0</v>
      </c>
      <c r="S32" s="399">
        <f>SUMIFS('Monthly_P&amp;L'!$G$52:$XFD$52,'Monthly_P&amp;L'!$G$14:$XFD$14,S$8)</f>
        <v>0</v>
      </c>
      <c r="T32" s="399">
        <f>SUMIFS('Monthly_P&amp;L'!$G$52:$XFD$52,'Monthly_P&amp;L'!$G$14:$XFD$14,T$8)</f>
        <v>0</v>
      </c>
      <c r="U32" s="399">
        <f>SUMIFS('Monthly_P&amp;L'!$G$52:$XFD$52,'Monthly_P&amp;L'!$G$14:$XFD$14,U$8)</f>
        <v>0</v>
      </c>
      <c r="V32" s="399">
        <f>SUMIFS('Monthly_P&amp;L'!$G$52:$XFD$52,'Monthly_P&amp;L'!$G$14:$XFD$14,V$8)</f>
        <v>0</v>
      </c>
      <c r="W32" s="342"/>
      <c r="X32" s="342"/>
      <c r="Y32" s="342"/>
      <c r="Z32" s="342"/>
      <c r="AA32" s="342"/>
      <c r="AB32" s="342"/>
      <c r="AC32" s="342"/>
      <c r="AD32" s="342"/>
      <c r="AE32" s="342"/>
      <c r="AF32" s="342"/>
      <c r="AG32" s="342"/>
      <c r="AH32" s="342"/>
      <c r="AI32" s="342"/>
      <c r="AJ32" s="342"/>
    </row>
    <row r="33" spans="2:36" x14ac:dyDescent="0.15">
      <c r="B33" s="59" t="s">
        <v>54</v>
      </c>
      <c r="C33" s="416" t="s">
        <v>150</v>
      </c>
      <c r="D33" s="349"/>
      <c r="E33" s="349"/>
      <c r="F33" s="61">
        <f>'Monthly_P&amp;L'!$F$54</f>
        <v>-6224400</v>
      </c>
      <c r="G33" s="60">
        <f t="shared" ref="G33:V33" si="8">IF(G$8&gt;$F$5,0,G29+G31+G32)</f>
        <v>-139896.28067799989</v>
      </c>
      <c r="H33" s="60">
        <f t="shared" si="8"/>
        <v>350216.17443475017</v>
      </c>
      <c r="I33" s="60">
        <f t="shared" si="8"/>
        <v>359248.57955811871</v>
      </c>
      <c r="J33" s="60">
        <f t="shared" si="8"/>
        <v>368512.33482482168</v>
      </c>
      <c r="K33" s="60">
        <f t="shared" si="8"/>
        <v>378013.33478874725</v>
      </c>
      <c r="L33" s="60">
        <f t="shared" si="8"/>
        <v>387757.62358363677</v>
      </c>
      <c r="M33" s="60">
        <f t="shared" si="8"/>
        <v>397751.39870690223</v>
      </c>
      <c r="N33" s="60">
        <f t="shared" si="8"/>
        <v>408001.0148989227</v>
      </c>
      <c r="O33" s="60">
        <f t="shared" si="8"/>
        <v>418512.98812023073</v>
      </c>
      <c r="P33" s="60">
        <f t="shared" si="8"/>
        <v>8115418.8024514886</v>
      </c>
      <c r="Q33" s="60">
        <f t="shared" si="8"/>
        <v>0</v>
      </c>
      <c r="R33" s="60">
        <f t="shared" si="8"/>
        <v>0</v>
      </c>
      <c r="S33" s="60">
        <f t="shared" si="8"/>
        <v>0</v>
      </c>
      <c r="T33" s="60">
        <f t="shared" si="8"/>
        <v>0</v>
      </c>
      <c r="U33" s="60">
        <f t="shared" si="8"/>
        <v>0</v>
      </c>
      <c r="V33" s="60">
        <f t="shared" si="8"/>
        <v>0</v>
      </c>
      <c r="W33" s="109"/>
      <c r="X33" s="109"/>
      <c r="Y33" s="109"/>
      <c r="Z33" s="109"/>
      <c r="AA33" s="109"/>
      <c r="AB33" s="109"/>
      <c r="AC33" s="109"/>
      <c r="AD33" s="109"/>
      <c r="AE33" s="109"/>
      <c r="AF33" s="109"/>
      <c r="AG33" s="109"/>
      <c r="AH33" s="109"/>
      <c r="AI33" s="109"/>
      <c r="AJ33" s="109"/>
    </row>
    <row r="34" spans="2:36" x14ac:dyDescent="0.15">
      <c r="F34" s="9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3"/>
      <c r="AI34" s="13"/>
      <c r="AJ34" s="13"/>
    </row>
    <row r="35" spans="2:36" x14ac:dyDescent="0.15">
      <c r="B35" s="31" t="s">
        <v>282</v>
      </c>
      <c r="C35" s="312" t="s">
        <v>150</v>
      </c>
      <c r="D35" s="124"/>
      <c r="E35" s="124"/>
      <c r="G35" s="52">
        <f>SUMIFS('Monthly_P&amp;L'!$G$57:$XFD$57,'Monthly_P&amp;L'!$G$14:$XFD$14,G$8)</f>
        <v>-224155.58998772621</v>
      </c>
      <c r="H35" s="52">
        <f>SUMIFS('Monthly_P&amp;L'!$G$57:$XFD$57,'Monthly_P&amp;L'!$G$14:$XFD$14,H$8)</f>
        <v>-217421.83052398125</v>
      </c>
      <c r="I35" s="52">
        <f>SUMIFS('Monthly_P&amp;L'!$G$57:$XFD$57,'Monthly_P&amp;L'!$G$14:$XFD$14,I$8)</f>
        <v>-200182.06669756549</v>
      </c>
      <c r="J35" s="52">
        <f>SUMIFS('Monthly_P&amp;L'!$G$57:$XFD$57,'Monthly_P&amp;L'!$G$14:$XFD$14,J$8)</f>
        <v>-197834.45175163561</v>
      </c>
      <c r="K35" s="52">
        <f>SUMIFS('Monthly_P&amp;L'!$G$57:$XFD$57,'Monthly_P&amp;L'!$G$14:$XFD$14,K$8)</f>
        <v>-195369.45605840933</v>
      </c>
      <c r="L35" s="52">
        <f>SUMIFS('Monthly_P&amp;L'!$G$57:$XFD$57,'Monthly_P&amp;L'!$G$14:$XFD$14,L$8)</f>
        <v>-192781.2105805217</v>
      </c>
      <c r="M35" s="52">
        <f>SUMIFS('Monthly_P&amp;L'!$G$57:$XFD$57,'Monthly_P&amp;L'!$G$14:$XFD$14,M$8)</f>
        <v>-190063.55282873966</v>
      </c>
      <c r="N35" s="52">
        <f>SUMIFS('Monthly_P&amp;L'!$G$57:$XFD$57,'Monthly_P&amp;L'!$G$14:$XFD$14,N$8)</f>
        <v>-187210.01218936851</v>
      </c>
      <c r="O35" s="52">
        <f>SUMIFS('Monthly_P&amp;L'!$G$57:$XFD$57,'Monthly_P&amp;L'!$G$14:$XFD$14,O$8)</f>
        <v>-184213.79451802885</v>
      </c>
      <c r="P35" s="52">
        <f>SUMIFS('Monthly_P&amp;L'!$G$57:$XFD$57,'Monthly_P&amp;L'!$G$14:$XFD$14,P$8)</f>
        <v>-181067.76596312219</v>
      </c>
      <c r="Q35" s="52">
        <f>SUMIFS('Monthly_P&amp;L'!$G$57:$XFD$57,'Monthly_P&amp;L'!$G$14:$XFD$14,Q$8)</f>
        <v>0</v>
      </c>
      <c r="R35" s="52">
        <f>SUMIFS('Monthly_P&amp;L'!$G$57:$XFD$57,'Monthly_P&amp;L'!$G$14:$XFD$14,R$8)</f>
        <v>0</v>
      </c>
      <c r="S35" s="52">
        <f>SUMIFS('Monthly_P&amp;L'!$G$57:$XFD$57,'Monthly_P&amp;L'!$G$14:$XFD$14,S$8)</f>
        <v>0</v>
      </c>
      <c r="T35" s="52">
        <f>SUMIFS('Monthly_P&amp;L'!$G$57:$XFD$57,'Monthly_P&amp;L'!$G$14:$XFD$14,T$8)</f>
        <v>0</v>
      </c>
      <c r="U35" s="52">
        <f>SUMIFS('Monthly_P&amp;L'!$G$57:$XFD$57,'Monthly_P&amp;L'!$G$14:$XFD$14,U$8)</f>
        <v>0</v>
      </c>
      <c r="V35" s="52">
        <f>SUMIFS('Monthly_P&amp;L'!$G$57:$XFD$57,'Monthly_P&amp;L'!$G$14:$XFD$14,V$8)</f>
        <v>0</v>
      </c>
      <c r="W35" s="344"/>
      <c r="X35" s="344"/>
      <c r="Y35" s="344"/>
      <c r="Z35" s="344"/>
      <c r="AA35" s="344"/>
      <c r="AB35" s="344"/>
      <c r="AC35" s="344"/>
      <c r="AD35" s="344"/>
      <c r="AE35" s="344"/>
      <c r="AF35" s="344"/>
      <c r="AG35" s="344"/>
      <c r="AH35" s="344"/>
      <c r="AI35" s="344"/>
      <c r="AJ35" s="344"/>
    </row>
    <row r="36" spans="2:36" x14ac:dyDescent="0.15">
      <c r="B36" s="5" t="s">
        <v>283</v>
      </c>
      <c r="C36" s="312" t="s">
        <v>150</v>
      </c>
      <c r="D36" s="123"/>
      <c r="E36" s="123"/>
      <c r="F36" s="5"/>
      <c r="G36" s="53">
        <f>SUMIFS('Monthly_P&amp;L'!$G$58:$XFD$58,'Monthly_P&amp;L'!$G$14:$XFD$14,G$8)</f>
        <v>0</v>
      </c>
      <c r="H36" s="53">
        <f>SUMIFS('Monthly_P&amp;L'!$G$58:$XFD$58,'Monthly_P&amp;L'!$G$14:$XFD$14,H$8)</f>
        <v>-22630.939576736469</v>
      </c>
      <c r="I36" s="53">
        <f>SUMIFS('Monthly_P&amp;L'!$G$58:$XFD$58,'Monthly_P&amp;L'!$G$14:$XFD$14,I$8)</f>
        <v>-46952.298918595821</v>
      </c>
      <c r="J36" s="53">
        <f>SUMIFS('Monthly_P&amp;L'!$G$58:$XFD$58,'Monthly_P&amp;L'!$G$14:$XFD$14,J$8)</f>
        <v>-49299.913864525646</v>
      </c>
      <c r="K36" s="53">
        <f>SUMIFS('Monthly_P&amp;L'!$G$58:$XFD$58,'Monthly_P&amp;L'!$G$14:$XFD$14,K$8)</f>
        <v>-51764.909557751962</v>
      </c>
      <c r="L36" s="53">
        <f>SUMIFS('Monthly_P&amp;L'!$G$58:$XFD$58,'Monthly_P&amp;L'!$G$14:$XFD$14,L$8)</f>
        <v>-54353.155035639596</v>
      </c>
      <c r="M36" s="53">
        <f>SUMIFS('Monthly_P&amp;L'!$G$58:$XFD$58,'Monthly_P&amp;L'!$G$14:$XFD$14,M$8)</f>
        <v>-57070.812787421608</v>
      </c>
      <c r="N36" s="53">
        <f>SUMIFS('Monthly_P&amp;L'!$G$58:$XFD$58,'Monthly_P&amp;L'!$G$14:$XFD$14,N$8)</f>
        <v>-59924.353426792717</v>
      </c>
      <c r="O36" s="53">
        <f>SUMIFS('Monthly_P&amp;L'!$G$58:$XFD$58,'Monthly_P&amp;L'!$G$14:$XFD$14,O$8)</f>
        <v>-62920.571098132394</v>
      </c>
      <c r="P36" s="53">
        <f>SUMIFS('Monthly_P&amp;L'!$G$58:$XFD$58,'Monthly_P&amp;L'!$G$14:$XFD$14,P$8)</f>
        <v>-66066.59965303904</v>
      </c>
      <c r="Q36" s="53">
        <f>SUMIFS('Monthly_P&amp;L'!$G$58:$XFD$58,'Monthly_P&amp;L'!$G$14:$XFD$14,Q$8)</f>
        <v>0</v>
      </c>
      <c r="R36" s="53">
        <f>SUMIFS('Monthly_P&amp;L'!$G$58:$XFD$58,'Monthly_P&amp;L'!$G$14:$XFD$14,R$8)</f>
        <v>0</v>
      </c>
      <c r="S36" s="53">
        <f>SUMIFS('Monthly_P&amp;L'!$G$58:$XFD$58,'Monthly_P&amp;L'!$G$14:$XFD$14,S$8)</f>
        <v>0</v>
      </c>
      <c r="T36" s="53">
        <f>SUMIFS('Monthly_P&amp;L'!$G$58:$XFD$58,'Monthly_P&amp;L'!$G$14:$XFD$14,T$8)</f>
        <v>0</v>
      </c>
      <c r="U36" s="53">
        <f>SUMIFS('Monthly_P&amp;L'!$G$58:$XFD$58,'Monthly_P&amp;L'!$G$14:$XFD$14,U$8)</f>
        <v>0</v>
      </c>
      <c r="V36" s="53">
        <f>SUMIFS('Monthly_P&amp;L'!$G$58:$XFD$58,'Monthly_P&amp;L'!$G$14:$XFD$14,V$8)</f>
        <v>0</v>
      </c>
      <c r="W36" s="344"/>
      <c r="X36" s="344"/>
      <c r="Y36" s="344"/>
      <c r="Z36" s="344"/>
      <c r="AA36" s="344"/>
      <c r="AB36" s="344"/>
      <c r="AC36" s="344"/>
      <c r="AD36" s="344"/>
      <c r="AE36" s="344"/>
      <c r="AF36" s="344"/>
      <c r="AG36" s="344"/>
      <c r="AH36" s="344"/>
      <c r="AI36" s="344"/>
      <c r="AJ36" s="344"/>
    </row>
    <row r="37" spans="2:36" x14ac:dyDescent="0.15">
      <c r="B37" t="s">
        <v>67</v>
      </c>
      <c r="C37" s="376" t="s">
        <v>150</v>
      </c>
      <c r="G37" s="44">
        <f>G35+G36</f>
        <v>-224155.58998772621</v>
      </c>
      <c r="H37" s="44">
        <f t="shared" ref="H37:V37" si="9">H35+H36</f>
        <v>-240052.77010071772</v>
      </c>
      <c r="I37" s="44">
        <f t="shared" si="9"/>
        <v>-247134.36561616132</v>
      </c>
      <c r="J37" s="44">
        <f t="shared" si="9"/>
        <v>-247134.36561616126</v>
      </c>
      <c r="K37" s="44">
        <f t="shared" si="9"/>
        <v>-247134.36561616129</v>
      </c>
      <c r="L37" s="44">
        <f t="shared" si="9"/>
        <v>-247134.36561616129</v>
      </c>
      <c r="M37" s="44">
        <f t="shared" si="9"/>
        <v>-247134.36561616126</v>
      </c>
      <c r="N37" s="44">
        <f t="shared" si="9"/>
        <v>-247134.36561616123</v>
      </c>
      <c r="O37" s="44">
        <f t="shared" si="9"/>
        <v>-247134.36561616126</v>
      </c>
      <c r="P37" s="44">
        <f t="shared" si="9"/>
        <v>-247134.36561616123</v>
      </c>
      <c r="Q37" s="44">
        <f t="shared" si="9"/>
        <v>0</v>
      </c>
      <c r="R37" s="44">
        <f t="shared" si="9"/>
        <v>0</v>
      </c>
      <c r="S37" s="44">
        <f t="shared" si="9"/>
        <v>0</v>
      </c>
      <c r="T37" s="44">
        <f t="shared" si="9"/>
        <v>0</v>
      </c>
      <c r="U37" s="44">
        <f t="shared" si="9"/>
        <v>0</v>
      </c>
      <c r="V37" s="44">
        <f t="shared" si="9"/>
        <v>0</v>
      </c>
      <c r="W37" s="65"/>
      <c r="X37" s="65"/>
      <c r="Y37" s="65"/>
      <c r="Z37" s="65"/>
      <c r="AA37" s="65"/>
      <c r="AB37" s="65"/>
      <c r="AC37" s="65"/>
      <c r="AD37" s="65"/>
      <c r="AE37" s="65"/>
      <c r="AF37" s="65"/>
      <c r="AG37" s="65"/>
      <c r="AH37" s="65"/>
      <c r="AI37" s="65"/>
      <c r="AJ37" s="65"/>
    </row>
    <row r="38" spans="2:36" x14ac:dyDescent="0.15">
      <c r="B38" t="s">
        <v>68</v>
      </c>
      <c r="F38" s="44">
        <f>'Monthly_P&amp;L'!$F$89+'Monthly_P&amp;L'!$F$96</f>
        <v>3588310.1006036219</v>
      </c>
      <c r="G38" s="44">
        <f>SUMIFS('Monthly_P&amp;L'!$G$89:$XFD$89,'Monthly_P&amp;L'!$G$7:$XFD$7,G$8*12)+SUMIFS('Monthly_P&amp;L'!$G$96:$XFD$96,'Monthly_P&amp;L'!$G$7:$XFD$7,G$8*12)</f>
        <v>3988508.0366709237</v>
      </c>
      <c r="H38" s="44">
        <f>SUMIFS('Monthly_P&amp;L'!$G$89:$XFD$89,'Monthly_P&amp;L'!$G$7:$XFD$7,H$8*12)+SUMIFS('Monthly_P&amp;L'!$G$96:$XFD$96,'Monthly_P&amp;L'!$G$7:$XFD$7,H$8*12)</f>
        <v>4115913.4587149974</v>
      </c>
      <c r="I38" s="44">
        <f>SUMIFS('Monthly_P&amp;L'!$G$89:$XFD$89,'Monthly_P&amp;L'!$G$7:$XFD$7,I$8*12)+SUMIFS('Monthly_P&amp;L'!$G$96:$XFD$96,'Monthly_P&amp;L'!$G$7:$XFD$7,I$8*12)</f>
        <v>4068961.1597964009</v>
      </c>
      <c r="J38" s="44">
        <f>SUMIFS('Monthly_P&amp;L'!$G$89:$XFD$89,'Monthly_P&amp;L'!$G$7:$XFD$7,J$8*12)+SUMIFS('Monthly_P&amp;L'!$G$96:$XFD$96,'Monthly_P&amp;L'!$G$7:$XFD$7,J$8*12)</f>
        <v>4019661.2459318754</v>
      </c>
      <c r="K38" s="44">
        <f>SUMIFS('Monthly_P&amp;L'!$G$89:$XFD$89,'Monthly_P&amp;L'!$G$7:$XFD$7,K$8*12)+SUMIFS('Monthly_P&amp;L'!$G$96:$XFD$96,'Monthly_P&amp;L'!$G$7:$XFD$7,K$8*12)</f>
        <v>3967896.3363741236</v>
      </c>
      <c r="L38" s="44">
        <f>SUMIFS('Monthly_P&amp;L'!$G$89:$XFD$89,'Monthly_P&amp;L'!$G$7:$XFD$7,L$8*12)+SUMIFS('Monthly_P&amp;L'!$G$96:$XFD$96,'Monthly_P&amp;L'!$G$7:$XFD$7,L$8*12)</f>
        <v>3913543.1813384844</v>
      </c>
      <c r="M38" s="44">
        <f>SUMIFS('Monthly_P&amp;L'!$G$89:$XFD$89,'Monthly_P&amp;L'!$G$7:$XFD$7,M$8*12)+SUMIFS('Monthly_P&amp;L'!$G$96:$XFD$96,'Monthly_P&amp;L'!$G$7:$XFD$7,M$8*12)</f>
        <v>3856472.3685510629</v>
      </c>
      <c r="N38" s="44">
        <f>SUMIFS('Monthly_P&amp;L'!$G$89:$XFD$89,'Monthly_P&amp;L'!$G$7:$XFD$7,N$8*12)+SUMIFS('Monthly_P&amp;L'!$G$96:$XFD$96,'Monthly_P&amp;L'!$G$7:$XFD$7,N$8*12)</f>
        <v>3796548.0151242702</v>
      </c>
      <c r="O38" s="44">
        <f>SUMIFS('Monthly_P&amp;L'!$G$89:$XFD$89,'Monthly_P&amp;L'!$G$7:$XFD$7,O$8*12)+SUMIFS('Monthly_P&amp;L'!$G$96:$XFD$96,'Monthly_P&amp;L'!$G$7:$XFD$7,O$8*12)</f>
        <v>3733627.4440261368</v>
      </c>
      <c r="P38" s="44">
        <f>SUMIFS('Monthly_P&amp;L'!$G$89:$XFD$89,'Monthly_P&amp;L'!$G$7:$XFD$7,P$8*12)+SUMIFS('Monthly_P&amp;L'!$G$96:$XFD$96,'Monthly_P&amp;L'!$G$7:$XFD$7,P$8*12)</f>
        <v>0</v>
      </c>
      <c r="Q38" s="44">
        <f>SUMIFS('Monthly_P&amp;L'!$G$89:$XFD$89,'Monthly_P&amp;L'!$G$7:$XFD$7,Q$8*12)+SUMIFS('Monthly_P&amp;L'!$G$96:$XFD$96,'Monthly_P&amp;L'!$G$7:$XFD$7,Q$8*12)</f>
        <v>0</v>
      </c>
      <c r="R38" s="44">
        <f>SUMIFS('Monthly_P&amp;L'!$G$89:$XFD$89,'Monthly_P&amp;L'!$G$7:$XFD$7,R$8*12)+SUMIFS('Monthly_P&amp;L'!$G$96:$XFD$96,'Monthly_P&amp;L'!$G$7:$XFD$7,R$8*12)</f>
        <v>0</v>
      </c>
      <c r="S38" s="44">
        <f>SUMIFS('Monthly_P&amp;L'!$G$89:$XFD$89,'Monthly_P&amp;L'!$G$7:$XFD$7,S$8*12)+SUMIFS('Monthly_P&amp;L'!$G$96:$XFD$96,'Monthly_P&amp;L'!$G$7:$XFD$7,S$8*12)</f>
        <v>0</v>
      </c>
      <c r="T38" s="44">
        <f>SUMIFS('Monthly_P&amp;L'!$G$89:$XFD$89,'Monthly_P&amp;L'!$G$7:$XFD$7,T$8*12)+SUMIFS('Monthly_P&amp;L'!$G$96:$XFD$96,'Monthly_P&amp;L'!$G$7:$XFD$7,T$8*12)</f>
        <v>0</v>
      </c>
      <c r="U38" s="44">
        <f>SUMIFS('Monthly_P&amp;L'!$G$89:$XFD$89,'Monthly_P&amp;L'!$G$7:$XFD$7,U$8*12)+SUMIFS('Monthly_P&amp;L'!$G$96:$XFD$96,'Monthly_P&amp;L'!$G$7:$XFD$7,U$8*12)</f>
        <v>0</v>
      </c>
      <c r="V38" s="44">
        <f>SUMIFS('Monthly_P&amp;L'!$G$89:$XFD$89,'Monthly_P&amp;L'!$G$7:$XFD$7,V$8*12)+SUMIFS('Monthly_P&amp;L'!$G$96:$XFD$96,'Monthly_P&amp;L'!$G$7:$XFD$7,V$8*12)</f>
        <v>0</v>
      </c>
      <c r="W38" s="65"/>
      <c r="X38" s="65"/>
      <c r="Y38" s="65"/>
      <c r="Z38" s="65"/>
      <c r="AA38" s="65"/>
      <c r="AB38" s="65"/>
      <c r="AC38" s="65"/>
      <c r="AD38" s="65"/>
      <c r="AE38" s="65"/>
      <c r="AF38" s="65"/>
      <c r="AG38" s="65"/>
      <c r="AH38" s="65"/>
      <c r="AI38" s="65"/>
      <c r="AJ38" s="65"/>
    </row>
    <row r="39" spans="2:36" x14ac:dyDescent="0.15">
      <c r="F39" s="44"/>
      <c r="G39" s="44"/>
      <c r="H39" s="44"/>
      <c r="I39" s="44"/>
      <c r="J39" s="44"/>
      <c r="K39" s="44"/>
      <c r="L39" s="44"/>
      <c r="M39" s="44"/>
      <c r="N39" s="44"/>
      <c r="O39" s="44"/>
      <c r="P39" s="44"/>
      <c r="Q39" s="44"/>
      <c r="R39" s="44"/>
      <c r="S39" s="44"/>
      <c r="T39" s="44"/>
      <c r="U39" s="44"/>
      <c r="V39" s="44"/>
      <c r="W39" s="65"/>
      <c r="X39" s="65"/>
      <c r="Y39" s="65"/>
      <c r="Z39" s="65"/>
      <c r="AA39" s="65"/>
      <c r="AB39" s="65"/>
      <c r="AC39" s="65"/>
      <c r="AD39" s="65"/>
      <c r="AE39" s="65"/>
      <c r="AF39" s="65"/>
      <c r="AG39" s="65"/>
      <c r="AH39" s="65"/>
      <c r="AI39" s="65"/>
      <c r="AJ39" s="65"/>
    </row>
    <row r="40" spans="2:36" x14ac:dyDescent="0.15">
      <c r="B40" t="s">
        <v>298</v>
      </c>
      <c r="C40" s="312" t="s">
        <v>150</v>
      </c>
      <c r="F40" s="44">
        <f>'Monthly_P&amp;L'!$F$66</f>
        <v>3588310.1006036219</v>
      </c>
      <c r="G40" s="44">
        <f>SUMIFS('Monthly_P&amp;L'!$G$66:$XFD$66,'Monthly_P&amp;L'!$G$14:$XFD$14,G$8)</f>
        <v>400197.93606730143</v>
      </c>
      <c r="H40" s="44">
        <f>SUMIFS('Monthly_P&amp;L'!$G$66:$XFD$66,'Monthly_P&amp;L'!$G$14:$XFD$14,H$8)</f>
        <v>0</v>
      </c>
      <c r="I40" s="44">
        <f>SUMIFS('Monthly_P&amp;L'!$G$66:$XFD$66,'Monthly_P&amp;L'!$G$14:$XFD$14,I$8)</f>
        <v>0</v>
      </c>
      <c r="J40" s="44">
        <f>SUMIFS('Monthly_P&amp;L'!$G$66:$XFD$66,'Monthly_P&amp;L'!$G$14:$XFD$14,J$8)</f>
        <v>0</v>
      </c>
      <c r="K40" s="44">
        <f>SUMIFS('Monthly_P&amp;L'!$G$66:$XFD$66,'Monthly_P&amp;L'!$G$14:$XFD$14,K$8)</f>
        <v>0</v>
      </c>
      <c r="L40" s="44">
        <f>SUMIFS('Monthly_P&amp;L'!$G$66:$XFD$66,'Monthly_P&amp;L'!$G$14:$XFD$14,L$8)</f>
        <v>0</v>
      </c>
      <c r="M40" s="44">
        <f>SUMIFS('Monthly_P&amp;L'!$G$66:$XFD$66,'Monthly_P&amp;L'!$G$14:$XFD$14,M$8)</f>
        <v>0</v>
      </c>
      <c r="N40" s="44">
        <f>SUMIFS('Monthly_P&amp;L'!$G$66:$XFD$66,'Monthly_P&amp;L'!$G$14:$XFD$14,N$8)</f>
        <v>0</v>
      </c>
      <c r="O40" s="44">
        <f>SUMIFS('Monthly_P&amp;L'!$G$66:$XFD$66,'Monthly_P&amp;L'!$G$14:$XFD$14,O$8)</f>
        <v>0</v>
      </c>
      <c r="P40" s="44">
        <f>SUMIFS('Monthly_P&amp;L'!$G$66:$XFD$66,'Monthly_P&amp;L'!$G$14:$XFD$14,P$8)</f>
        <v>0</v>
      </c>
      <c r="Q40" s="44">
        <f>SUMIFS('Monthly_P&amp;L'!$G$66:$XFD$66,'Monthly_P&amp;L'!$G$14:$XFD$14,Q$8)</f>
        <v>0</v>
      </c>
      <c r="R40" s="44">
        <f>SUMIFS('Monthly_P&amp;L'!$G$66:$XFD$66,'Monthly_P&amp;L'!$G$14:$XFD$14,R$8)</f>
        <v>0</v>
      </c>
      <c r="S40" s="44">
        <f>SUMIFS('Monthly_P&amp;L'!$G$66:$XFD$66,'Monthly_P&amp;L'!$G$14:$XFD$14,S$8)</f>
        <v>0</v>
      </c>
      <c r="T40" s="44">
        <f>SUMIFS('Monthly_P&amp;L'!$G$66:$XFD$66,'Monthly_P&amp;L'!$G$14:$XFD$14,T$8)</f>
        <v>0</v>
      </c>
      <c r="U40" s="44">
        <f>SUMIFS('Monthly_P&amp;L'!$G$66:$XFD$66,'Monthly_P&amp;L'!$G$14:$XFD$14,U$8)</f>
        <v>0</v>
      </c>
      <c r="V40" s="44">
        <f>SUMIFS('Monthly_P&amp;L'!$G$66:$XFD$66,'Monthly_P&amp;L'!$G$14:$XFD$14,V$8)</f>
        <v>0</v>
      </c>
      <c r="W40" s="65"/>
      <c r="X40" s="65"/>
      <c r="Y40" s="65"/>
      <c r="Z40" s="65"/>
      <c r="AA40" s="65"/>
      <c r="AB40" s="65"/>
      <c r="AC40" s="65"/>
      <c r="AD40" s="65"/>
      <c r="AE40" s="65"/>
      <c r="AF40" s="65"/>
      <c r="AG40" s="65"/>
      <c r="AH40" s="65"/>
      <c r="AI40" s="65"/>
      <c r="AJ40" s="65"/>
    </row>
    <row r="41" spans="2:36" x14ac:dyDescent="0.15">
      <c r="B41" s="315" t="s">
        <v>309</v>
      </c>
      <c r="C41" s="314" t="s">
        <v>150</v>
      </c>
      <c r="D41" s="418"/>
      <c r="E41" s="418"/>
      <c r="F41" s="316">
        <f>'Monthly_P&amp;L'!$F$61+'Monthly_P&amp;L'!$F$62+'Monthly_P&amp;L'!$F$63+'Monthly_P&amp;L'!$F$64</f>
        <v>-40143.501006036218</v>
      </c>
      <c r="G41" s="316">
        <f>SUMIFS('Monthly_P&amp;L'!$G$61:$XFD$61,'Monthly_P&amp;L'!$G$14:$XFD$14,G$8)+SUMIFS('Monthly_P&amp;L'!$G$62:$XFD$62,'Monthly_P&amp;L'!$G$14:$XFD$14,G$8)+SUMIFS('Monthly_P&amp;L'!$G$63:$XFD$63,'Monthly_P&amp;L'!$G$14:$XFD$14,G$8)+SUMIFS('Monthly_P&amp;L'!$G$64:$XFD$64,'Monthly_P&amp;L'!$G$14:$XFD$14,G$8)</f>
        <v>0</v>
      </c>
      <c r="H41" s="316">
        <f>SUMIFS('Monthly_P&amp;L'!$G$61:$XFD$61,'Monthly_P&amp;L'!$G$14:$XFD$14,H$8)+SUMIFS('Monthly_P&amp;L'!$G$62:$XFD$62,'Monthly_P&amp;L'!$G$14:$XFD$14,H$8)+SUMIFS('Monthly_P&amp;L'!$G$63:$XFD$63,'Monthly_P&amp;L'!$G$14:$XFD$14,H$8)+SUMIFS('Monthly_P&amp;L'!$G$64:$XFD$64,'Monthly_P&amp;L'!$G$14:$XFD$14,H$8)</f>
        <v>108650.917637893</v>
      </c>
      <c r="I41" s="316">
        <f>SUMIFS('Monthly_P&amp;L'!$G$61:$XFD$61,'Monthly_P&amp;L'!$G$14:$XFD$14,I$8)+SUMIFS('Monthly_P&amp;L'!$G$62:$XFD$62,'Monthly_P&amp;L'!$G$14:$XFD$14,I$8)+SUMIFS('Monthly_P&amp;L'!$G$63:$XFD$63,'Monthly_P&amp;L'!$G$14:$XFD$14,I$8)+SUMIFS('Monthly_P&amp;L'!$G$64:$XFD$64,'Monthly_P&amp;L'!$G$14:$XFD$14,I$8)</f>
        <v>0</v>
      </c>
      <c r="J41" s="316">
        <f>SUMIFS('Monthly_P&amp;L'!$G$61:$XFD$61,'Monthly_P&amp;L'!$G$14:$XFD$14,J$8)+SUMIFS('Monthly_P&amp;L'!$G$62:$XFD$62,'Monthly_P&amp;L'!$G$14:$XFD$14,J$8)+SUMIFS('Monthly_P&amp;L'!$G$63:$XFD$63,'Monthly_P&amp;L'!$G$14:$XFD$14,J$8)+SUMIFS('Monthly_P&amp;L'!$G$64:$XFD$64,'Monthly_P&amp;L'!$G$14:$XFD$14,J$8)</f>
        <v>0</v>
      </c>
      <c r="K41" s="316">
        <f>SUMIFS('Monthly_P&amp;L'!$G$61:$XFD$61,'Monthly_P&amp;L'!$G$14:$XFD$14,K$8)+SUMIFS('Monthly_P&amp;L'!$G$62:$XFD$62,'Monthly_P&amp;L'!$G$14:$XFD$14,K$8)+SUMIFS('Monthly_P&amp;L'!$G$63:$XFD$63,'Monthly_P&amp;L'!$G$14:$XFD$14,K$8)+SUMIFS('Monthly_P&amp;L'!$G$64:$XFD$64,'Monthly_P&amp;L'!$G$14:$XFD$14,K$8)</f>
        <v>0</v>
      </c>
      <c r="L41" s="316">
        <f>SUMIFS('Monthly_P&amp;L'!$G$61:$XFD$61,'Monthly_P&amp;L'!$G$14:$XFD$14,L$8)+SUMIFS('Monthly_P&amp;L'!$G$62:$XFD$62,'Monthly_P&amp;L'!$G$14:$XFD$14,L$8)+SUMIFS('Monthly_P&amp;L'!$G$63:$XFD$63,'Monthly_P&amp;L'!$G$14:$XFD$14,L$8)+SUMIFS('Monthly_P&amp;L'!$G$64:$XFD$64,'Monthly_P&amp;L'!$G$14:$XFD$14,L$8)</f>
        <v>0</v>
      </c>
      <c r="M41" s="316">
        <f>SUMIFS('Monthly_P&amp;L'!$G$61:$XFD$61,'Monthly_P&amp;L'!$G$14:$XFD$14,M$8)+SUMIFS('Monthly_P&amp;L'!$G$62:$XFD$62,'Monthly_P&amp;L'!$G$14:$XFD$14,M$8)+SUMIFS('Monthly_P&amp;L'!$G$63:$XFD$63,'Monthly_P&amp;L'!$G$14:$XFD$14,M$8)+SUMIFS('Monthly_P&amp;L'!$G$64:$XFD$64,'Monthly_P&amp;L'!$G$14:$XFD$14,M$8)</f>
        <v>0</v>
      </c>
      <c r="N41" s="316">
        <f>SUMIFS('Monthly_P&amp;L'!$G$61:$XFD$61,'Monthly_P&amp;L'!$G$14:$XFD$14,N$8)+SUMIFS('Monthly_P&amp;L'!$G$62:$XFD$62,'Monthly_P&amp;L'!$G$14:$XFD$14,N$8)+SUMIFS('Monthly_P&amp;L'!$G$63:$XFD$63,'Monthly_P&amp;L'!$G$14:$XFD$14,N$8)+SUMIFS('Monthly_P&amp;L'!$G$64:$XFD$64,'Monthly_P&amp;L'!$G$14:$XFD$14,N$8)</f>
        <v>0</v>
      </c>
      <c r="O41" s="316">
        <f>SUMIFS('Monthly_P&amp;L'!$G$61:$XFD$61,'Monthly_P&amp;L'!$G$14:$XFD$14,O$8)+SUMIFS('Monthly_P&amp;L'!$G$62:$XFD$62,'Monthly_P&amp;L'!$G$14:$XFD$14,O$8)+SUMIFS('Monthly_P&amp;L'!$G$63:$XFD$63,'Monthly_P&amp;L'!$G$14:$XFD$14,O$8)+SUMIFS('Monthly_P&amp;L'!$G$64:$XFD$64,'Monthly_P&amp;L'!$G$14:$XFD$14,O$8)</f>
        <v>0</v>
      </c>
      <c r="P41" s="316">
        <f>SUMIFS('Monthly_P&amp;L'!$G$61:$XFD$61,'Monthly_P&amp;L'!$G$14:$XFD$14,P$8)+SUMIFS('Monthly_P&amp;L'!$G$62:$XFD$62,'Monthly_P&amp;L'!$G$14:$XFD$14,P$8)+SUMIFS('Monthly_P&amp;L'!$G$63:$XFD$63,'Monthly_P&amp;L'!$G$14:$XFD$14,P$8)+SUMIFS('Monthly_P&amp;L'!$G$64:$XFD$64,'Monthly_P&amp;L'!$G$14:$XFD$14,P$8)</f>
        <v>-3667560.8443730986</v>
      </c>
      <c r="Q41" s="316">
        <f>SUMIFS('Monthly_P&amp;L'!$G$61:$XFD$61,'Monthly_P&amp;L'!$G$14:$XFD$14,Q$8)+SUMIFS('Monthly_P&amp;L'!$G$62:$XFD$62,'Monthly_P&amp;L'!$G$14:$XFD$14,Q$8)+SUMIFS('Monthly_P&amp;L'!$G$63:$XFD$63,'Monthly_P&amp;L'!$G$14:$XFD$14,Q$8)+SUMIFS('Monthly_P&amp;L'!$G$64:$XFD$64,'Monthly_P&amp;L'!$G$14:$XFD$14,Q$8)</f>
        <v>0</v>
      </c>
      <c r="R41" s="316">
        <f>SUMIFS('Monthly_P&amp;L'!$G$61:$XFD$61,'Monthly_P&amp;L'!$G$14:$XFD$14,R$8)+SUMIFS('Monthly_P&amp;L'!$G$62:$XFD$62,'Monthly_P&amp;L'!$G$14:$XFD$14,R$8)+SUMIFS('Monthly_P&amp;L'!$G$63:$XFD$63,'Monthly_P&amp;L'!$G$14:$XFD$14,R$8)+SUMIFS('Monthly_P&amp;L'!$G$64:$XFD$64,'Monthly_P&amp;L'!$G$14:$XFD$14,R$8)</f>
        <v>0</v>
      </c>
      <c r="S41" s="316">
        <f>SUMIFS('Monthly_P&amp;L'!$G$61:$XFD$61,'Monthly_P&amp;L'!$G$14:$XFD$14,S$8)+SUMIFS('Monthly_P&amp;L'!$G$62:$XFD$62,'Monthly_P&amp;L'!$G$14:$XFD$14,S$8)+SUMIFS('Monthly_P&amp;L'!$G$63:$XFD$63,'Monthly_P&amp;L'!$G$14:$XFD$14,S$8)+SUMIFS('Monthly_P&amp;L'!$G$64:$XFD$64,'Monthly_P&amp;L'!$G$14:$XFD$14,S$8)</f>
        <v>0</v>
      </c>
      <c r="T41" s="316">
        <f>SUMIFS('Monthly_P&amp;L'!$G$61:$XFD$61,'Monthly_P&amp;L'!$G$14:$XFD$14,T$8)+SUMIFS('Monthly_P&amp;L'!$G$62:$XFD$62,'Monthly_P&amp;L'!$G$14:$XFD$14,T$8)+SUMIFS('Monthly_P&amp;L'!$G$63:$XFD$63,'Monthly_P&amp;L'!$G$14:$XFD$14,T$8)+SUMIFS('Monthly_P&amp;L'!$G$64:$XFD$64,'Monthly_P&amp;L'!$G$14:$XFD$14,T$8)</f>
        <v>0</v>
      </c>
      <c r="U41" s="316">
        <f>SUMIFS('Monthly_P&amp;L'!$G$61:$XFD$61,'Monthly_P&amp;L'!$G$14:$XFD$14,U$8)+SUMIFS('Monthly_P&amp;L'!$G$62:$XFD$62,'Monthly_P&amp;L'!$G$14:$XFD$14,U$8)+SUMIFS('Monthly_P&amp;L'!$G$63:$XFD$63,'Monthly_P&amp;L'!$G$14:$XFD$14,U$8)+SUMIFS('Monthly_P&amp;L'!$G$64:$XFD$64,'Monthly_P&amp;L'!$G$14:$XFD$14,U$8)</f>
        <v>0</v>
      </c>
      <c r="V41" s="316">
        <f>SUMIFS('Monthly_P&amp;L'!$G$61:$XFD$61,'Monthly_P&amp;L'!$G$14:$XFD$14,V$8)+SUMIFS('Monthly_P&amp;L'!$G$62:$XFD$62,'Monthly_P&amp;L'!$G$14:$XFD$14,V$8)+SUMIFS('Monthly_P&amp;L'!$G$63:$XFD$63,'Monthly_P&amp;L'!$G$14:$XFD$14,V$8)+SUMIFS('Monthly_P&amp;L'!$G$64:$XFD$64,'Monthly_P&amp;L'!$G$14:$XFD$14,V$8)</f>
        <v>0</v>
      </c>
      <c r="W41" s="65"/>
      <c r="X41" s="65"/>
      <c r="Y41" s="65"/>
      <c r="Z41" s="65"/>
      <c r="AA41" s="65"/>
      <c r="AB41" s="65"/>
      <c r="AC41" s="65"/>
      <c r="AD41" s="65"/>
      <c r="AE41" s="65"/>
      <c r="AF41" s="65"/>
      <c r="AG41" s="65"/>
      <c r="AH41" s="65"/>
      <c r="AI41" s="65"/>
      <c r="AJ41" s="65"/>
    </row>
    <row r="42" spans="2:36" x14ac:dyDescent="0.15">
      <c r="B42" s="59" t="s">
        <v>69</v>
      </c>
      <c r="C42" s="417" t="s">
        <v>150</v>
      </c>
      <c r="D42" s="349"/>
      <c r="E42" s="349"/>
      <c r="F42" s="62">
        <f>F33+F37+F40+F41</f>
        <v>-2676233.4004024141</v>
      </c>
      <c r="G42" s="60">
        <f t="shared" ref="G42:V42" si="10">IF(G$8&gt;$F$5,0,G33+G37+G40+G41)</f>
        <v>36146.065401575295</v>
      </c>
      <c r="H42" s="60">
        <f t="shared" si="10"/>
        <v>218814.32197192544</v>
      </c>
      <c r="I42" s="60">
        <f t="shared" si="10"/>
        <v>112114.21394195739</v>
      </c>
      <c r="J42" s="60">
        <f t="shared" si="10"/>
        <v>121377.96920866042</v>
      </c>
      <c r="K42" s="60">
        <f t="shared" si="10"/>
        <v>130878.96917258596</v>
      </c>
      <c r="L42" s="60">
        <f t="shared" si="10"/>
        <v>140623.25796747548</v>
      </c>
      <c r="M42" s="60">
        <f t="shared" si="10"/>
        <v>150617.03309074097</v>
      </c>
      <c r="N42" s="60">
        <f t="shared" si="10"/>
        <v>160866.64928276147</v>
      </c>
      <c r="O42" s="60">
        <f t="shared" si="10"/>
        <v>171378.62250406947</v>
      </c>
      <c r="P42" s="60">
        <f t="shared" si="10"/>
        <v>4200723.5924622286</v>
      </c>
      <c r="Q42" s="60">
        <f t="shared" si="10"/>
        <v>0</v>
      </c>
      <c r="R42" s="60">
        <f t="shared" si="10"/>
        <v>0</v>
      </c>
      <c r="S42" s="60">
        <f t="shared" si="10"/>
        <v>0</v>
      </c>
      <c r="T42" s="60">
        <f t="shared" si="10"/>
        <v>0</v>
      </c>
      <c r="U42" s="60">
        <f t="shared" si="10"/>
        <v>0</v>
      </c>
      <c r="V42" s="60">
        <f t="shared" si="10"/>
        <v>0</v>
      </c>
      <c r="W42" s="109"/>
      <c r="X42" s="109"/>
      <c r="Y42" s="109"/>
      <c r="Z42" s="109"/>
      <c r="AA42" s="109"/>
      <c r="AB42" s="109"/>
      <c r="AC42" s="109"/>
      <c r="AD42" s="109"/>
      <c r="AE42" s="109"/>
      <c r="AF42" s="109"/>
      <c r="AG42" s="109"/>
      <c r="AH42" s="109"/>
      <c r="AI42" s="109"/>
      <c r="AJ42" s="109"/>
    </row>
    <row r="43" spans="2:36" x14ac:dyDescent="0.15">
      <c r="F43" s="93"/>
      <c r="O43" s="6"/>
      <c r="P43" s="6"/>
      <c r="Q43" s="6"/>
      <c r="R43" s="6"/>
      <c r="S43" s="6"/>
      <c r="T43" s="6"/>
      <c r="U43" s="6"/>
      <c r="V43" s="6"/>
      <c r="W43" s="6"/>
      <c r="X43" s="6"/>
      <c r="Y43" s="6"/>
      <c r="Z43" s="6"/>
      <c r="AA43" s="6"/>
      <c r="AB43" s="6"/>
      <c r="AC43" s="6"/>
      <c r="AD43" s="6"/>
      <c r="AE43" s="6"/>
      <c r="AF43" s="6"/>
      <c r="AG43" s="6"/>
      <c r="AH43" s="6"/>
      <c r="AI43" s="6"/>
      <c r="AJ43" s="6"/>
    </row>
    <row r="44" spans="2:36" x14ac:dyDescent="0.15">
      <c r="B44" t="s">
        <v>71</v>
      </c>
      <c r="C44" s="312" t="s">
        <v>260</v>
      </c>
      <c r="G44" s="394">
        <f t="shared" ref="G44:V44" si="11">IF(G$8&gt;$F$5,0,IFERROR(G26/-G37,0))</f>
        <v>1.2765406356257638</v>
      </c>
      <c r="H44" s="394">
        <f t="shared" si="11"/>
        <v>1.4589132809748946</v>
      </c>
      <c r="I44" s="394">
        <f t="shared" si="11"/>
        <v>1.4536569151863261</v>
      </c>
      <c r="J44" s="394">
        <f t="shared" si="11"/>
        <v>1.4911416059277631</v>
      </c>
      <c r="K44" s="394">
        <f t="shared" si="11"/>
        <v>1.5295862792949713</v>
      </c>
      <c r="L44" s="394">
        <f t="shared" si="11"/>
        <v>1.569015392160739</v>
      </c>
      <c r="M44" s="394">
        <f t="shared" si="11"/>
        <v>1.6094540219658202</v>
      </c>
      <c r="N44" s="394">
        <f t="shared" si="11"/>
        <v>1.6509278824160492</v>
      </c>
      <c r="O44" s="394">
        <f t="shared" si="11"/>
        <v>1.6934633395755554</v>
      </c>
      <c r="P44" s="394">
        <f t="shared" si="11"/>
        <v>1.737087428366032</v>
      </c>
      <c r="Q44" s="394">
        <f t="shared" si="11"/>
        <v>0</v>
      </c>
      <c r="R44" s="394">
        <f t="shared" si="11"/>
        <v>0</v>
      </c>
      <c r="S44" s="394">
        <f t="shared" si="11"/>
        <v>0</v>
      </c>
      <c r="T44" s="394">
        <f t="shared" si="11"/>
        <v>0</v>
      </c>
      <c r="U44" s="394">
        <f t="shared" si="11"/>
        <v>0</v>
      </c>
      <c r="V44" s="394">
        <f t="shared" si="11"/>
        <v>0</v>
      </c>
      <c r="W44" s="48"/>
      <c r="X44" s="48"/>
      <c r="Y44" s="48"/>
      <c r="Z44" s="48"/>
      <c r="AA44" s="48"/>
      <c r="AB44" s="48"/>
      <c r="AC44" s="48"/>
      <c r="AD44" s="48"/>
      <c r="AE44" s="48"/>
      <c r="AF44" s="48"/>
      <c r="AG44" s="48"/>
      <c r="AH44" s="48"/>
      <c r="AI44" s="48"/>
      <c r="AJ44" s="48"/>
    </row>
    <row r="45" spans="2:36" x14ac:dyDescent="0.15">
      <c r="B45" t="s">
        <v>311</v>
      </c>
      <c r="C45" s="312" t="s">
        <v>155</v>
      </c>
      <c r="G45" s="118">
        <f>IF(G$8&gt;$F$5,0,IFERROR(G26/'Assumptions_&amp;_Inputs'!$D$95,0))</f>
        <v>4.2768126170008018E-2</v>
      </c>
      <c r="H45" s="118">
        <f>IF(H$8&gt;$F$5,0,IFERROR(H26/'Assumptions_&amp;_Inputs'!$D$95,0))</f>
        <v>5.2344638458228579E-2</v>
      </c>
      <c r="I45" s="118">
        <f>IF(I$8&gt;$F$5,0,IFERROR(I26/'Assumptions_&amp;_Inputs'!$D$95,0))</f>
        <v>5.3694656004831261E-2</v>
      </c>
      <c r="J45" s="118">
        <f>IF(J$8&gt;$F$5,0,IFERROR(J26/'Assumptions_&amp;_Inputs'!$D$95,0))</f>
        <v>5.5079252021801979E-2</v>
      </c>
      <c r="K45" s="118">
        <f>IF(K$8&gt;$F$5,0,IFERROR(K26/'Assumptions_&amp;_Inputs'!$D$95,0))</f>
        <v>5.6499307531533968E-2</v>
      </c>
      <c r="L45" s="118">
        <f>IF(L$8&gt;$F$5,0,IFERROR(L26/'Assumptions_&amp;_Inputs'!$D$95,0))</f>
        <v>5.7955725913192958E-2</v>
      </c>
      <c r="M45" s="118">
        <f>IF(M$8&gt;$F$5,0,IFERROR(M26/'Assumptions_&amp;_Inputs'!$D$95,0))</f>
        <v>5.944943346826087E-2</v>
      </c>
      <c r="N45" s="118">
        <f>IF(N$8&gt;$F$5,0,IFERROR(N26/'Assumptions_&amp;_Inputs'!$D$95,0))</f>
        <v>6.0981380000350228E-2</v>
      </c>
      <c r="O45" s="118">
        <f>IF(O$8&gt;$F$5,0,IFERROR(O26/'Assumptions_&amp;_Inputs'!$D$95,0))</f>
        <v>6.2552539409649485E-2</v>
      </c>
      <c r="P45" s="118">
        <f>IF(P$8&gt;$F$5,0,IFERROR(P26/'Assumptions_&amp;_Inputs'!$D$95,0))</f>
        <v>6.4163910302367053E-2</v>
      </c>
      <c r="Q45" s="118">
        <f>IF(Q$8&gt;$F$5,0,IFERROR(Q26/'Assumptions_&amp;_Inputs'!$D$95,0))</f>
        <v>0</v>
      </c>
      <c r="R45" s="118">
        <f>IF(R$8&gt;$F$5,0,IFERROR(R26/'Assumptions_&amp;_Inputs'!$D$95,0))</f>
        <v>0</v>
      </c>
      <c r="S45" s="118">
        <f>IF(S$8&gt;$F$5,0,IFERROR(S26/'Assumptions_&amp;_Inputs'!$D$95,0))</f>
        <v>0</v>
      </c>
      <c r="T45" s="118">
        <f>IF(T$8&gt;$F$5,0,IFERROR(T26/'Assumptions_&amp;_Inputs'!$D$95,0))</f>
        <v>0</v>
      </c>
      <c r="U45" s="120">
        <f>IF(U$8&gt;$F$5,0,IFERROR(U26/'Assumptions_&amp;_Inputs'!$D$95,0))</f>
        <v>0</v>
      </c>
      <c r="V45" s="120">
        <f>IF(V$8&gt;$F$5,0,IFERROR(V26/'Assumptions_&amp;_Inputs'!$D$95,0))</f>
        <v>0</v>
      </c>
      <c r="W45" s="345"/>
      <c r="X45" s="345"/>
      <c r="Y45" s="345"/>
      <c r="Z45" s="345"/>
      <c r="AA45" s="345"/>
      <c r="AB45" s="345"/>
      <c r="AC45" s="345"/>
      <c r="AD45" s="345"/>
      <c r="AE45" s="345"/>
      <c r="AF45" s="345"/>
      <c r="AG45" s="345"/>
      <c r="AH45" s="345"/>
      <c r="AI45" s="345"/>
      <c r="AJ45" s="345"/>
    </row>
    <row r="46" spans="2:36" x14ac:dyDescent="0.15">
      <c r="B46" s="5" t="s">
        <v>312</v>
      </c>
      <c r="C46" s="313" t="s">
        <v>150</v>
      </c>
      <c r="D46" s="123"/>
      <c r="E46" s="123"/>
      <c r="F46" s="5"/>
      <c r="G46" s="106">
        <f t="shared" ref="G46:V46" si="12">IF(G$8&gt;$F$5,0,IFERROR(G42/equity_invested,0))</f>
        <v>1.3506320261954792E-2</v>
      </c>
      <c r="H46" s="106">
        <f t="shared" si="12"/>
        <v>8.1762047338256538E-2</v>
      </c>
      <c r="I46" s="106">
        <f t="shared" si="12"/>
        <v>4.1892539688466353E-2</v>
      </c>
      <c r="J46" s="106">
        <f t="shared" si="12"/>
        <v>4.5354029730893169E-2</v>
      </c>
      <c r="K46" s="106">
        <f t="shared" si="12"/>
        <v>4.8904168505223139E-2</v>
      </c>
      <c r="L46" s="106">
        <f t="shared" si="12"/>
        <v>5.2545214459370604E-2</v>
      </c>
      <c r="M46" s="106">
        <f t="shared" si="12"/>
        <v>5.6279483347040402E-2</v>
      </c>
      <c r="N46" s="106">
        <f t="shared" si="12"/>
        <v>6.0109349677263807E-2</v>
      </c>
      <c r="O46" s="106">
        <f t="shared" si="12"/>
        <v>6.4037248200511945E-2</v>
      </c>
      <c r="P46" s="106">
        <f t="shared" si="12"/>
        <v>1.569640223394037</v>
      </c>
      <c r="Q46" s="106">
        <f t="shared" si="12"/>
        <v>0</v>
      </c>
      <c r="R46" s="106">
        <f t="shared" si="12"/>
        <v>0</v>
      </c>
      <c r="S46" s="106">
        <f t="shared" si="12"/>
        <v>0</v>
      </c>
      <c r="T46" s="106">
        <f t="shared" si="12"/>
        <v>0</v>
      </c>
      <c r="U46" s="106">
        <f t="shared" si="12"/>
        <v>0</v>
      </c>
      <c r="V46" s="106">
        <f t="shared" si="12"/>
        <v>0</v>
      </c>
      <c r="W46" s="345"/>
      <c r="X46" s="345"/>
      <c r="Y46" s="345"/>
      <c r="Z46" s="345"/>
      <c r="AA46" s="345"/>
      <c r="AB46" s="345"/>
      <c r="AC46" s="345"/>
      <c r="AD46" s="345"/>
      <c r="AE46" s="345"/>
      <c r="AF46" s="345"/>
      <c r="AG46" s="345"/>
      <c r="AH46" s="345"/>
      <c r="AI46" s="345"/>
      <c r="AJ46" s="345"/>
    </row>
    <row r="48" spans="2:36" x14ac:dyDescent="0.15">
      <c r="B48" s="406" t="s">
        <v>310</v>
      </c>
      <c r="C48" s="406"/>
      <c r="D48" s="123"/>
      <c r="E48" s="123"/>
      <c r="F48" s="11">
        <f>F42-'Monthly_P&amp;L'!$F$69</f>
        <v>0</v>
      </c>
      <c r="G48" s="405">
        <f>G42-IF(G$8&gt;$F$5,0,SUMIFS('Monthly_P&amp;L'!$G$69:$XFD$69,'Monthly_P&amp;L'!$G$14:$XFD$14,G$8))</f>
        <v>0</v>
      </c>
      <c r="H48" s="405">
        <f>H42-IF(H$8&gt;$F$5,0,SUMIFS('Monthly_P&amp;L'!$G$69:$XFD$69,'Monthly_P&amp;L'!$G$14:$XFD$14,H$8))</f>
        <v>0</v>
      </c>
      <c r="I48" s="405">
        <f>I42-IF(I$8&gt;$F$5,0,SUMIFS('Monthly_P&amp;L'!$G$69:$XFD$69,'Monthly_P&amp;L'!$G$14:$XFD$14,I$8))</f>
        <v>0</v>
      </c>
      <c r="J48" s="405">
        <f>J42-IF(J$8&gt;$F$5,0,SUMIFS('Monthly_P&amp;L'!$G$69:$XFD$69,'Monthly_P&amp;L'!$G$14:$XFD$14,J$8))</f>
        <v>0</v>
      </c>
      <c r="K48" s="405">
        <f>K42-IF(K$8&gt;$F$5,0,SUMIFS('Monthly_P&amp;L'!$G$69:$XFD$69,'Monthly_P&amp;L'!$G$14:$XFD$14,K$8))</f>
        <v>0</v>
      </c>
      <c r="L48" s="405">
        <f>L42-IF(L$8&gt;$F$5,0,SUMIFS('Monthly_P&amp;L'!$G$69:$XFD$69,'Monthly_P&amp;L'!$G$14:$XFD$14,L$8))</f>
        <v>0</v>
      </c>
      <c r="M48" s="405">
        <f>M42-IF(M$8&gt;$F$5,0,SUMIFS('Monthly_P&amp;L'!$G$69:$XFD$69,'Monthly_P&amp;L'!$G$14:$XFD$14,M$8))</f>
        <v>0</v>
      </c>
      <c r="N48" s="405">
        <f>N42-IF(N$8&gt;$F$5,0,SUMIFS('Monthly_P&amp;L'!$G$69:$XFD$69,'Monthly_P&amp;L'!$G$14:$XFD$14,N$8))</f>
        <v>0</v>
      </c>
      <c r="O48" s="405">
        <f>O42-IF(O$8&gt;$F$5,0,SUMIFS('Monthly_P&amp;L'!$G$69:$XFD$69,'Monthly_P&amp;L'!$G$14:$XFD$14,O$8))</f>
        <v>0</v>
      </c>
      <c r="P48" s="405">
        <f>P42-IF(P$8&gt;$F$5,0,SUMIFS('Monthly_P&amp;L'!$G$69:$XFD$69,'Monthly_P&amp;L'!$G$14:$XFD$14,P$8))</f>
        <v>0</v>
      </c>
      <c r="Q48" s="405">
        <f>Q42-IF(Q$8&gt;$F$5,0,SUMIFS('Monthly_P&amp;L'!$G$69:$XFD$69,'Monthly_P&amp;L'!$G$14:$XFD$14,Q$8))</f>
        <v>0</v>
      </c>
      <c r="R48" s="405">
        <f>R42-IF(R$8&gt;$F$5,0,SUMIFS('Monthly_P&amp;L'!$G$69:$XFD$69,'Monthly_P&amp;L'!$G$14:$XFD$14,R$8))</f>
        <v>0</v>
      </c>
      <c r="S48" s="405">
        <f>S42-IF(S$8&gt;$F$5,0,SUMIFS('Monthly_P&amp;L'!$G$69:$XFD$69,'Monthly_P&amp;L'!$G$14:$XFD$14,S$8))</f>
        <v>0</v>
      </c>
      <c r="T48" s="405">
        <f>T42-IF(T$8&gt;$F$5,0,SUMIFS('Monthly_P&amp;L'!$G$69:$XFD$69,'Monthly_P&amp;L'!$G$14:$XFD$14,T$8))</f>
        <v>0</v>
      </c>
      <c r="U48" s="405">
        <f>U42-IF(U$8&gt;$F$5,0,SUMIFS('Monthly_P&amp;L'!$G$69:$XFD$69,'Monthly_P&amp;L'!$G$14:$XFD$14,U$8))</f>
        <v>0</v>
      </c>
      <c r="V48" s="405">
        <f>V42-IF(V$8&gt;$F$5,0,SUMIFS('Monthly_P&amp;L'!$G$69:$XFD$69,'Monthly_P&amp;L'!$G$14:$XFD$14,V$8))</f>
        <v>0</v>
      </c>
    </row>
    <row r="49" spans="2:7" x14ac:dyDescent="0.15">
      <c r="D49" s="125"/>
      <c r="E49" s="125"/>
      <c r="F49" s="27"/>
      <c r="G49" s="13"/>
    </row>
    <row r="50" spans="2:7" x14ac:dyDescent="0.15">
      <c r="D50" s="350"/>
      <c r="E50" s="350"/>
    </row>
    <row r="51" spans="2:7" x14ac:dyDescent="0.15">
      <c r="B51" s="4"/>
    </row>
  </sheetData>
  <conditionalFormatting sqref="G44:AJ44">
    <cfRule type="expression" dxfId="0" priority="1">
      <formula>AND(G44&lt;&gt;0,G44&lt;1)</formula>
    </cfRule>
  </conditionalFormatting>
  <pageMargins left="0.7" right="0.7" top="0.75" bottom="0.75" header="0.3" footer="0.3"/>
  <pageSetup paperSize="9" orientation="portrait" horizontalDpi="0" verticalDpi="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DC9C8-054F-B149-A9B1-C1241A31F582}">
  <sheetPr codeName="Sheet1">
    <tabColor rgb="FFFFFF99"/>
  </sheetPr>
  <dimension ref="B2:T153"/>
  <sheetViews>
    <sheetView showGridLines="0" zoomScale="99" zoomScaleNormal="120" workbookViewId="0"/>
  </sheetViews>
  <sheetFormatPr baseColWidth="10" defaultColWidth="25.75" defaultRowHeight="16" customHeight="1" x14ac:dyDescent="0.15"/>
  <cols>
    <col min="1" max="1" width="7" style="138" customWidth="1"/>
    <col min="2" max="6" width="25.75" style="138"/>
    <col min="7" max="7" width="28" style="138" customWidth="1"/>
    <col min="8" max="10" width="25.75" style="138"/>
    <col min="11" max="11" width="28.5" style="164" bestFit="1" customWidth="1"/>
    <col min="12" max="12" width="13" style="138" customWidth="1"/>
    <col min="13" max="16384" width="25.75" style="138"/>
  </cols>
  <sheetData>
    <row r="2" spans="2:20" ht="16" customHeight="1" x14ac:dyDescent="0.15">
      <c r="B2" s="137" t="str">
        <f>E14&amp;" Acquisition Model Assumptions"</f>
        <v>2480 Dundas St W Acquisition Model Assumptions</v>
      </c>
      <c r="G2"/>
      <c r="H2" s="246"/>
      <c r="I2" s="246"/>
      <c r="K2" s="247"/>
      <c r="L2" s="248"/>
      <c r="M2" s="248"/>
      <c r="N2" s="248"/>
      <c r="O2" s="248"/>
      <c r="P2" s="248"/>
      <c r="Q2" s="248"/>
      <c r="R2" s="248"/>
      <c r="S2" s="248"/>
    </row>
    <row r="3" spans="2:20" ht="16" customHeight="1" x14ac:dyDescent="0.15">
      <c r="B3" s="138" t="s">
        <v>182</v>
      </c>
      <c r="G3"/>
      <c r="H3" s="246"/>
      <c r="I3" s="246"/>
      <c r="K3" s="247"/>
      <c r="L3" s="248"/>
      <c r="M3" s="248"/>
      <c r="N3" s="248"/>
      <c r="O3" s="248"/>
      <c r="P3" s="248"/>
      <c r="Q3" s="248"/>
      <c r="R3" s="248"/>
      <c r="S3" s="248"/>
    </row>
    <row r="4" spans="2:20" ht="16" customHeight="1" x14ac:dyDescent="0.15">
      <c r="G4"/>
      <c r="H4" s="246"/>
      <c r="I4" s="246"/>
      <c r="K4" s="247"/>
      <c r="L4" s="248"/>
      <c r="M4" s="248"/>
      <c r="N4" s="248"/>
      <c r="O4" s="248"/>
      <c r="P4" s="248"/>
      <c r="Q4" s="248"/>
      <c r="R4" s="248"/>
      <c r="S4" s="248"/>
    </row>
    <row r="5" spans="2:20" ht="16" customHeight="1" x14ac:dyDescent="0.15">
      <c r="B5" s="139" t="s">
        <v>473</v>
      </c>
      <c r="C5" s="139"/>
      <c r="D5" s="140">
        <f>Equity_Waterfall!E4</f>
        <v>8.6626896262168906E-2</v>
      </c>
      <c r="G5"/>
      <c r="H5" s="246"/>
      <c r="I5" s="246"/>
      <c r="K5" s="247"/>
      <c r="L5" s="248"/>
      <c r="M5" s="248"/>
      <c r="N5" s="248"/>
      <c r="O5" s="248"/>
      <c r="P5" s="248"/>
      <c r="Q5" s="248"/>
      <c r="R5" s="248"/>
      <c r="S5" s="248"/>
    </row>
    <row r="6" spans="2:20" ht="16" customHeight="1" x14ac:dyDescent="0.15">
      <c r="B6" s="141" t="s">
        <v>474</v>
      </c>
      <c r="C6" s="141"/>
      <c r="D6" s="142">
        <f>Equity_Waterfall!E5</f>
        <v>2.0340306246030173</v>
      </c>
      <c r="G6"/>
      <c r="H6" s="246"/>
      <c r="I6" s="246"/>
      <c r="K6" s="247"/>
      <c r="L6" s="248"/>
      <c r="M6" s="248"/>
      <c r="N6" s="248"/>
      <c r="O6" s="248"/>
      <c r="P6" s="248"/>
      <c r="Q6" s="248"/>
      <c r="R6" s="248"/>
      <c r="S6" s="248"/>
    </row>
    <row r="7" spans="2:20" ht="16" customHeight="1" x14ac:dyDescent="0.15">
      <c r="B7" s="144" t="s">
        <v>450</v>
      </c>
      <c r="C7" s="144"/>
      <c r="D7" s="145">
        <f>Equity_Waterfall!E6</f>
        <v>-254484.31127593061</v>
      </c>
      <c r="G7"/>
      <c r="H7" s="246"/>
      <c r="I7" s="246"/>
      <c r="K7" s="247"/>
      <c r="L7" s="248"/>
      <c r="M7" s="248"/>
      <c r="N7" s="248"/>
      <c r="O7" s="248"/>
      <c r="P7" s="248"/>
      <c r="Q7" s="248"/>
      <c r="R7" s="248"/>
      <c r="S7" s="248"/>
    </row>
    <row r="8" spans="2:20" ht="16" customHeight="1" x14ac:dyDescent="0.15">
      <c r="B8" s="150" t="s">
        <v>10</v>
      </c>
      <c r="C8" s="150"/>
      <c r="D8" s="151">
        <f>Equity_Waterfall!E7</f>
        <v>6.9042411446571361E-2</v>
      </c>
      <c r="G8"/>
      <c r="H8" s="246"/>
      <c r="I8" s="246"/>
      <c r="K8" s="247"/>
      <c r="L8" s="248"/>
      <c r="M8" s="248"/>
      <c r="N8" s="248"/>
      <c r="O8" s="248"/>
      <c r="P8" s="248"/>
      <c r="Q8" s="248"/>
      <c r="R8" s="248"/>
      <c r="S8" s="248"/>
    </row>
    <row r="9" spans="2:20" ht="16" customHeight="1" x14ac:dyDescent="0.15">
      <c r="B9" s="150" t="s">
        <v>393</v>
      </c>
      <c r="C9" s="150"/>
      <c r="D9" s="153">
        <f>Equity_Waterfall!E8</f>
        <v>1.7439120133768942</v>
      </c>
      <c r="G9"/>
      <c r="H9" s="246"/>
      <c r="I9" s="246"/>
      <c r="K9" s="247"/>
      <c r="L9" s="248"/>
      <c r="M9" s="248"/>
      <c r="N9" s="248"/>
      <c r="O9" s="248"/>
      <c r="P9" s="248"/>
      <c r="Q9" s="248"/>
      <c r="R9" s="248"/>
      <c r="S9" s="248"/>
    </row>
    <row r="10" spans="2:20" ht="16" customHeight="1" x14ac:dyDescent="0.15">
      <c r="B10" s="154" t="s">
        <v>11</v>
      </c>
      <c r="C10" s="154"/>
      <c r="D10" s="155">
        <f>Equity_Waterfall!E9</f>
        <v>-1311782.8359429929</v>
      </c>
      <c r="G10"/>
      <c r="H10" s="246"/>
      <c r="I10" s="246"/>
      <c r="K10" s="247"/>
      <c r="L10" s="248"/>
      <c r="M10" s="248"/>
      <c r="N10" s="248"/>
      <c r="O10" s="248"/>
      <c r="P10" s="248"/>
      <c r="Q10" s="248"/>
      <c r="R10" s="248"/>
      <c r="S10" s="248"/>
    </row>
    <row r="11" spans="2:20" ht="16" customHeight="1" x14ac:dyDescent="0.15">
      <c r="G11"/>
      <c r="H11" s="246"/>
      <c r="I11" s="246"/>
      <c r="K11" s="247"/>
      <c r="L11" s="248"/>
      <c r="M11" s="248"/>
      <c r="N11" s="248"/>
      <c r="O11" s="248"/>
      <c r="P11" s="248"/>
      <c r="Q11" s="248"/>
      <c r="R11" s="248"/>
      <c r="S11" s="248"/>
    </row>
    <row r="12" spans="2:20" ht="16" customHeight="1" x14ac:dyDescent="0.15">
      <c r="B12" s="158" t="s">
        <v>149</v>
      </c>
      <c r="C12" s="159"/>
      <c r="D12" s="176" t="s">
        <v>141</v>
      </c>
      <c r="E12" s="159"/>
      <c r="F12" s="159"/>
      <c r="G12" s="159"/>
      <c r="H12" s="176" t="s">
        <v>141</v>
      </c>
      <c r="I12" s="215"/>
      <c r="J12" s="143"/>
      <c r="K12" s="138"/>
      <c r="T12" s="148"/>
    </row>
    <row r="13" spans="2:20" ht="10" customHeight="1" x14ac:dyDescent="0.15">
      <c r="B13" s="212"/>
      <c r="C13" s="213"/>
      <c r="D13" s="214"/>
      <c r="E13" s="213"/>
      <c r="F13" s="213"/>
      <c r="G13" s="213"/>
      <c r="H13" s="214"/>
      <c r="I13" s="213"/>
      <c r="J13" s="143"/>
      <c r="K13" s="138"/>
      <c r="T13" s="148"/>
    </row>
    <row r="14" spans="2:20" ht="16" customHeight="1" x14ac:dyDescent="0.15">
      <c r="B14" s="138" t="s">
        <v>142</v>
      </c>
      <c r="D14" s="177" t="s">
        <v>140</v>
      </c>
      <c r="E14" s="211" t="s">
        <v>137</v>
      </c>
      <c r="G14" s="138" t="s">
        <v>86</v>
      </c>
      <c r="H14" s="177" t="s">
        <v>60</v>
      </c>
      <c r="I14" s="205">
        <v>1918</v>
      </c>
      <c r="J14" s="143"/>
      <c r="K14" s="138"/>
      <c r="T14" s="148"/>
    </row>
    <row r="15" spans="2:20" ht="16" customHeight="1" x14ac:dyDescent="0.15">
      <c r="B15" s="138" t="s">
        <v>143</v>
      </c>
      <c r="D15" s="178" t="s">
        <v>140</v>
      </c>
      <c r="E15" s="170" t="s">
        <v>144</v>
      </c>
      <c r="G15" s="138" t="s">
        <v>87</v>
      </c>
      <c r="H15" s="177" t="s">
        <v>151</v>
      </c>
      <c r="I15" s="161">
        <f>YEAR(purchase_date)-I14</f>
        <v>108</v>
      </c>
      <c r="J15" s="143"/>
      <c r="K15" s="138"/>
      <c r="N15" s="143"/>
      <c r="O15" s="143"/>
      <c r="P15" s="143"/>
      <c r="Q15" s="146"/>
      <c r="R15" s="147"/>
      <c r="S15" s="147"/>
      <c r="T15" s="148"/>
    </row>
    <row r="16" spans="2:20" ht="16" customHeight="1" x14ac:dyDescent="0.15">
      <c r="D16" s="175"/>
      <c r="G16" s="138" t="s">
        <v>77</v>
      </c>
      <c r="H16" s="177" t="s">
        <v>148</v>
      </c>
      <c r="I16" s="161">
        <f>SUM(Rent_Roll!C7:C9)</f>
        <v>14</v>
      </c>
      <c r="J16" s="143"/>
      <c r="K16" s="138"/>
      <c r="N16" s="143"/>
      <c r="O16" s="143"/>
      <c r="P16" s="143"/>
      <c r="Q16" s="146"/>
      <c r="R16" s="147"/>
      <c r="S16" s="147"/>
      <c r="T16" s="148"/>
    </row>
    <row r="17" spans="2:20" ht="16" customHeight="1" x14ac:dyDescent="0.15">
      <c r="B17" s="138" t="s">
        <v>145</v>
      </c>
      <c r="D17" s="178" t="s">
        <v>140</v>
      </c>
      <c r="E17" s="211" t="s">
        <v>146</v>
      </c>
      <c r="G17" s="138" t="s">
        <v>147</v>
      </c>
      <c r="H17" s="177" t="s">
        <v>162</v>
      </c>
      <c r="I17" s="211">
        <v>11937</v>
      </c>
      <c r="J17" s="143"/>
      <c r="K17" s="138"/>
      <c r="N17" s="143"/>
      <c r="O17" s="143"/>
      <c r="P17" s="143"/>
      <c r="Q17" s="146"/>
      <c r="R17" s="147"/>
      <c r="S17" s="147"/>
      <c r="T17" s="148"/>
    </row>
    <row r="18" spans="2:20" ht="16" customHeight="1" x14ac:dyDescent="0.15">
      <c r="D18" s="175"/>
      <c r="G18" s="138" t="s">
        <v>163</v>
      </c>
      <c r="H18" s="177" t="s">
        <v>162</v>
      </c>
      <c r="I18" s="216">
        <f>Rent_Roll!G37</f>
        <v>10651</v>
      </c>
      <c r="J18" s="143"/>
      <c r="K18" s="221"/>
      <c r="L18" s="143"/>
      <c r="M18" s="143"/>
      <c r="N18" s="143"/>
      <c r="O18" s="143"/>
      <c r="P18" s="143"/>
      <c r="Q18" s="146"/>
      <c r="R18" s="147"/>
      <c r="S18" s="147"/>
      <c r="T18" s="148"/>
    </row>
    <row r="19" spans="2:20" ht="16" customHeight="1" x14ac:dyDescent="0.15">
      <c r="B19" s="138" t="s">
        <v>89</v>
      </c>
      <c r="D19" s="178" t="s">
        <v>150</v>
      </c>
      <c r="E19" s="206">
        <v>368120</v>
      </c>
      <c r="H19" s="177"/>
      <c r="I19" s="210"/>
      <c r="J19" s="143"/>
      <c r="K19" s="221"/>
      <c r="L19" s="143"/>
      <c r="M19" s="143"/>
      <c r="N19" s="143"/>
      <c r="O19" s="143"/>
      <c r="P19" s="143"/>
      <c r="Q19" s="146"/>
      <c r="R19" s="147"/>
      <c r="S19" s="147"/>
      <c r="T19" s="148"/>
    </row>
    <row r="20" spans="2:20" ht="16" customHeight="1" x14ac:dyDescent="0.15">
      <c r="B20" s="138" t="s">
        <v>152</v>
      </c>
      <c r="D20" s="178" t="s">
        <v>150</v>
      </c>
      <c r="E20" s="217">
        <f>AVERAGE(Rent_Roll!I37)</f>
        <v>4.0316835061118415</v>
      </c>
      <c r="H20" s="177"/>
      <c r="I20" s="210"/>
      <c r="J20" s="143"/>
      <c r="K20" s="221"/>
      <c r="L20" s="143"/>
      <c r="M20" s="143"/>
      <c r="N20" s="143"/>
      <c r="O20" s="143"/>
      <c r="P20" s="143"/>
      <c r="Q20" s="146"/>
      <c r="R20" s="147"/>
      <c r="S20" s="147"/>
      <c r="T20" s="148"/>
    </row>
    <row r="21" spans="2:20" ht="16" customHeight="1" x14ac:dyDescent="0.15">
      <c r="B21" s="138" t="s">
        <v>88</v>
      </c>
      <c r="D21" s="178" t="s">
        <v>150</v>
      </c>
      <c r="E21" s="206">
        <v>5985000</v>
      </c>
      <c r="H21" s="177"/>
      <c r="I21" s="210"/>
      <c r="J21" s="143"/>
      <c r="K21" s="221"/>
      <c r="L21" s="143"/>
      <c r="M21" s="143"/>
      <c r="N21" s="143"/>
      <c r="O21" s="143"/>
      <c r="P21" s="143"/>
      <c r="Q21" s="146"/>
      <c r="R21" s="147"/>
      <c r="S21" s="147"/>
      <c r="T21" s="148"/>
    </row>
    <row r="22" spans="2:20" ht="16" customHeight="1" x14ac:dyDescent="0.15">
      <c r="B22" s="138" t="s">
        <v>90</v>
      </c>
      <c r="D22" s="178" t="s">
        <v>155</v>
      </c>
      <c r="E22" s="241">
        <f>+E19/E21</f>
        <v>6.1507101086048455E-2</v>
      </c>
      <c r="H22" s="177"/>
      <c r="I22" s="210"/>
      <c r="J22" s="143"/>
      <c r="K22" s="221"/>
      <c r="L22" s="143"/>
      <c r="M22" s="143"/>
      <c r="N22" s="143"/>
      <c r="O22" s="143"/>
      <c r="P22" s="143"/>
      <c r="Q22" s="146"/>
      <c r="R22" s="147"/>
      <c r="S22" s="147"/>
      <c r="T22" s="148"/>
    </row>
    <row r="23" spans="2:20" ht="16" customHeight="1" x14ac:dyDescent="0.15">
      <c r="B23" s="156"/>
      <c r="C23" s="156"/>
      <c r="D23" s="157"/>
      <c r="J23" s="143"/>
      <c r="K23" s="221"/>
      <c r="L23" s="143"/>
      <c r="M23" s="143"/>
      <c r="N23" s="143"/>
      <c r="O23" s="143"/>
      <c r="P23" s="143"/>
      <c r="Q23" s="146"/>
      <c r="R23" s="152"/>
      <c r="S23" s="152"/>
      <c r="T23" s="148"/>
    </row>
    <row r="24" spans="2:20" ht="16" customHeight="1" x14ac:dyDescent="0.15">
      <c r="B24" s="158" t="s">
        <v>166</v>
      </c>
      <c r="C24" s="159"/>
      <c r="D24" s="176" t="s">
        <v>141</v>
      </c>
      <c r="E24" s="159"/>
      <c r="F24" s="159"/>
      <c r="G24" s="215"/>
      <c r="H24" s="218" t="s">
        <v>141</v>
      </c>
      <c r="I24" s="215"/>
      <c r="K24" s="229" t="s">
        <v>164</v>
      </c>
      <c r="L24" s="229" t="s">
        <v>138</v>
      </c>
      <c r="M24" s="229" t="s">
        <v>102</v>
      </c>
      <c r="N24" s="228"/>
      <c r="O24" s="228"/>
      <c r="P24" s="228"/>
      <c r="Q24" s="228"/>
      <c r="R24" s="228"/>
      <c r="S24" s="228"/>
      <c r="T24" s="148"/>
    </row>
    <row r="25" spans="2:20" ht="10" customHeight="1" x14ac:dyDescent="0.15">
      <c r="B25" s="212"/>
      <c r="C25" s="213"/>
      <c r="D25" s="214"/>
      <c r="E25" s="213"/>
      <c r="F25" s="213"/>
      <c r="G25" s="213"/>
      <c r="H25" s="214"/>
      <c r="I25" s="213"/>
      <c r="K25" s="138"/>
      <c r="M25" s="143"/>
      <c r="N25" s="143"/>
      <c r="O25" s="143"/>
      <c r="P25" s="143"/>
      <c r="Q25" s="146"/>
      <c r="R25" s="147"/>
      <c r="S25" s="147"/>
      <c r="T25" s="148"/>
    </row>
    <row r="26" spans="2:20" ht="16" customHeight="1" x14ac:dyDescent="0.15">
      <c r="B26" s="138" t="s">
        <v>0</v>
      </c>
      <c r="D26" s="178" t="s">
        <v>150</v>
      </c>
      <c r="E26" s="206">
        <v>5985000</v>
      </c>
      <c r="F26" s="160"/>
      <c r="G26" s="138" t="s">
        <v>154</v>
      </c>
      <c r="H26" s="178" t="s">
        <v>155</v>
      </c>
      <c r="I26" s="170">
        <v>0.75</v>
      </c>
      <c r="K26" s="655" t="s">
        <v>153</v>
      </c>
      <c r="L26" s="143"/>
      <c r="M26" s="662" t="s">
        <v>463</v>
      </c>
      <c r="N26" s="662"/>
      <c r="O26" s="662"/>
      <c r="P26" s="662"/>
      <c r="Q26" s="662"/>
      <c r="R26" s="662"/>
      <c r="S26" s="662"/>
      <c r="T26" s="148"/>
    </row>
    <row r="27" spans="2:20" ht="16" customHeight="1" x14ac:dyDescent="0.15">
      <c r="B27" s="138" t="s">
        <v>1</v>
      </c>
      <c r="D27" s="177" t="s">
        <v>40</v>
      </c>
      <c r="E27" s="172">
        <v>46266</v>
      </c>
      <c r="F27" s="160"/>
      <c r="G27" s="138" t="s">
        <v>153</v>
      </c>
      <c r="H27" s="178" t="s">
        <v>150</v>
      </c>
      <c r="I27" s="171">
        <f>I26*purchase_price</f>
        <v>4488750</v>
      </c>
      <c r="K27" s="650"/>
      <c r="L27" s="224"/>
      <c r="M27" s="663"/>
      <c r="N27" s="663"/>
      <c r="O27" s="663"/>
      <c r="P27" s="663"/>
      <c r="Q27" s="663"/>
      <c r="R27" s="663"/>
      <c r="S27" s="663"/>
      <c r="T27" s="148"/>
    </row>
    <row r="28" spans="2:20" ht="16" customHeight="1" x14ac:dyDescent="0.15">
      <c r="F28" s="169"/>
      <c r="K28" s="649" t="s">
        <v>70</v>
      </c>
      <c r="L28" s="657" t="s">
        <v>476</v>
      </c>
      <c r="M28" s="652" t="s">
        <v>134</v>
      </c>
      <c r="N28" s="652"/>
      <c r="O28" s="652"/>
      <c r="P28" s="652"/>
      <c r="Q28" s="652"/>
      <c r="R28" s="652"/>
      <c r="S28" s="652"/>
      <c r="T28" s="148"/>
    </row>
    <row r="29" spans="2:20" ht="16" customHeight="1" x14ac:dyDescent="0.15">
      <c r="B29" s="138" t="s">
        <v>168</v>
      </c>
      <c r="D29" s="177" t="s">
        <v>155</v>
      </c>
      <c r="E29" s="240">
        <f>+E19/purchase_price</f>
        <v>6.1507101086048455E-2</v>
      </c>
      <c r="F29" s="169"/>
      <c r="G29" s="138" t="s">
        <v>167</v>
      </c>
      <c r="H29" s="178" t="s">
        <v>151</v>
      </c>
      <c r="I29" s="205">
        <v>10</v>
      </c>
      <c r="K29" s="650"/>
      <c r="L29" s="658"/>
      <c r="M29" s="656"/>
      <c r="N29" s="656"/>
      <c r="O29" s="656"/>
      <c r="P29" s="656"/>
      <c r="Q29" s="656"/>
      <c r="R29" s="656"/>
      <c r="S29" s="656"/>
      <c r="T29" s="148"/>
    </row>
    <row r="30" spans="2:20" ht="16" customHeight="1" x14ac:dyDescent="0.15">
      <c r="D30" s="177"/>
      <c r="E30" s="220"/>
      <c r="F30" s="169"/>
      <c r="G30" s="138" t="s">
        <v>70</v>
      </c>
      <c r="H30" s="177" t="s">
        <v>155</v>
      </c>
      <c r="I30" s="242">
        <v>5.5E-2</v>
      </c>
      <c r="T30" s="148"/>
    </row>
    <row r="31" spans="2:20" ht="16" customHeight="1" x14ac:dyDescent="0.15">
      <c r="B31" s="138" t="s">
        <v>156</v>
      </c>
      <c r="D31" s="177" t="s">
        <v>155</v>
      </c>
      <c r="E31" s="170">
        <v>0.04</v>
      </c>
      <c r="F31" s="169"/>
      <c r="O31" s="143"/>
      <c r="P31" s="143"/>
      <c r="Q31" s="146"/>
      <c r="R31" s="152"/>
      <c r="S31" s="152"/>
      <c r="T31" s="148"/>
    </row>
    <row r="32" spans="2:20" ht="16" customHeight="1" x14ac:dyDescent="0.15">
      <c r="B32" s="138" t="s">
        <v>2</v>
      </c>
      <c r="D32" s="177" t="s">
        <v>150</v>
      </c>
      <c r="E32" s="173">
        <f>ROUNDUP(E31*E26,-2)</f>
        <v>239400</v>
      </c>
      <c r="F32" s="169"/>
      <c r="G32" s="138" t="s">
        <v>4</v>
      </c>
      <c r="H32" s="177" t="s">
        <v>150</v>
      </c>
      <c r="I32" s="243">
        <f>'Annual_P&amp;L'!$L$5</f>
        <v>8006380.0029400419</v>
      </c>
      <c r="O32" s="143"/>
      <c r="P32" s="143"/>
      <c r="Q32" s="146"/>
      <c r="R32" s="152"/>
      <c r="S32" s="152"/>
      <c r="T32" s="148"/>
    </row>
    <row r="33" spans="2:20" ht="16" customHeight="1" x14ac:dyDescent="0.15">
      <c r="D33" s="168"/>
      <c r="E33" s="174"/>
      <c r="F33" s="169"/>
      <c r="G33" s="138" t="s">
        <v>84</v>
      </c>
      <c r="H33" s="177" t="s">
        <v>155</v>
      </c>
      <c r="I33" s="149">
        <f>POWER(sale_price/purchase_price,1/hold_length)-1</f>
        <v>2.9525728591599743E-2</v>
      </c>
      <c r="O33" s="143"/>
      <c r="P33" s="143"/>
      <c r="Q33" s="146"/>
      <c r="R33" s="152"/>
      <c r="S33" s="152"/>
      <c r="T33" s="148"/>
    </row>
    <row r="34" spans="2:20" ht="16" customHeight="1" x14ac:dyDescent="0.15">
      <c r="B34" s="274" t="s">
        <v>79</v>
      </c>
      <c r="C34" s="274"/>
      <c r="D34" s="275" t="s">
        <v>150</v>
      </c>
      <c r="E34" s="276">
        <f>purchase_price+closing_costs</f>
        <v>6224400</v>
      </c>
      <c r="F34" s="169"/>
      <c r="G34" s="138" t="s">
        <v>169</v>
      </c>
      <c r="H34" s="177" t="s">
        <v>155</v>
      </c>
      <c r="I34" s="242">
        <v>0.04</v>
      </c>
      <c r="O34" s="143"/>
      <c r="P34" s="143"/>
      <c r="Q34" s="146"/>
      <c r="R34" s="152"/>
      <c r="S34" s="152"/>
      <c r="T34" s="148"/>
    </row>
    <row r="35" spans="2:20" ht="16" customHeight="1" x14ac:dyDescent="0.15">
      <c r="B35" s="138" t="s">
        <v>157</v>
      </c>
      <c r="D35" s="177" t="s">
        <v>158</v>
      </c>
      <c r="E35" s="173">
        <f>E34/I16</f>
        <v>444600</v>
      </c>
      <c r="F35" s="169"/>
      <c r="O35" s="143"/>
      <c r="P35" s="143"/>
      <c r="Q35" s="146"/>
      <c r="R35" s="152"/>
      <c r="S35" s="152"/>
      <c r="T35" s="148"/>
    </row>
    <row r="36" spans="2:20" ht="16" customHeight="1" x14ac:dyDescent="0.15">
      <c r="B36" s="138" t="s">
        <v>161</v>
      </c>
      <c r="D36" s="177" t="s">
        <v>160</v>
      </c>
      <c r="E36" s="173">
        <f>E34/I18</f>
        <v>584.39583137733541</v>
      </c>
      <c r="F36" s="169"/>
      <c r="O36" s="143"/>
      <c r="P36" s="143"/>
      <c r="Q36" s="146"/>
      <c r="R36" s="152"/>
      <c r="S36" s="152"/>
      <c r="T36" s="148"/>
    </row>
    <row r="37" spans="2:20" ht="16" customHeight="1" x14ac:dyDescent="0.15">
      <c r="E37" s="222"/>
      <c r="O37" s="143"/>
      <c r="P37" s="143"/>
      <c r="Q37" s="146"/>
      <c r="R37" s="152"/>
      <c r="S37" s="152"/>
      <c r="T37" s="148"/>
    </row>
    <row r="38" spans="2:20" ht="16" customHeight="1" x14ac:dyDescent="0.15">
      <c r="B38" s="158" t="s">
        <v>159</v>
      </c>
      <c r="C38" s="159"/>
      <c r="D38" s="176" t="s">
        <v>141</v>
      </c>
      <c r="E38" s="159"/>
      <c r="F38" s="159"/>
      <c r="G38" s="215"/>
      <c r="H38" s="218" t="s">
        <v>141</v>
      </c>
      <c r="I38" s="215"/>
      <c r="K38" s="230" t="s">
        <v>164</v>
      </c>
      <c r="L38" s="230" t="s">
        <v>138</v>
      </c>
      <c r="M38" s="230" t="s">
        <v>102</v>
      </c>
      <c r="N38" s="231"/>
      <c r="O38" s="231"/>
      <c r="P38" s="231"/>
      <c r="Q38" s="231"/>
      <c r="R38" s="231"/>
      <c r="S38" s="231"/>
      <c r="T38" s="148"/>
    </row>
    <row r="39" spans="2:20" ht="10" customHeight="1" x14ac:dyDescent="0.15">
      <c r="E39" s="222"/>
      <c r="K39" s="661" t="s">
        <v>3</v>
      </c>
      <c r="L39" s="659"/>
      <c r="M39" s="233"/>
      <c r="N39" s="233"/>
      <c r="O39" s="233"/>
      <c r="P39" s="233"/>
      <c r="Q39" s="234"/>
      <c r="R39" s="235"/>
      <c r="S39" s="235"/>
      <c r="T39" s="148"/>
    </row>
    <row r="40" spans="2:20" ht="16" customHeight="1" x14ac:dyDescent="0.15">
      <c r="B40" s="138" t="s">
        <v>178</v>
      </c>
      <c r="D40" s="177" t="s">
        <v>160</v>
      </c>
      <c r="E40" s="206">
        <v>40</v>
      </c>
      <c r="G40" s="138" t="s">
        <v>170</v>
      </c>
      <c r="H40" s="177" t="s">
        <v>40</v>
      </c>
      <c r="I40" s="245">
        <f>EDATE(purchase_date,I41)</f>
        <v>46296</v>
      </c>
      <c r="K40" s="650"/>
      <c r="L40" s="660"/>
      <c r="M40" s="648" t="s">
        <v>475</v>
      </c>
      <c r="N40" s="648"/>
      <c r="O40" s="648"/>
      <c r="P40" s="648"/>
      <c r="Q40" s="648"/>
      <c r="R40" s="648"/>
      <c r="S40" s="648"/>
      <c r="T40" s="148"/>
    </row>
    <row r="41" spans="2:20" ht="16" customHeight="1" x14ac:dyDescent="0.15">
      <c r="B41" s="138" t="s">
        <v>179</v>
      </c>
      <c r="D41" s="177" t="s">
        <v>150</v>
      </c>
      <c r="E41" s="227">
        <f>E40*rentable_sf</f>
        <v>426040</v>
      </c>
      <c r="G41" s="138" t="s">
        <v>171</v>
      </c>
      <c r="H41" s="177" t="s">
        <v>173</v>
      </c>
      <c r="I41" s="205">
        <v>1</v>
      </c>
      <c r="K41" s="649" t="s">
        <v>165</v>
      </c>
      <c r="L41" s="657"/>
      <c r="M41" s="652" t="s">
        <v>464</v>
      </c>
      <c r="N41" s="652"/>
      <c r="O41" s="652"/>
      <c r="P41" s="652"/>
      <c r="Q41" s="652"/>
      <c r="R41" s="652"/>
      <c r="S41" s="652"/>
      <c r="T41" s="148"/>
    </row>
    <row r="42" spans="2:20" ht="16" customHeight="1" x14ac:dyDescent="0.15">
      <c r="D42" s="177"/>
      <c r="E42" s="227"/>
      <c r="K42" s="650"/>
      <c r="L42" s="658"/>
      <c r="M42" s="656"/>
      <c r="N42" s="656"/>
      <c r="O42" s="656"/>
      <c r="P42" s="656"/>
      <c r="Q42" s="656"/>
      <c r="R42" s="656"/>
      <c r="S42" s="656"/>
      <c r="T42" s="148"/>
    </row>
    <row r="43" spans="2:20" ht="16" customHeight="1" x14ac:dyDescent="0.15">
      <c r="B43" s="138" t="s">
        <v>165</v>
      </c>
      <c r="D43" s="177" t="s">
        <v>172</v>
      </c>
      <c r="E43" s="205">
        <v>8</v>
      </c>
      <c r="G43" s="138" t="s">
        <v>174</v>
      </c>
      <c r="H43" s="177" t="s">
        <v>40</v>
      </c>
      <c r="I43" s="245">
        <f>EOMONTH(I40,E43-1)</f>
        <v>46538</v>
      </c>
      <c r="K43" s="221"/>
      <c r="L43" s="143"/>
      <c r="M43" s="238"/>
      <c r="N43" s="238"/>
      <c r="O43" s="238"/>
      <c r="P43" s="238"/>
      <c r="Q43" s="238"/>
      <c r="R43" s="238"/>
      <c r="S43" s="238"/>
      <c r="T43" s="148"/>
    </row>
    <row r="44" spans="2:20" ht="16" customHeight="1" x14ac:dyDescent="0.15">
      <c r="B44" s="138" t="s">
        <v>268</v>
      </c>
      <c r="D44" s="177" t="s">
        <v>77</v>
      </c>
      <c r="E44" s="249">
        <f>ROUNDUP(+I16/$E$43,0)</f>
        <v>2</v>
      </c>
      <c r="G44" s="138" t="s">
        <v>175</v>
      </c>
      <c r="H44" s="177" t="s">
        <v>173</v>
      </c>
      <c r="I44" s="167">
        <f>+I41+E43-1</f>
        <v>8</v>
      </c>
      <c r="K44" s="221"/>
      <c r="L44" s="143"/>
      <c r="M44" s="238"/>
      <c r="N44" s="238"/>
      <c r="O44" s="238"/>
      <c r="P44" s="238"/>
      <c r="Q44" s="238"/>
      <c r="R44" s="238"/>
      <c r="S44" s="238"/>
      <c r="T44" s="148"/>
    </row>
    <row r="45" spans="2:20" ht="16" customHeight="1" x14ac:dyDescent="0.15">
      <c r="B45" s="138" t="s">
        <v>269</v>
      </c>
      <c r="D45" s="177" t="s">
        <v>155</v>
      </c>
      <c r="E45" s="368">
        <f>+E44/I16</f>
        <v>0.14285714285714285</v>
      </c>
      <c r="H45" s="177"/>
      <c r="I45" s="167"/>
      <c r="K45" s="221"/>
      <c r="L45" s="143"/>
      <c r="M45" s="238"/>
      <c r="N45" s="238"/>
      <c r="O45" s="238"/>
      <c r="P45" s="238"/>
      <c r="Q45" s="238"/>
      <c r="R45" s="238"/>
      <c r="S45" s="238"/>
      <c r="T45" s="148"/>
    </row>
    <row r="46" spans="2:20" ht="16" customHeight="1" x14ac:dyDescent="0.15">
      <c r="C46" s="177"/>
      <c r="D46" s="244"/>
      <c r="E46" s="227"/>
      <c r="G46" s="138" t="s">
        <v>176</v>
      </c>
      <c r="H46" s="177" t="s">
        <v>40</v>
      </c>
      <c r="I46" s="245">
        <f>+I43+1</f>
        <v>46539</v>
      </c>
      <c r="K46" s="221"/>
      <c r="L46" s="143"/>
      <c r="M46" s="238"/>
      <c r="N46" s="238"/>
      <c r="O46" s="238"/>
      <c r="P46" s="238"/>
      <c r="Q46" s="238"/>
      <c r="R46" s="238"/>
      <c r="S46" s="238"/>
      <c r="T46" s="148"/>
    </row>
    <row r="47" spans="2:20" ht="16" customHeight="1" x14ac:dyDescent="0.15">
      <c r="B47" s="138" t="s">
        <v>232</v>
      </c>
      <c r="D47" s="177" t="s">
        <v>155</v>
      </c>
      <c r="E47" s="242">
        <v>7.0000000000000007E-2</v>
      </c>
      <c r="G47" s="138" t="s">
        <v>177</v>
      </c>
      <c r="H47" s="177" t="s">
        <v>173</v>
      </c>
      <c r="I47" s="167">
        <f>+I44+1</f>
        <v>9</v>
      </c>
      <c r="K47" s="221"/>
      <c r="L47" s="143"/>
      <c r="M47" s="238"/>
      <c r="N47" s="238"/>
      <c r="O47" s="238"/>
      <c r="P47" s="238"/>
      <c r="Q47" s="238"/>
      <c r="R47" s="238"/>
      <c r="S47" s="238"/>
      <c r="T47" s="148"/>
    </row>
    <row r="48" spans="2:20" ht="16" customHeight="1" x14ac:dyDescent="0.15">
      <c r="D48" s="177"/>
      <c r="E48" s="227"/>
      <c r="H48" s="177"/>
      <c r="I48" s="167"/>
      <c r="K48" s="221"/>
      <c r="L48" s="143"/>
      <c r="M48" s="238"/>
      <c r="N48" s="238"/>
      <c r="O48" s="238"/>
      <c r="P48" s="238"/>
      <c r="Q48" s="238"/>
      <c r="R48" s="238"/>
      <c r="S48" s="238"/>
      <c r="T48" s="148"/>
    </row>
    <row r="49" spans="2:20" ht="16" customHeight="1" x14ac:dyDescent="0.15">
      <c r="B49" s="138" t="s">
        <v>305</v>
      </c>
      <c r="D49" s="177" t="s">
        <v>155</v>
      </c>
      <c r="E49" s="242">
        <v>7.0000000000000007E-2</v>
      </c>
      <c r="K49" s="221"/>
      <c r="L49" s="143"/>
      <c r="M49" s="238"/>
      <c r="N49" s="238"/>
      <c r="O49" s="238"/>
      <c r="P49" s="238"/>
      <c r="Q49" s="238"/>
      <c r="R49" s="238"/>
      <c r="S49" s="238"/>
      <c r="T49" s="148"/>
    </row>
    <row r="50" spans="2:20" ht="16" customHeight="1" x14ac:dyDescent="0.15">
      <c r="B50" s="250" t="s">
        <v>469</v>
      </c>
      <c r="D50" s="177" t="s">
        <v>160</v>
      </c>
      <c r="E50" s="162">
        <f>+WA_Mar_Rent*(1+'Assumptions_&amp;_Inputs'!$E$49)</f>
        <v>3.6261055299971843</v>
      </c>
      <c r="K50" s="221"/>
      <c r="L50" s="143"/>
      <c r="M50" s="238"/>
      <c r="N50" s="238"/>
      <c r="O50" s="238"/>
      <c r="P50" s="238"/>
      <c r="Q50" s="238"/>
      <c r="R50" s="238"/>
      <c r="S50" s="238"/>
      <c r="T50" s="148"/>
    </row>
    <row r="51" spans="2:20" ht="16" customHeight="1" x14ac:dyDescent="0.15">
      <c r="D51" s="177"/>
      <c r="E51" s="227"/>
      <c r="K51" s="221"/>
      <c r="L51" s="143"/>
      <c r="M51" s="238"/>
      <c r="N51" s="238"/>
      <c r="O51" s="238"/>
      <c r="P51" s="238"/>
      <c r="Q51" s="238"/>
      <c r="R51" s="238"/>
      <c r="S51" s="238"/>
      <c r="T51" s="148"/>
    </row>
    <row r="52" spans="2:20" ht="16" customHeight="1" x14ac:dyDescent="0.15">
      <c r="B52" s="158" t="s">
        <v>50</v>
      </c>
      <c r="C52" s="159"/>
      <c r="D52" s="176" t="s">
        <v>141</v>
      </c>
      <c r="E52" s="159"/>
      <c r="F52" s="159"/>
      <c r="G52" s="215"/>
      <c r="H52" s="218" t="s">
        <v>141</v>
      </c>
      <c r="I52" s="215"/>
      <c r="K52" s="230" t="s">
        <v>164</v>
      </c>
      <c r="L52" s="230" t="s">
        <v>138</v>
      </c>
      <c r="M52" s="230" t="s">
        <v>102</v>
      </c>
      <c r="N52" s="231"/>
      <c r="O52" s="231"/>
      <c r="P52" s="231"/>
      <c r="Q52" s="231"/>
      <c r="R52" s="231"/>
      <c r="S52" s="231"/>
      <c r="T52" s="148"/>
    </row>
    <row r="53" spans="2:20" ht="10" customHeight="1" x14ac:dyDescent="0.15">
      <c r="D53" s="177"/>
      <c r="E53" s="227"/>
      <c r="H53" s="177"/>
      <c r="I53" s="167"/>
      <c r="K53" s="232"/>
      <c r="L53" s="232"/>
      <c r="M53" s="233"/>
      <c r="N53" s="233"/>
      <c r="O53" s="233"/>
      <c r="P53" s="233"/>
      <c r="Q53" s="234"/>
      <c r="R53" s="235"/>
      <c r="S53" s="235"/>
      <c r="T53" s="148"/>
    </row>
    <row r="54" spans="2:20" ht="16" customHeight="1" x14ac:dyDescent="0.15">
      <c r="B54" s="269" t="s">
        <v>104</v>
      </c>
      <c r="C54" s="270"/>
      <c r="D54" s="261"/>
      <c r="E54" s="271"/>
      <c r="K54" s="223" t="s">
        <v>45</v>
      </c>
      <c r="L54" s="224"/>
      <c r="M54" s="648" t="s">
        <v>181</v>
      </c>
      <c r="N54" s="648"/>
      <c r="O54" s="648"/>
      <c r="P54" s="648"/>
      <c r="Q54" s="648"/>
      <c r="R54" s="648"/>
      <c r="S54" s="648"/>
      <c r="T54" s="148"/>
    </row>
    <row r="55" spans="2:20" ht="16" customHeight="1" x14ac:dyDescent="0.15">
      <c r="B55" s="250" t="s">
        <v>45</v>
      </c>
      <c r="D55" s="177" t="s">
        <v>180</v>
      </c>
      <c r="E55" s="268">
        <v>2.5000000000000001E-2</v>
      </c>
      <c r="G55" s="138" t="s">
        <v>111</v>
      </c>
      <c r="H55" s="177" t="s">
        <v>155</v>
      </c>
      <c r="I55" s="242">
        <v>2.5000000000000001E-2</v>
      </c>
      <c r="K55" s="239" t="s">
        <v>63</v>
      </c>
      <c r="L55" s="251" t="s">
        <v>139</v>
      </c>
      <c r="M55" s="252"/>
      <c r="N55" s="252"/>
      <c r="O55" s="252"/>
      <c r="P55" s="252"/>
      <c r="Q55" s="252"/>
      <c r="R55" s="252"/>
      <c r="S55" s="252"/>
      <c r="T55" s="148"/>
    </row>
    <row r="56" spans="2:20" ht="16" customHeight="1" x14ac:dyDescent="0.15">
      <c r="B56" s="250" t="s">
        <v>223</v>
      </c>
      <c r="D56" s="177" t="s">
        <v>224</v>
      </c>
      <c r="E56" s="254">
        <v>500</v>
      </c>
      <c r="G56" s="138" t="s">
        <v>74</v>
      </c>
      <c r="H56" s="177" t="s">
        <v>155</v>
      </c>
      <c r="I56" s="242">
        <v>0.1</v>
      </c>
      <c r="K56" s="649" t="s">
        <v>62</v>
      </c>
      <c r="L56" s="649"/>
      <c r="M56" s="652" t="s">
        <v>465</v>
      </c>
      <c r="N56" s="653"/>
      <c r="O56" s="653"/>
      <c r="P56" s="653"/>
      <c r="Q56" s="653"/>
      <c r="R56" s="653"/>
      <c r="S56" s="653"/>
      <c r="T56" s="148"/>
    </row>
    <row r="57" spans="2:20" ht="16" customHeight="1" x14ac:dyDescent="0.15">
      <c r="D57" s="177"/>
      <c r="E57" s="227"/>
      <c r="H57" s="177"/>
      <c r="I57" s="167"/>
      <c r="K57" s="650"/>
      <c r="L57" s="651"/>
      <c r="M57" s="654"/>
      <c r="N57" s="654"/>
      <c r="O57" s="654"/>
      <c r="P57" s="654"/>
      <c r="Q57" s="654"/>
      <c r="R57" s="654"/>
      <c r="S57" s="654"/>
      <c r="T57" s="148"/>
    </row>
    <row r="58" spans="2:20" ht="16" customHeight="1" x14ac:dyDescent="0.15">
      <c r="B58" s="269" t="s">
        <v>105</v>
      </c>
      <c r="C58" s="270"/>
      <c r="D58" s="261"/>
      <c r="E58" s="271"/>
      <c r="F58" s="270"/>
      <c r="G58" s="270"/>
      <c r="H58" s="261"/>
      <c r="I58" s="273"/>
      <c r="K58" s="239" t="s">
        <v>198</v>
      </c>
      <c r="L58" s="251"/>
      <c r="M58" s="253" t="s">
        <v>466</v>
      </c>
      <c r="N58" s="252"/>
      <c r="O58" s="252"/>
      <c r="P58" s="252"/>
      <c r="Q58" s="252"/>
      <c r="R58" s="252"/>
      <c r="S58" s="252"/>
      <c r="T58" s="148"/>
    </row>
    <row r="59" spans="2:20" ht="16" customHeight="1" x14ac:dyDescent="0.15">
      <c r="B59" s="164" t="s">
        <v>63</v>
      </c>
      <c r="D59" s="177" t="s">
        <v>183</v>
      </c>
      <c r="E59" s="268">
        <v>3.5000000000000003E-2</v>
      </c>
      <c r="G59" s="138" t="s">
        <v>200</v>
      </c>
      <c r="H59" s="177" t="s">
        <v>192</v>
      </c>
      <c r="I59" s="272">
        <v>1.21E-2</v>
      </c>
      <c r="K59" s="649" t="s">
        <v>194</v>
      </c>
      <c r="L59" s="649"/>
      <c r="M59" s="652" t="s">
        <v>231</v>
      </c>
      <c r="N59" s="653"/>
      <c r="O59" s="653"/>
      <c r="P59" s="653"/>
      <c r="Q59" s="653"/>
      <c r="R59" s="653"/>
      <c r="S59" s="653"/>
      <c r="T59" s="148"/>
    </row>
    <row r="60" spans="2:20" ht="16" customHeight="1" x14ac:dyDescent="0.15">
      <c r="B60" s="164" t="s">
        <v>106</v>
      </c>
      <c r="D60" s="177" t="s">
        <v>190</v>
      </c>
      <c r="E60" s="206">
        <v>800</v>
      </c>
      <c r="G60" s="138" t="s">
        <v>64</v>
      </c>
      <c r="H60" s="177" t="s">
        <v>150</v>
      </c>
      <c r="I60" s="255">
        <f>+I59*I27</f>
        <v>54313.875</v>
      </c>
      <c r="K60" s="650"/>
      <c r="L60" s="651"/>
      <c r="M60" s="654"/>
      <c r="N60" s="654"/>
      <c r="O60" s="654"/>
      <c r="P60" s="654"/>
      <c r="Q60" s="654"/>
      <c r="R60" s="654"/>
      <c r="S60" s="654"/>
      <c r="T60" s="148"/>
    </row>
    <row r="61" spans="2:20" ht="16" customHeight="1" x14ac:dyDescent="0.15">
      <c r="B61" s="250" t="s">
        <v>191</v>
      </c>
      <c r="D61" s="177" t="s">
        <v>189</v>
      </c>
      <c r="E61" s="207">
        <f>E60*I16</f>
        <v>11200</v>
      </c>
      <c r="G61" s="138" t="s">
        <v>193</v>
      </c>
      <c r="H61" s="177" t="s">
        <v>155</v>
      </c>
      <c r="I61" s="208">
        <v>0.02</v>
      </c>
      <c r="K61" s="239" t="s">
        <v>65</v>
      </c>
      <c r="L61" s="251"/>
      <c r="M61" s="253" t="s">
        <v>199</v>
      </c>
      <c r="N61" s="252"/>
      <c r="O61" s="252"/>
      <c r="P61" s="252"/>
      <c r="Q61" s="252"/>
      <c r="R61" s="252"/>
      <c r="S61" s="252"/>
      <c r="T61" s="148"/>
    </row>
    <row r="62" spans="2:20" ht="16" customHeight="1" x14ac:dyDescent="0.15">
      <c r="B62" s="138" t="s">
        <v>194</v>
      </c>
      <c r="D62" s="177" t="s">
        <v>196</v>
      </c>
      <c r="E62" s="254">
        <v>1.4</v>
      </c>
      <c r="H62" s="177"/>
      <c r="I62" s="167"/>
      <c r="K62" s="239" t="s">
        <v>200</v>
      </c>
      <c r="L62" s="251"/>
      <c r="M62" s="253" t="s">
        <v>201</v>
      </c>
      <c r="N62" s="252"/>
      <c r="O62" s="252"/>
      <c r="P62" s="252"/>
      <c r="Q62" s="252"/>
      <c r="R62" s="252"/>
      <c r="S62" s="252"/>
      <c r="T62" s="148"/>
    </row>
    <row r="63" spans="2:20" ht="16" customHeight="1" x14ac:dyDescent="0.15">
      <c r="B63" s="250" t="s">
        <v>195</v>
      </c>
      <c r="D63" s="177" t="s">
        <v>150</v>
      </c>
      <c r="E63" s="255">
        <f>+E62*I17</f>
        <v>16711.8</v>
      </c>
      <c r="G63" s="164" t="s">
        <v>238</v>
      </c>
      <c r="H63" s="177" t="s">
        <v>184</v>
      </c>
      <c r="I63" s="242">
        <v>0.03</v>
      </c>
      <c r="K63" s="239" t="s">
        <v>111</v>
      </c>
      <c r="L63" s="251" t="s">
        <v>186</v>
      </c>
      <c r="M63" s="253" t="s">
        <v>472</v>
      </c>
      <c r="N63" s="252"/>
      <c r="O63" s="252"/>
      <c r="P63" s="252"/>
      <c r="Q63" s="252"/>
      <c r="R63" s="252"/>
      <c r="S63" s="252"/>
      <c r="T63" s="148"/>
    </row>
    <row r="64" spans="2:20" ht="16" customHeight="1" x14ac:dyDescent="0.15">
      <c r="B64" s="164" t="s">
        <v>65</v>
      </c>
      <c r="D64" s="177" t="s">
        <v>188</v>
      </c>
      <c r="E64" s="254">
        <v>1.5</v>
      </c>
      <c r="G64" s="250" t="s">
        <v>187</v>
      </c>
      <c r="H64" s="177" t="s">
        <v>185</v>
      </c>
      <c r="I64" s="249">
        <f>vacancy_allowance*365</f>
        <v>10.95</v>
      </c>
      <c r="K64" s="239" t="s">
        <v>74</v>
      </c>
      <c r="L64" s="251"/>
      <c r="M64" s="253" t="s">
        <v>202</v>
      </c>
      <c r="N64" s="252"/>
      <c r="O64" s="252"/>
      <c r="P64" s="252"/>
      <c r="Q64" s="252"/>
      <c r="R64" s="252"/>
      <c r="S64" s="252"/>
      <c r="T64" s="148"/>
    </row>
    <row r="65" spans="2:19" ht="16" customHeight="1" x14ac:dyDescent="0.15">
      <c r="B65" s="164" t="s">
        <v>197</v>
      </c>
      <c r="D65" s="177" t="s">
        <v>150</v>
      </c>
      <c r="E65" s="255">
        <f>+E64*I18</f>
        <v>15976.5</v>
      </c>
      <c r="G65" s="138" t="s">
        <v>239</v>
      </c>
      <c r="H65" s="177" t="s">
        <v>184</v>
      </c>
      <c r="I65" s="170">
        <v>0.03</v>
      </c>
      <c r="K65" s="138"/>
    </row>
    <row r="66" spans="2:19" ht="16" customHeight="1" x14ac:dyDescent="0.15">
      <c r="G66" s="250" t="s">
        <v>187</v>
      </c>
      <c r="H66" s="177" t="s">
        <v>185</v>
      </c>
      <c r="I66" s="249">
        <f>I65*365</f>
        <v>10.95</v>
      </c>
    </row>
    <row r="67" spans="2:19" ht="16" customHeight="1" x14ac:dyDescent="0.15">
      <c r="G67" s="138" t="s">
        <v>240</v>
      </c>
      <c r="H67" s="177" t="s">
        <v>172</v>
      </c>
      <c r="I67" s="205">
        <v>3</v>
      </c>
      <c r="K67" s="357"/>
    </row>
    <row r="68" spans="2:19" ht="16" customHeight="1" x14ac:dyDescent="0.15">
      <c r="B68" s="164"/>
      <c r="D68" s="177"/>
      <c r="E68" s="255"/>
      <c r="G68" s="138" t="s">
        <v>457</v>
      </c>
      <c r="H68" s="177" t="s">
        <v>173</v>
      </c>
      <c r="I68" s="161">
        <f>+I47+I67</f>
        <v>12</v>
      </c>
      <c r="K68" s="165"/>
    </row>
    <row r="69" spans="2:19" ht="16" customHeight="1" x14ac:dyDescent="0.15">
      <c r="B69" s="164"/>
      <c r="D69" s="177"/>
      <c r="E69" s="255"/>
      <c r="G69" s="138" t="s">
        <v>241</v>
      </c>
      <c r="H69" s="177" t="s">
        <v>242</v>
      </c>
      <c r="I69" s="277">
        <f>+(I65-vacancy_allowance)/I67</f>
        <v>0</v>
      </c>
      <c r="K69" s="165"/>
    </row>
    <row r="70" spans="2:19" s="226" customFormat="1" ht="16" customHeight="1" x14ac:dyDescent="0.15">
      <c r="B70" s="256"/>
      <c r="D70" s="177"/>
      <c r="E70" s="257"/>
      <c r="K70" s="214"/>
      <c r="L70" s="214"/>
      <c r="M70" s="214"/>
      <c r="N70" s="214"/>
      <c r="O70" s="214"/>
    </row>
    <row r="71" spans="2:19" s="226" customFormat="1" ht="16" customHeight="1" x14ac:dyDescent="0.15">
      <c r="B71" s="158" t="s">
        <v>115</v>
      </c>
      <c r="C71" s="159"/>
      <c r="D71" s="176" t="s">
        <v>141</v>
      </c>
      <c r="E71" s="159"/>
      <c r="F71" s="159"/>
      <c r="G71" s="215"/>
      <c r="H71" s="218" t="s">
        <v>141</v>
      </c>
      <c r="I71" s="215"/>
      <c r="K71" s="230" t="s">
        <v>164</v>
      </c>
      <c r="L71" s="230" t="s">
        <v>138</v>
      </c>
      <c r="M71" s="230" t="s">
        <v>102</v>
      </c>
      <c r="N71" s="231"/>
      <c r="O71" s="231"/>
      <c r="P71" s="231"/>
      <c r="Q71" s="231"/>
      <c r="R71" s="231"/>
      <c r="S71" s="231"/>
    </row>
    <row r="72" spans="2:19" s="226" customFormat="1" ht="10" customHeight="1" x14ac:dyDescent="0.15">
      <c r="B72" s="256"/>
      <c r="D72" s="177"/>
      <c r="E72" s="257"/>
      <c r="K72" s="232"/>
      <c r="L72" s="232"/>
      <c r="M72" s="233"/>
      <c r="N72" s="233"/>
      <c r="O72" s="233"/>
      <c r="P72" s="233"/>
      <c r="Q72" s="234"/>
      <c r="R72" s="235"/>
      <c r="S72" s="235"/>
    </row>
    <row r="73" spans="2:19" s="226" customFormat="1" ht="16" customHeight="1" x14ac:dyDescent="0.15">
      <c r="B73" s="264" t="s">
        <v>212</v>
      </c>
      <c r="C73" s="265"/>
      <c r="D73" s="266"/>
      <c r="E73" s="267"/>
      <c r="G73" s="264" t="s">
        <v>213</v>
      </c>
      <c r="H73" s="265"/>
      <c r="I73" s="266"/>
      <c r="J73" s="257"/>
      <c r="K73" s="223" t="s">
        <v>261</v>
      </c>
      <c r="L73" s="224"/>
      <c r="M73" s="648" t="s">
        <v>262</v>
      </c>
      <c r="N73" s="648"/>
      <c r="O73" s="648"/>
      <c r="P73" s="648"/>
      <c r="Q73" s="648"/>
      <c r="R73" s="648"/>
      <c r="S73" s="648"/>
    </row>
    <row r="74" spans="2:19" s="226" customFormat="1" ht="16" customHeight="1" x14ac:dyDescent="0.15">
      <c r="B74" s="164" t="s">
        <v>245</v>
      </c>
      <c r="D74" s="177" t="s">
        <v>155</v>
      </c>
      <c r="E74" s="263">
        <v>0.6</v>
      </c>
      <c r="G74" s="164" t="s">
        <v>207</v>
      </c>
      <c r="H74" s="177" t="s">
        <v>150</v>
      </c>
      <c r="I74" s="255">
        <f>I81*I84</f>
        <v>4138544.398291734</v>
      </c>
      <c r="K74" s="225" t="s">
        <v>265</v>
      </c>
      <c r="L74" s="364"/>
      <c r="M74" s="281" t="s">
        <v>467</v>
      </c>
      <c r="N74" s="282"/>
      <c r="O74" s="282"/>
      <c r="P74" s="282"/>
      <c r="Q74" s="282"/>
      <c r="R74" s="282"/>
      <c r="S74" s="282"/>
    </row>
    <row r="75" spans="2:19" s="226" customFormat="1" ht="16" customHeight="1" x14ac:dyDescent="0.15">
      <c r="B75" s="164" t="s">
        <v>210</v>
      </c>
      <c r="D75" s="177" t="s">
        <v>155</v>
      </c>
      <c r="E75" s="208">
        <v>0.01</v>
      </c>
      <c r="G75" s="164" t="s">
        <v>42</v>
      </c>
      <c r="H75" s="177" t="s">
        <v>155</v>
      </c>
      <c r="I75" s="242">
        <v>0.05</v>
      </c>
      <c r="K75" s="223" t="s">
        <v>244</v>
      </c>
      <c r="L75" s="224"/>
      <c r="M75" s="648" t="s">
        <v>263</v>
      </c>
      <c r="N75" s="648"/>
      <c r="O75" s="648"/>
      <c r="P75" s="648"/>
      <c r="Q75" s="648"/>
      <c r="R75" s="648"/>
      <c r="S75" s="648"/>
    </row>
    <row r="76" spans="2:19" s="226" customFormat="1" ht="16" customHeight="1" x14ac:dyDescent="0.15">
      <c r="B76" s="164"/>
      <c r="D76" s="177"/>
      <c r="E76" s="177"/>
      <c r="G76" s="138" t="s">
        <v>209</v>
      </c>
      <c r="H76" s="177" t="s">
        <v>155</v>
      </c>
      <c r="I76" s="277">
        <f>(1+I75)^(1/12)-1</f>
        <v>4.0741237836483535E-3</v>
      </c>
      <c r="K76" s="225" t="s">
        <v>264</v>
      </c>
      <c r="L76" s="364"/>
      <c r="M76" s="281" t="s">
        <v>468</v>
      </c>
      <c r="N76" s="282"/>
      <c r="O76" s="282"/>
      <c r="P76" s="282"/>
      <c r="Q76" s="282"/>
      <c r="R76" s="282"/>
      <c r="S76" s="282"/>
    </row>
    <row r="77" spans="2:19" s="226" customFormat="1" ht="16" customHeight="1" x14ac:dyDescent="0.15">
      <c r="B77" s="259" t="s">
        <v>214</v>
      </c>
      <c r="C77" s="260"/>
      <c r="D77" s="261"/>
      <c r="E77" s="262"/>
      <c r="G77" s="138" t="s">
        <v>75</v>
      </c>
      <c r="H77" s="177" t="s">
        <v>204</v>
      </c>
      <c r="I77" s="242" t="s">
        <v>76</v>
      </c>
      <c r="J77" s="257"/>
      <c r="K77" s="239"/>
      <c r="L77" s="251"/>
      <c r="M77" s="253"/>
      <c r="N77" s="252"/>
      <c r="O77" s="252"/>
      <c r="P77" s="252"/>
      <c r="Q77" s="252"/>
      <c r="R77" s="252"/>
      <c r="S77" s="252"/>
    </row>
    <row r="78" spans="2:19" s="226" customFormat="1" ht="16" customHeight="1" x14ac:dyDescent="0.15">
      <c r="B78" s="164" t="s">
        <v>207</v>
      </c>
      <c r="D78" s="177" t="s">
        <v>150</v>
      </c>
      <c r="E78" s="255">
        <f>+D93</f>
        <v>4014350.1006036219</v>
      </c>
      <c r="G78" s="164" t="s">
        <v>203</v>
      </c>
      <c r="H78" s="177" t="s">
        <v>151</v>
      </c>
      <c r="I78" s="205">
        <v>35</v>
      </c>
      <c r="K78" s="221"/>
      <c r="L78" s="219"/>
      <c r="M78" s="236"/>
      <c r="N78" s="237"/>
      <c r="O78" s="237"/>
      <c r="P78" s="237"/>
      <c r="Q78" s="237"/>
      <c r="R78" s="237"/>
      <c r="S78" s="237"/>
    </row>
    <row r="79" spans="2:19" s="226" customFormat="1" ht="16" customHeight="1" x14ac:dyDescent="0.15">
      <c r="B79" s="164" t="s">
        <v>42</v>
      </c>
      <c r="D79" s="177" t="s">
        <v>155</v>
      </c>
      <c r="E79" s="242">
        <v>0.06</v>
      </c>
      <c r="G79" s="164" t="s">
        <v>208</v>
      </c>
      <c r="H79" s="177" t="s">
        <v>151</v>
      </c>
      <c r="I79" s="205">
        <v>10</v>
      </c>
      <c r="K79" s="221"/>
      <c r="L79" s="219"/>
      <c r="M79" s="236"/>
      <c r="N79" s="237"/>
      <c r="O79" s="237"/>
      <c r="P79" s="237"/>
      <c r="Q79" s="237"/>
      <c r="R79" s="237"/>
      <c r="S79" s="237"/>
    </row>
    <row r="80" spans="2:19" s="226" customFormat="1" ht="16" customHeight="1" x14ac:dyDescent="0.15">
      <c r="B80" s="138" t="s">
        <v>209</v>
      </c>
      <c r="D80" s="177" t="s">
        <v>155</v>
      </c>
      <c r="E80" s="277">
        <f>(1+E79)^(1/12)-1</f>
        <v>4.8675505653430484E-3</v>
      </c>
      <c r="G80" s="164" t="s">
        <v>246</v>
      </c>
      <c r="H80" s="177" t="s">
        <v>173</v>
      </c>
      <c r="I80" s="360">
        <f>+E83</f>
        <v>18</v>
      </c>
      <c r="K80" s="221"/>
      <c r="L80" s="219"/>
      <c r="M80" s="236"/>
      <c r="N80" s="237"/>
      <c r="O80" s="237"/>
      <c r="P80" s="237"/>
      <c r="Q80" s="237"/>
      <c r="R80" s="237"/>
      <c r="S80" s="237"/>
    </row>
    <row r="81" spans="2:20" s="226" customFormat="1" ht="16" customHeight="1" x14ac:dyDescent="0.15">
      <c r="B81" s="138" t="s">
        <v>75</v>
      </c>
      <c r="C81" s="138"/>
      <c r="D81" s="177" t="s">
        <v>204</v>
      </c>
      <c r="E81" s="242" t="s">
        <v>206</v>
      </c>
      <c r="G81" s="164" t="s">
        <v>247</v>
      </c>
      <c r="H81" s="177" t="s">
        <v>155</v>
      </c>
      <c r="I81" s="361">
        <v>0.7</v>
      </c>
      <c r="K81" s="221"/>
      <c r="L81" s="219"/>
      <c r="M81" s="236"/>
      <c r="N81" s="237"/>
      <c r="O81" s="237"/>
      <c r="P81" s="237"/>
      <c r="Q81" s="237"/>
      <c r="R81" s="237"/>
      <c r="S81" s="237"/>
    </row>
    <row r="82" spans="2:20" s="226" customFormat="1" ht="16" customHeight="1" x14ac:dyDescent="0.15">
      <c r="B82" s="164" t="s">
        <v>203</v>
      </c>
      <c r="D82" s="177" t="s">
        <v>151</v>
      </c>
      <c r="E82" s="205">
        <v>30</v>
      </c>
      <c r="G82" s="164" t="s">
        <v>248</v>
      </c>
      <c r="H82" s="177" t="s">
        <v>155</v>
      </c>
      <c r="I82" s="242">
        <v>0.06</v>
      </c>
      <c r="K82" s="221"/>
      <c r="L82" s="219"/>
      <c r="M82" s="236"/>
      <c r="N82" s="237"/>
      <c r="O82" s="237"/>
      <c r="P82" s="237"/>
      <c r="Q82" s="237"/>
      <c r="R82" s="237"/>
      <c r="S82" s="237"/>
    </row>
    <row r="83" spans="2:20" s="226" customFormat="1" ht="16" customHeight="1" x14ac:dyDescent="0.15">
      <c r="B83" s="164" t="s">
        <v>208</v>
      </c>
      <c r="D83" s="177" t="s">
        <v>172</v>
      </c>
      <c r="E83" s="205">
        <v>18</v>
      </c>
      <c r="G83" s="164" t="s">
        <v>249</v>
      </c>
      <c r="H83" s="177" t="s">
        <v>150</v>
      </c>
      <c r="I83" s="255">
        <f>SUMIFS('Monthly_P&amp;L'!$G$45:$XFD$45,'Monthly_P&amp;L'!$G$7:$XFD$7,"&gt;"&amp;I80,'Monthly_P&amp;L'!$G$7:$XFD$7,"&lt;="&amp;I80+12)</f>
        <v>354732.37699643435</v>
      </c>
      <c r="K83" s="138"/>
      <c r="L83" s="138"/>
      <c r="M83" s="138"/>
      <c r="N83" s="138"/>
      <c r="O83" s="138"/>
      <c r="P83" s="138"/>
      <c r="Q83" s="138"/>
      <c r="R83" s="138"/>
      <c r="S83" s="138"/>
    </row>
    <row r="84" spans="2:20" s="226" customFormat="1" ht="16" customHeight="1" x14ac:dyDescent="0.15">
      <c r="B84" s="164" t="s">
        <v>266</v>
      </c>
      <c r="D84" s="177" t="s">
        <v>150</v>
      </c>
      <c r="E84" s="255">
        <f>E74*(I93+I94)/(1-E74*E75)*E80</f>
        <v>19540.052101678084</v>
      </c>
      <c r="G84" s="164" t="s">
        <v>250</v>
      </c>
      <c r="H84" s="177" t="s">
        <v>150</v>
      </c>
      <c r="I84" s="358">
        <f>I83/I82</f>
        <v>5912206.2832739064</v>
      </c>
      <c r="K84" s="256"/>
    </row>
    <row r="85" spans="2:20" ht="16" customHeight="1" x14ac:dyDescent="0.15">
      <c r="B85" s="259" t="s">
        <v>7</v>
      </c>
      <c r="C85" s="260"/>
      <c r="D85" s="261"/>
      <c r="E85" s="262"/>
      <c r="G85" s="164" t="s">
        <v>251</v>
      </c>
      <c r="H85" s="177" t="s">
        <v>252</v>
      </c>
      <c r="I85" s="362">
        <f>+E75</f>
        <v>0.01</v>
      </c>
      <c r="J85" s="143"/>
      <c r="K85" s="221"/>
      <c r="L85" s="143"/>
      <c r="M85" s="143"/>
      <c r="P85" s="219"/>
      <c r="Q85" s="221"/>
      <c r="R85" s="258"/>
      <c r="S85" s="163"/>
      <c r="T85" s="161"/>
    </row>
    <row r="86" spans="2:20" ht="16" customHeight="1" x14ac:dyDescent="0.15">
      <c r="B86" s="138" t="s">
        <v>211</v>
      </c>
      <c r="D86" s="177" t="s">
        <v>155</v>
      </c>
      <c r="E86" s="168">
        <f>D94/D95</f>
        <v>0.39999999999999997</v>
      </c>
      <c r="G86" s="164" t="s">
        <v>253</v>
      </c>
      <c r="H86" s="177" t="s">
        <v>150</v>
      </c>
      <c r="I86" s="358">
        <f>-PMT(I76,I78*12,I74,IF(I77="Interest-only",-I74,0))</f>
        <v>20594.53046801344</v>
      </c>
    </row>
    <row r="87" spans="2:20" ht="16" customHeight="1" x14ac:dyDescent="0.15">
      <c r="B87" s="164" t="s">
        <v>107</v>
      </c>
      <c r="C87" s="226"/>
      <c r="D87" s="177" t="s">
        <v>150</v>
      </c>
      <c r="E87" s="227">
        <f>+D94</f>
        <v>2676233.4004024141</v>
      </c>
      <c r="K87" s="138"/>
    </row>
    <row r="88" spans="2:20" ht="16" customHeight="1" x14ac:dyDescent="0.15">
      <c r="G88" s="167"/>
      <c r="K88" s="138"/>
    </row>
    <row r="89" spans="2:20" ht="16" customHeight="1" x14ac:dyDescent="0.15">
      <c r="K89" s="138"/>
    </row>
    <row r="90" spans="2:20" ht="16" customHeight="1" x14ac:dyDescent="0.15">
      <c r="B90" s="158" t="s">
        <v>215</v>
      </c>
      <c r="C90" s="159"/>
      <c r="D90" s="176"/>
      <c r="E90" s="159"/>
      <c r="F90" s="159"/>
      <c r="G90" s="215"/>
      <c r="H90" s="218"/>
      <c r="I90" s="215"/>
      <c r="J90" s="215"/>
      <c r="K90" s="138"/>
    </row>
    <row r="91" spans="2:20" ht="16" customHeight="1" x14ac:dyDescent="0.15">
      <c r="K91" s="138"/>
    </row>
    <row r="92" spans="2:20" ht="16" customHeight="1" x14ac:dyDescent="0.15">
      <c r="B92" s="264" t="s">
        <v>216</v>
      </c>
      <c r="C92" s="265"/>
      <c r="D92" s="266"/>
      <c r="E92" s="327" t="s">
        <v>235</v>
      </c>
      <c r="G92" s="264" t="s">
        <v>217</v>
      </c>
      <c r="H92" s="265"/>
      <c r="I92" s="266"/>
      <c r="J92" s="327" t="s">
        <v>235</v>
      </c>
      <c r="K92" s="138"/>
    </row>
    <row r="93" spans="2:20" ht="16" customHeight="1" x14ac:dyDescent="0.15">
      <c r="B93" s="138" t="s">
        <v>205</v>
      </c>
      <c r="D93" s="227">
        <f>E74*(I93+I94)/(1-E74*E75)</f>
        <v>4014350.1006036219</v>
      </c>
      <c r="E93" s="328">
        <f>$D93/$D$95</f>
        <v>0.60000000000000009</v>
      </c>
      <c r="G93" s="138" t="s">
        <v>218</v>
      </c>
      <c r="I93" s="227">
        <f>+E34</f>
        <v>6224400</v>
      </c>
      <c r="J93" s="328">
        <f>$I93/$I$97</f>
        <v>0.93032244483071802</v>
      </c>
      <c r="K93" s="138"/>
    </row>
    <row r="94" spans="2:20" ht="16" customHeight="1" x14ac:dyDescent="0.15">
      <c r="B94" s="270" t="s">
        <v>7</v>
      </c>
      <c r="C94" s="270"/>
      <c r="D94" s="323">
        <f>I97-D93</f>
        <v>2676233.4004024141</v>
      </c>
      <c r="E94" s="328">
        <f>$D94/$D$95</f>
        <v>0.39999999999999997</v>
      </c>
      <c r="G94" s="138" t="s">
        <v>179</v>
      </c>
      <c r="I94" s="323">
        <f>+E41</f>
        <v>426040</v>
      </c>
      <c r="J94" s="328">
        <f>$I94/$I$97</f>
        <v>6.367755516928203E-2</v>
      </c>
      <c r="K94" s="138"/>
    </row>
    <row r="95" spans="2:20" ht="16" customHeight="1" x14ac:dyDescent="0.15">
      <c r="B95" s="165" t="s">
        <v>234</v>
      </c>
      <c r="C95" s="165"/>
      <c r="D95" s="326">
        <f>SUM(D93:D94)</f>
        <v>6690583.5010060361</v>
      </c>
      <c r="E95" s="330">
        <f>SUM(E93:E94)</f>
        <v>1</v>
      </c>
      <c r="G95" s="138" t="s">
        <v>254</v>
      </c>
      <c r="I95" s="323">
        <f>E75*D93</f>
        <v>40143.501006036218</v>
      </c>
      <c r="J95" s="328">
        <f>$I95/$I$97</f>
        <v>6.0000000000000001E-3</v>
      </c>
      <c r="K95" s="138"/>
    </row>
    <row r="96" spans="2:20" ht="16" customHeight="1" x14ac:dyDescent="0.15">
      <c r="G96" s="270" t="s">
        <v>267</v>
      </c>
      <c r="H96" s="270"/>
      <c r="I96" s="324">
        <v>0</v>
      </c>
      <c r="J96" s="331">
        <f>$I96/$I$97</f>
        <v>0</v>
      </c>
      <c r="K96" s="138"/>
    </row>
    <row r="97" spans="2:10" ht="16" customHeight="1" x14ac:dyDescent="0.15">
      <c r="B97" s="226" t="s">
        <v>255</v>
      </c>
      <c r="D97" s="227">
        <f>D95-I97</f>
        <v>0</v>
      </c>
      <c r="G97" s="165" t="s">
        <v>233</v>
      </c>
      <c r="H97" s="165"/>
      <c r="I97" s="325">
        <f>SUM(I93:I96)</f>
        <v>6690583.5010060361</v>
      </c>
      <c r="J97" s="329">
        <f>SUM(J93:J96)</f>
        <v>1</v>
      </c>
    </row>
    <row r="98" spans="2:10" ht="16" customHeight="1" x14ac:dyDescent="0.15">
      <c r="G98" s="226" t="s">
        <v>303</v>
      </c>
      <c r="I98" s="323" cm="1">
        <f t="array" ref="I98">INDEX('Monthly_P&amp;L'!$F$81:$XFD$81,1,E83+1)</f>
        <v>25842.063932698598</v>
      </c>
      <c r="J98" s="328"/>
    </row>
    <row r="99" spans="2:10" ht="16" customHeight="1" x14ac:dyDescent="0.15">
      <c r="G99" s="226" t="s">
        <v>304</v>
      </c>
      <c r="I99" s="388">
        <f>I98/I94</f>
        <v>6.0656426468638155E-2</v>
      </c>
      <c r="J99" s="328"/>
    </row>
    <row r="102" spans="2:10" ht="16" customHeight="1" x14ac:dyDescent="0.15">
      <c r="B102" s="158" t="s">
        <v>81</v>
      </c>
      <c r="C102" s="159"/>
      <c r="D102" s="176"/>
      <c r="E102" s="159"/>
      <c r="F102" s="159"/>
      <c r="G102" s="215"/>
      <c r="H102" s="218"/>
      <c r="I102" s="215"/>
      <c r="J102" s="215"/>
    </row>
    <row r="104" spans="2:10" ht="16" customHeight="1" x14ac:dyDescent="0.15">
      <c r="B104" s="529" t="s">
        <v>70</v>
      </c>
      <c r="C104" s="517">
        <f>exit_cap_rate</f>
        <v>5.5E-2</v>
      </c>
      <c r="D104" s="516" t="s">
        <v>394</v>
      </c>
      <c r="E104" s="518">
        <v>1.5E-3</v>
      </c>
      <c r="F104" s="232"/>
      <c r="G104" s="529" t="s">
        <v>0</v>
      </c>
      <c r="H104" s="510">
        <f>purchase_price</f>
        <v>5985000</v>
      </c>
      <c r="I104" s="516" t="s">
        <v>395</v>
      </c>
      <c r="J104" s="473">
        <v>0.05</v>
      </c>
    </row>
    <row r="105" spans="2:10" ht="10" customHeight="1" x14ac:dyDescent="0.15">
      <c r="B105" s="524"/>
      <c r="C105" s="521"/>
      <c r="D105" s="161"/>
      <c r="E105" s="521"/>
      <c r="G105" s="523"/>
      <c r="H105" s="227"/>
      <c r="I105" s="161"/>
      <c r="J105" s="472"/>
    </row>
    <row r="106" spans="2:10" ht="16" customHeight="1" x14ac:dyDescent="0.15">
      <c r="B106" s="541"/>
      <c r="C106" s="509"/>
      <c r="D106" s="271"/>
      <c r="E106" s="511"/>
      <c r="F106" s="270"/>
      <c r="G106" s="522" t="str">
        <f>G104</f>
        <v>Purchase Price</v>
      </c>
      <c r="H106" s="270"/>
      <c r="I106" s="270"/>
      <c r="J106" s="543"/>
    </row>
    <row r="107" spans="2:10" ht="16" customHeight="1" x14ac:dyDescent="0.15">
      <c r="B107" s="542" t="s">
        <v>396</v>
      </c>
      <c r="C107" s="532">
        <f>$D$5</f>
        <v>8.6626896262168906E-2</v>
      </c>
      <c r="D107" s="519">
        <f>+E107*(1-$J$104)</f>
        <v>5131389.375</v>
      </c>
      <c r="E107" s="519">
        <f>+F107*(1-$J$104)</f>
        <v>5401462.5</v>
      </c>
      <c r="F107" s="519">
        <f>+G107*(1-$J$104)</f>
        <v>5685750</v>
      </c>
      <c r="G107" s="520">
        <v>5985000</v>
      </c>
      <c r="H107" s="519">
        <f>+G107*(1+$J$104)</f>
        <v>6284250</v>
      </c>
      <c r="I107" s="519">
        <f>+H107*(1+$J$104)</f>
        <v>6598462.5</v>
      </c>
      <c r="J107" s="547">
        <f>+I107*(1+$J$104)</f>
        <v>6928385.625</v>
      </c>
    </row>
    <row r="108" spans="2:10" ht="16" customHeight="1" x14ac:dyDescent="0.15">
      <c r="B108" s="664" t="str">
        <f>B104</f>
        <v>Exit Cap Rate</v>
      </c>
      <c r="C108" s="512">
        <f>+C109-$E$104</f>
        <v>5.0499999999999996E-2</v>
      </c>
      <c r="D108" s="525">
        <f t="dataTable" ref="D108:J114" dt2D="1" dtr="1" r1="E26" r2="I30"/>
        <v>0.16139752268791202</v>
      </c>
      <c r="E108" s="525">
        <v>0.13932102322578435</v>
      </c>
      <c r="F108" s="525">
        <v>0.11910538077354432</v>
      </c>
      <c r="G108" s="525">
        <v>0.1004633367061615</v>
      </c>
      <c r="H108" s="525">
        <v>8.3962383866310109E-2</v>
      </c>
      <c r="I108" s="525">
        <v>6.8494173884391787E-2</v>
      </c>
      <c r="J108" s="544">
        <v>5.3919127583503729E-2</v>
      </c>
    </row>
    <row r="109" spans="2:10" ht="16" customHeight="1" x14ac:dyDescent="0.15">
      <c r="B109" s="665"/>
      <c r="C109" s="513">
        <f>+C110-$E$104</f>
        <v>5.1999999999999998E-2</v>
      </c>
      <c r="D109" s="526">
        <v>0.15691586136817934</v>
      </c>
      <c r="E109" s="526">
        <v>0.13475003838539126</v>
      </c>
      <c r="F109" s="526">
        <v>0.11446751952171327</v>
      </c>
      <c r="G109" s="526">
        <v>9.5776435732841489E-2</v>
      </c>
      <c r="H109" s="526">
        <v>7.9242047667503368E-2</v>
      </c>
      <c r="I109" s="526">
        <v>6.3750794529914834E-2</v>
      </c>
      <c r="J109" s="545">
        <v>4.91616040468216E-2</v>
      </c>
    </row>
    <row r="110" spans="2:10" ht="16" customHeight="1" x14ac:dyDescent="0.15">
      <c r="B110" s="665"/>
      <c r="C110" s="513">
        <f>+C111-$E$104</f>
        <v>5.3499999999999999E-2</v>
      </c>
      <c r="D110" s="526">
        <v>0.15251439213752746</v>
      </c>
      <c r="E110" s="526">
        <v>0.1302580535411835</v>
      </c>
      <c r="F110" s="526">
        <v>0.10990760922431947</v>
      </c>
      <c r="G110" s="526">
        <v>9.1166529059410112E-2</v>
      </c>
      <c r="H110" s="526">
        <v>7.4597874283790597E-2</v>
      </c>
      <c r="I110" s="526">
        <v>5.9082815051078805E-2</v>
      </c>
      <c r="J110" s="545">
        <v>4.44787472486496E-2</v>
      </c>
    </row>
    <row r="111" spans="2:10" ht="16" customHeight="1" x14ac:dyDescent="0.15">
      <c r="B111" s="665"/>
      <c r="C111" s="514">
        <v>5.5E-2</v>
      </c>
      <c r="D111" s="526">
        <v>0.14818660616874693</v>
      </c>
      <c r="E111" s="526">
        <v>0.12583848834037781</v>
      </c>
      <c r="F111" s="526">
        <v>0.10541897416114809</v>
      </c>
      <c r="G111" s="526">
        <v>8.6626896262168906E-2</v>
      </c>
      <c r="H111" s="526">
        <v>7.0023098587989802E-2</v>
      </c>
      <c r="I111" s="526">
        <v>5.4483434557914726E-2</v>
      </c>
      <c r="J111" s="545">
        <v>3.9863750338554396E-2</v>
      </c>
    </row>
    <row r="112" spans="2:10" ht="16" customHeight="1" x14ac:dyDescent="0.15">
      <c r="B112" s="665"/>
      <c r="C112" s="513">
        <f>+C111+$E$104</f>
        <v>5.6500000000000002E-2</v>
      </c>
      <c r="D112" s="526">
        <v>0.14392645955085759</v>
      </c>
      <c r="E112" s="526">
        <v>0.12148516774177553</v>
      </c>
      <c r="F112" s="526">
        <v>0.10099537968635561</v>
      </c>
      <c r="G112" s="526">
        <v>8.2151231169700648E-2</v>
      </c>
      <c r="H112" s="526">
        <v>6.5511390566825853E-2</v>
      </c>
      <c r="I112" s="526">
        <v>4.9946287274360651E-2</v>
      </c>
      <c r="J112" s="545">
        <v>3.5310223698616042E-2</v>
      </c>
    </row>
    <row r="113" spans="2:10" ht="16" customHeight="1" x14ac:dyDescent="0.15">
      <c r="B113" s="665"/>
      <c r="C113" s="513">
        <f>+C112+$E$104</f>
        <v>5.8000000000000003E-2</v>
      </c>
      <c r="D113" s="526">
        <v>0.13972830176353454</v>
      </c>
      <c r="E113" s="526">
        <v>0.11719234585762023</v>
      </c>
      <c r="F113" s="526">
        <v>9.6630984544754023E-2</v>
      </c>
      <c r="G113" s="526">
        <v>7.7733626961708088E-2</v>
      </c>
      <c r="H113" s="526">
        <v>6.1056777834892273E-2</v>
      </c>
      <c r="I113" s="526">
        <v>4.5465382933616655E-2</v>
      </c>
      <c r="J113" s="545">
        <v>3.0812159180641174E-2</v>
      </c>
    </row>
    <row r="114" spans="2:10" ht="16" customHeight="1" x14ac:dyDescent="0.15">
      <c r="B114" s="666"/>
      <c r="C114" s="527">
        <f>+C113+$E$104</f>
        <v>5.9500000000000004E-2</v>
      </c>
      <c r="D114" s="528">
        <v>0.13558682799339297</v>
      </c>
      <c r="E114" s="528">
        <v>0.11295458674430847</v>
      </c>
      <c r="F114" s="528">
        <v>9.2320266366004961E-2</v>
      </c>
      <c r="G114" s="528">
        <v>7.3368504643440274E-2</v>
      </c>
      <c r="H114" s="528">
        <v>5.6653639674186712E-2</v>
      </c>
      <c r="I114" s="528">
        <v>4.1035047173500067E-2</v>
      </c>
      <c r="J114" s="546">
        <v>2.6363852620124816E-2</v>
      </c>
    </row>
    <row r="117" spans="2:10" ht="16" customHeight="1" x14ac:dyDescent="0.15">
      <c r="B117" s="529" t="s">
        <v>45</v>
      </c>
      <c r="C117" s="517">
        <f>rental_growth_rate</f>
        <v>2.5000000000000001E-2</v>
      </c>
      <c r="D117" s="516" t="s">
        <v>394</v>
      </c>
      <c r="E117" s="518">
        <v>1E-3</v>
      </c>
      <c r="F117" s="232"/>
      <c r="G117" s="529" t="s">
        <v>70</v>
      </c>
      <c r="H117" s="517">
        <f>exit_cap_rate</f>
        <v>5.5E-2</v>
      </c>
      <c r="I117" s="516" t="s">
        <v>394</v>
      </c>
      <c r="J117" s="530">
        <v>1.5E-3</v>
      </c>
    </row>
    <row r="118" spans="2:10" ht="16" customHeight="1" x14ac:dyDescent="0.15">
      <c r="B118" s="524"/>
      <c r="C118" s="521"/>
      <c r="D118" s="161"/>
      <c r="E118" s="521"/>
      <c r="G118" s="523"/>
      <c r="H118" s="227"/>
      <c r="I118" s="161"/>
      <c r="J118" s="472"/>
    </row>
    <row r="119" spans="2:10" ht="16" customHeight="1" x14ac:dyDescent="0.15">
      <c r="B119" s="541"/>
      <c r="C119" s="509"/>
      <c r="D119" s="271"/>
      <c r="E119" s="511"/>
      <c r="F119" s="270"/>
      <c r="G119" s="522" t="str">
        <f>G117</f>
        <v>Exit Cap Rate</v>
      </c>
      <c r="H119" s="270"/>
      <c r="I119" s="270"/>
      <c r="J119" s="543"/>
    </row>
    <row r="120" spans="2:10" ht="16" customHeight="1" x14ac:dyDescent="0.15">
      <c r="B120" s="542" t="s">
        <v>396</v>
      </c>
      <c r="C120" s="532">
        <f>$D$5</f>
        <v>8.6626896262168906E-2</v>
      </c>
      <c r="D120" s="509">
        <f t="shared" ref="D120:E120" si="0">+E120-$J$117</f>
        <v>5.0499999999999996E-2</v>
      </c>
      <c r="E120" s="509">
        <f t="shared" si="0"/>
        <v>5.1999999999999998E-2</v>
      </c>
      <c r="F120" s="509">
        <f>+G120-$J$117</f>
        <v>5.3499999999999999E-2</v>
      </c>
      <c r="G120" s="531">
        <v>5.5E-2</v>
      </c>
      <c r="H120" s="509">
        <f>+G120+$J$117</f>
        <v>5.6500000000000002E-2</v>
      </c>
      <c r="I120" s="509">
        <f t="shared" ref="I120:J120" si="1">+H120+$J$117</f>
        <v>5.8000000000000003E-2</v>
      </c>
      <c r="J120" s="515">
        <f t="shared" si="1"/>
        <v>5.9500000000000004E-2</v>
      </c>
    </row>
    <row r="121" spans="2:10" ht="16" customHeight="1" x14ac:dyDescent="0.15">
      <c r="B121" s="664" t="str">
        <f>B117</f>
        <v>Rental Growth Rate</v>
      </c>
      <c r="C121" s="512">
        <f t="shared" ref="C121:C122" si="2">+C122-$E$117</f>
        <v>2.1999999999999999E-2</v>
      </c>
      <c r="D121" s="525">
        <f t="dataTable" ref="D121:J127" dt2D="1" dtr="1" r1="I30" r2="E55" ca="1"/>
        <v>9.2508366703987155E-2</v>
      </c>
      <c r="E121" s="525">
        <v>8.7717303633689903E-2</v>
      </c>
      <c r="F121" s="525">
        <v>8.2999363541603102E-2</v>
      </c>
      <c r="G121" s="525">
        <v>7.8347608447074904E-2</v>
      </c>
      <c r="H121" s="525">
        <v>7.3755535483360335E-2</v>
      </c>
      <c r="I121" s="525">
        <v>6.9216993451118466E-2</v>
      </c>
      <c r="J121" s="544">
        <v>6.4726153016090388E-2</v>
      </c>
    </row>
    <row r="122" spans="2:10" ht="16" customHeight="1" x14ac:dyDescent="0.15">
      <c r="B122" s="665"/>
      <c r="C122" s="513">
        <f t="shared" si="2"/>
        <v>2.3E-2</v>
      </c>
      <c r="D122" s="526">
        <v>9.5181128382682792E-2</v>
      </c>
      <c r="E122" s="526">
        <v>9.0425911545753496E-2</v>
      </c>
      <c r="F122" s="526">
        <v>8.5745170712470994E-2</v>
      </c>
      <c r="G122" s="526">
        <v>8.1132057309150699E-2</v>
      </c>
      <c r="H122" s="526">
        <v>7.658013403415681E-2</v>
      </c>
      <c r="I122" s="526">
        <v>7.2083345055580159E-2</v>
      </c>
      <c r="J122" s="545">
        <v>6.7635944485664387E-2</v>
      </c>
    </row>
    <row r="123" spans="2:10" ht="16" customHeight="1" x14ac:dyDescent="0.15">
      <c r="B123" s="665"/>
      <c r="C123" s="513">
        <f>+C124-$E$117</f>
        <v>2.4E-2</v>
      </c>
      <c r="D123" s="526">
        <v>9.7832566499710089E-2</v>
      </c>
      <c r="E123" s="526">
        <v>9.3112048506736766E-2</v>
      </c>
      <c r="F123" s="526">
        <v>8.8467308878898629E-2</v>
      </c>
      <c r="G123" s="526">
        <v>8.3891543745994557E-2</v>
      </c>
      <c r="H123" s="526">
        <v>7.937840521335604E-2</v>
      </c>
      <c r="I123" s="526">
        <v>7.4921903014183083E-2</v>
      </c>
      <c r="J123" s="545">
        <v>7.0516380667686465E-2</v>
      </c>
    </row>
    <row r="124" spans="2:10" ht="16" customHeight="1" x14ac:dyDescent="0.15">
      <c r="B124" s="665"/>
      <c r="C124" s="514">
        <v>2.5000000000000001E-2</v>
      </c>
      <c r="D124" s="526">
        <v>0.1004633367061615</v>
      </c>
      <c r="E124" s="526">
        <v>9.5776435732841489E-2</v>
      </c>
      <c r="F124" s="526">
        <v>9.1166529059410112E-2</v>
      </c>
      <c r="G124" s="526">
        <v>8.6626896262168906E-2</v>
      </c>
      <c r="H124" s="526">
        <v>8.2151231169700648E-2</v>
      </c>
      <c r="I124" s="526">
        <v>7.7733626961708088E-2</v>
      </c>
      <c r="J124" s="545">
        <v>7.3368504643440274E-2</v>
      </c>
    </row>
    <row r="125" spans="2:10" ht="16" customHeight="1" x14ac:dyDescent="0.15">
      <c r="B125" s="665"/>
      <c r="C125" s="513">
        <f>+C124+$E$117</f>
        <v>2.6000000000000002E-2</v>
      </c>
      <c r="D125" s="526">
        <v>0.10307406783103945</v>
      </c>
      <c r="E125" s="526">
        <v>9.8419743776321428E-2</v>
      </c>
      <c r="F125" s="526">
        <v>9.3843576312065122E-2</v>
      </c>
      <c r="G125" s="526">
        <v>8.9338895678520228E-2</v>
      </c>
      <c r="H125" s="526">
        <v>8.4899464249610909E-2</v>
      </c>
      <c r="I125" s="526">
        <v>8.0519440770149248E-2</v>
      </c>
      <c r="J125" s="545">
        <v>7.6193305850028994E-2</v>
      </c>
    </row>
    <row r="126" spans="2:10" ht="16" customHeight="1" x14ac:dyDescent="0.15">
      <c r="B126" s="665"/>
      <c r="C126" s="513">
        <f t="shared" ref="C126:C127" si="3">+C125+$E$117</f>
        <v>2.7000000000000003E-2</v>
      </c>
      <c r="D126" s="526">
        <v>0.10566535592079165</v>
      </c>
      <c r="E126" s="526">
        <v>0.10104261040687559</v>
      </c>
      <c r="F126" s="526">
        <v>9.6499139070510886E-2</v>
      </c>
      <c r="G126" s="526">
        <v>9.2028293013572682E-2</v>
      </c>
      <c r="H126" s="526">
        <v>8.7623915076255818E-2</v>
      </c>
      <c r="I126" s="526">
        <v>8.328021466732026E-2</v>
      </c>
      <c r="J126" s="545">
        <v>7.8991737961769115E-2</v>
      </c>
    </row>
    <row r="127" spans="2:10" ht="16" customHeight="1" x14ac:dyDescent="0.15">
      <c r="B127" s="666"/>
      <c r="C127" s="527">
        <f t="shared" si="3"/>
        <v>2.8000000000000004E-2</v>
      </c>
      <c r="D127" s="528">
        <v>0.10823777318000793</v>
      </c>
      <c r="E127" s="528">
        <v>0.10364566445350645</v>
      </c>
      <c r="F127" s="528">
        <v>9.9133867025375383E-2</v>
      </c>
      <c r="G127" s="528">
        <v>9.469580948352814E-2</v>
      </c>
      <c r="H127" s="528">
        <v>9.0325358510017398E-2</v>
      </c>
      <c r="I127" s="528">
        <v>8.6016777157783483E-2</v>
      </c>
      <c r="J127" s="546">
        <v>8.176468908786777E-2</v>
      </c>
    </row>
    <row r="130" spans="2:10" ht="16" customHeight="1" x14ac:dyDescent="0.15">
      <c r="B130" s="529" t="s">
        <v>377</v>
      </c>
      <c r="C130" s="533">
        <f>E40</f>
        <v>40</v>
      </c>
      <c r="D130" s="516" t="s">
        <v>397</v>
      </c>
      <c r="E130" s="534">
        <v>2</v>
      </c>
      <c r="F130" s="232"/>
      <c r="G130" s="529" t="s">
        <v>398</v>
      </c>
      <c r="H130" s="517">
        <f>E49</f>
        <v>7.0000000000000007E-2</v>
      </c>
      <c r="I130" s="516" t="s">
        <v>394</v>
      </c>
      <c r="J130" s="530">
        <v>2.5000000000000001E-3</v>
      </c>
    </row>
    <row r="131" spans="2:10" ht="16" customHeight="1" x14ac:dyDescent="0.15">
      <c r="B131" s="524"/>
      <c r="C131" s="521"/>
      <c r="D131" s="161"/>
      <c r="E131" s="521"/>
      <c r="G131" s="523"/>
      <c r="H131" s="227"/>
      <c r="I131" s="161"/>
      <c r="J131" s="472"/>
    </row>
    <row r="132" spans="2:10" ht="16" customHeight="1" x14ac:dyDescent="0.15">
      <c r="B132" s="541"/>
      <c r="C132" s="509"/>
      <c r="D132" s="271"/>
      <c r="E132" s="511"/>
      <c r="F132" s="270"/>
      <c r="G132" s="522" t="str">
        <f>G130</f>
        <v>Rent Premium</v>
      </c>
      <c r="H132" s="270"/>
      <c r="I132" s="270"/>
      <c r="J132" s="543"/>
    </row>
    <row r="133" spans="2:10" ht="16" customHeight="1" x14ac:dyDescent="0.15">
      <c r="B133" s="542" t="s">
        <v>396</v>
      </c>
      <c r="C133" s="532">
        <f>$D$5</f>
        <v>8.6626896262168906E-2</v>
      </c>
      <c r="D133" s="509">
        <f t="shared" ref="D133:E133" si="4">+E133-$J$130</f>
        <v>6.25E-2</v>
      </c>
      <c r="E133" s="509">
        <f t="shared" si="4"/>
        <v>6.5000000000000002E-2</v>
      </c>
      <c r="F133" s="509">
        <f>+G133-$J$130</f>
        <v>6.7500000000000004E-2</v>
      </c>
      <c r="G133" s="531">
        <v>7.0000000000000007E-2</v>
      </c>
      <c r="H133" s="509">
        <f>+G133+$J$130</f>
        <v>7.2500000000000009E-2</v>
      </c>
      <c r="I133" s="509">
        <f t="shared" ref="I133:J133" si="5">+H133+$J$130</f>
        <v>7.5000000000000011E-2</v>
      </c>
      <c r="J133" s="515">
        <f t="shared" si="5"/>
        <v>7.7500000000000013E-2</v>
      </c>
    </row>
    <row r="134" spans="2:10" ht="16" customHeight="1" x14ac:dyDescent="0.15">
      <c r="B134" s="664" t="str">
        <f>B130</f>
        <v>Renovation Cost per sq. ft.</v>
      </c>
      <c r="C134" s="535">
        <f t="shared" ref="C134:C135" si="6">+C135-$E$130</f>
        <v>34</v>
      </c>
      <c r="D134" s="525">
        <f t="dataTable" ref="D134:J140" dt2D="1" dtr="1" r1="E49" r2="E40" ca="1"/>
        <v>8.6881217360496532E-2</v>
      </c>
      <c r="E134" s="525">
        <v>8.7820801138877885E-2</v>
      </c>
      <c r="F134" s="525">
        <v>8.8761785626411446E-2</v>
      </c>
      <c r="G134" s="525">
        <v>8.9704194664955161E-2</v>
      </c>
      <c r="H134" s="525">
        <v>9.0648040175437927E-2</v>
      </c>
      <c r="I134" s="525">
        <v>9.1593340039253249E-2</v>
      </c>
      <c r="J134" s="544">
        <v>9.2540106177330023E-2</v>
      </c>
    </row>
    <row r="135" spans="2:10" ht="16" customHeight="1" x14ac:dyDescent="0.15">
      <c r="B135" s="665"/>
      <c r="C135" s="536">
        <f t="shared" si="6"/>
        <v>36</v>
      </c>
      <c r="D135" s="526">
        <v>8.5860833525657654E-2</v>
      </c>
      <c r="E135" s="526">
        <v>8.6795887351036077E-2</v>
      </c>
      <c r="F135" s="526">
        <v>8.7732318043708804E-2</v>
      </c>
      <c r="G135" s="526">
        <v>8.8670143485069283E-2</v>
      </c>
      <c r="H135" s="526">
        <v>8.9609375596046481E-2</v>
      </c>
      <c r="I135" s="526">
        <v>9.0550038218498247E-2</v>
      </c>
      <c r="J135" s="545">
        <v>9.1492143273353602E-2</v>
      </c>
    </row>
    <row r="136" spans="2:10" ht="16" customHeight="1" x14ac:dyDescent="0.15">
      <c r="B136" s="665"/>
      <c r="C136" s="536">
        <f>+C137-$E$130</f>
        <v>38</v>
      </c>
      <c r="D136" s="526">
        <v>8.4848597645759596E-2</v>
      </c>
      <c r="E136" s="526">
        <v>8.5779181122779852E-2</v>
      </c>
      <c r="F136" s="526">
        <v>8.671111166477205E-2</v>
      </c>
      <c r="G136" s="526">
        <v>8.7644413113594069E-2</v>
      </c>
      <c r="H136" s="526">
        <v>8.857909739017486E-2</v>
      </c>
      <c r="I136" s="526">
        <v>8.9515182375907928E-2</v>
      </c>
      <c r="J136" s="545">
        <v>9.0452685952186584E-2</v>
      </c>
    </row>
    <row r="137" spans="2:10" ht="16" customHeight="1" x14ac:dyDescent="0.15">
      <c r="B137" s="665"/>
      <c r="C137" s="537">
        <v>40</v>
      </c>
      <c r="D137" s="526">
        <v>8.3844396471977237E-2</v>
      </c>
      <c r="E137" s="526">
        <v>8.4770563244819644E-2</v>
      </c>
      <c r="F137" s="526">
        <v>8.5698059201240531E-2</v>
      </c>
      <c r="G137" s="526">
        <v>8.6626896262168906E-2</v>
      </c>
      <c r="H137" s="526">
        <v>8.7557086348533639E-2</v>
      </c>
      <c r="I137" s="526">
        <v>8.8488653302192702E-2</v>
      </c>
      <c r="J137" s="545">
        <v>8.9421603083610551E-2</v>
      </c>
    </row>
    <row r="138" spans="2:10" ht="16" customHeight="1" x14ac:dyDescent="0.15">
      <c r="B138" s="665"/>
      <c r="C138" s="536">
        <f>+C137+$E$130</f>
        <v>42</v>
      </c>
      <c r="D138" s="526">
        <v>8.2848116755485535E-2</v>
      </c>
      <c r="E138" s="526">
        <v>8.3769932389259338E-2</v>
      </c>
      <c r="F138" s="526">
        <v>8.4693041443824807E-2</v>
      </c>
      <c r="G138" s="526">
        <v>8.561746776103972E-2</v>
      </c>
      <c r="H138" s="526">
        <v>8.6543223261833196E-2</v>
      </c>
      <c r="I138" s="526">
        <v>8.7470325827598588E-2</v>
      </c>
      <c r="J138" s="545">
        <v>8.8398793339729331E-2</v>
      </c>
    </row>
    <row r="139" spans="2:10" ht="16" customHeight="1" x14ac:dyDescent="0.15">
      <c r="B139" s="665"/>
      <c r="C139" s="536">
        <f t="shared" ref="C139:C140" si="7">+C138+$E$130</f>
        <v>44</v>
      </c>
      <c r="D139" s="526">
        <v>8.1859657168388375E-2</v>
      </c>
      <c r="E139" s="526">
        <v>8.2777163386344929E-2</v>
      </c>
      <c r="F139" s="526">
        <v>8.3695945143699643E-2</v>
      </c>
      <c r="G139" s="526">
        <v>8.4616020321846022E-2</v>
      </c>
      <c r="H139" s="526">
        <v>8.5537394881248466E-2</v>
      </c>
      <c r="I139" s="526">
        <v>8.6460092663764962E-2</v>
      </c>
      <c r="J139" s="545">
        <v>8.7384131550788877E-2</v>
      </c>
    </row>
    <row r="140" spans="2:10" ht="16" customHeight="1" x14ac:dyDescent="0.15">
      <c r="B140" s="666"/>
      <c r="C140" s="538">
        <f t="shared" si="7"/>
        <v>46</v>
      </c>
      <c r="D140" s="528">
        <v>8.0878904461860704E-2</v>
      </c>
      <c r="E140" s="528">
        <v>8.1792160868644728E-2</v>
      </c>
      <c r="F140" s="528">
        <v>8.2706668972969064E-2</v>
      </c>
      <c r="G140" s="528">
        <v>8.3622440695762634E-2</v>
      </c>
      <c r="H140" s="528">
        <v>8.4539493918418918E-2</v>
      </c>
      <c r="I140" s="528">
        <v>8.5457840561866769E-2</v>
      </c>
      <c r="J140" s="546">
        <v>8.6377504467964175E-2</v>
      </c>
    </row>
    <row r="143" spans="2:10" ht="16" customHeight="1" x14ac:dyDescent="0.15">
      <c r="B143" s="529" t="s">
        <v>399</v>
      </c>
      <c r="C143" s="517">
        <f>E79</f>
        <v>0.06</v>
      </c>
      <c r="D143" s="516" t="s">
        <v>394</v>
      </c>
      <c r="E143" s="518">
        <v>1.5E-3</v>
      </c>
      <c r="F143" s="232"/>
      <c r="G143" s="529" t="s">
        <v>400</v>
      </c>
      <c r="H143" s="517">
        <f>I82</f>
        <v>0.06</v>
      </c>
      <c r="I143" s="516" t="s">
        <v>394</v>
      </c>
      <c r="J143" s="530">
        <v>2.5000000000000001E-3</v>
      </c>
    </row>
    <row r="144" spans="2:10" ht="16" customHeight="1" x14ac:dyDescent="0.15">
      <c r="B144" s="524"/>
      <c r="C144" s="521"/>
      <c r="D144" s="161"/>
      <c r="E144" s="521"/>
      <c r="G144" s="523"/>
      <c r="H144" s="227"/>
      <c r="I144" s="161"/>
      <c r="J144" s="472"/>
    </row>
    <row r="145" spans="2:10" ht="16" customHeight="1" x14ac:dyDescent="0.15">
      <c r="B145" s="541"/>
      <c r="C145" s="509"/>
      <c r="D145" s="271"/>
      <c r="E145" s="511"/>
      <c r="F145" s="270"/>
      <c r="G145" s="522" t="str">
        <f>G143</f>
        <v>Cap Rate at Refinance</v>
      </c>
      <c r="H145" s="270"/>
      <c r="I145" s="270"/>
      <c r="J145" s="543"/>
    </row>
    <row r="146" spans="2:10" ht="16" customHeight="1" x14ac:dyDescent="0.15">
      <c r="B146" s="542" t="s">
        <v>396</v>
      </c>
      <c r="C146" s="532">
        <f>$D$5</f>
        <v>8.6626896262168906E-2</v>
      </c>
      <c r="D146" s="509">
        <f t="shared" ref="D146:E146" si="8">+E146-$J$143</f>
        <v>5.2499999999999991E-2</v>
      </c>
      <c r="E146" s="509">
        <f t="shared" si="8"/>
        <v>5.4999999999999993E-2</v>
      </c>
      <c r="F146" s="509">
        <f>+G146-$J$143</f>
        <v>5.7499999999999996E-2</v>
      </c>
      <c r="G146" s="531">
        <v>0.06</v>
      </c>
      <c r="H146" s="509">
        <f>+G146+$J$143</f>
        <v>6.25E-2</v>
      </c>
      <c r="I146" s="509">
        <f t="shared" ref="I146:J146" si="9">+H146+$J$143</f>
        <v>6.5000000000000002E-2</v>
      </c>
      <c r="J146" s="515">
        <f t="shared" si="9"/>
        <v>6.7500000000000004E-2</v>
      </c>
    </row>
    <row r="147" spans="2:10" ht="16" customHeight="1" x14ac:dyDescent="0.15">
      <c r="B147" s="664" t="str">
        <f>B143</f>
        <v>Bridge Loan Interest Rate</v>
      </c>
      <c r="C147" s="512">
        <f t="shared" ref="C147:C148" si="10">+C148-$E$143</f>
        <v>5.5499999999999994E-2</v>
      </c>
      <c r="D147" s="525">
        <f t="dataTable" ref="D147:J153" dt2D="1" dtr="1" r1="I82" r2="E79" ca="1"/>
        <v>9.3658956885337832E-2</v>
      </c>
      <c r="E147" s="525">
        <v>9.1311839222908017E-2</v>
      </c>
      <c r="F147" s="525">
        <v>8.9381822943687475E-2</v>
      </c>
      <c r="G147" s="525">
        <v>8.7767294049262992E-2</v>
      </c>
      <c r="H147" s="525">
        <v>8.6397024989128116E-2</v>
      </c>
      <c r="I147" s="525">
        <v>8.5219666361808763E-2</v>
      </c>
      <c r="J147" s="544">
        <v>8.4197279810905454E-2</v>
      </c>
    </row>
    <row r="148" spans="2:10" ht="16" customHeight="1" x14ac:dyDescent="0.15">
      <c r="B148" s="665"/>
      <c r="C148" s="540">
        <f t="shared" si="10"/>
        <v>5.6999999999999995E-2</v>
      </c>
      <c r="D148" s="526">
        <v>9.3208232522010798E-2</v>
      </c>
      <c r="E148" s="526">
        <v>9.0889039635658295E-2</v>
      </c>
      <c r="F148" s="526">
        <v>8.8981792330741896E-2</v>
      </c>
      <c r="G148" s="526">
        <v>8.7386164069175723E-2</v>
      </c>
      <c r="H148" s="526">
        <v>8.6031833291053766E-2</v>
      </c>
      <c r="I148" s="526">
        <v>8.4868094325065604E-2</v>
      </c>
      <c r="J148" s="545">
        <v>8.3857473731040966E-2</v>
      </c>
    </row>
    <row r="149" spans="2:10" ht="16" customHeight="1" x14ac:dyDescent="0.15">
      <c r="B149" s="665"/>
      <c r="C149" s="540">
        <f>+C150-$E$143</f>
        <v>5.8499999999999996E-2</v>
      </c>
      <c r="D149" s="526">
        <v>9.2758843302726754E-2</v>
      </c>
      <c r="E149" s="526">
        <v>9.0467438101768494E-2</v>
      </c>
      <c r="F149" s="526">
        <v>8.8582846522331254E-2</v>
      </c>
      <c r="G149" s="526">
        <v>8.7006029486656214E-2</v>
      </c>
      <c r="H149" s="526">
        <v>8.5667571425437905E-2</v>
      </c>
      <c r="I149" s="526">
        <v>8.4517386555671717E-2</v>
      </c>
      <c r="J149" s="545">
        <v>8.3518472313880932E-2</v>
      </c>
    </row>
    <row r="150" spans="2:10" ht="16" customHeight="1" x14ac:dyDescent="0.15">
      <c r="B150" s="665"/>
      <c r="C150" s="539">
        <v>0.06</v>
      </c>
      <c r="D150" s="526">
        <v>9.2310795187950156E-2</v>
      </c>
      <c r="E150" s="526">
        <v>9.0047028660774242E-2</v>
      </c>
      <c r="F150" s="526">
        <v>8.8184979557991053E-2</v>
      </c>
      <c r="G150" s="526">
        <v>8.6626896262168906E-2</v>
      </c>
      <c r="H150" s="526">
        <v>8.5304227471351621E-2</v>
      </c>
      <c r="I150" s="526">
        <v>8.4167537093162534E-2</v>
      </c>
      <c r="J150" s="545">
        <v>8.3180281519889848E-2</v>
      </c>
    </row>
    <row r="151" spans="2:10" ht="16" customHeight="1" x14ac:dyDescent="0.15">
      <c r="B151" s="665"/>
      <c r="C151" s="540">
        <f>+C150+$E$143</f>
        <v>6.1499999999999999E-2</v>
      </c>
      <c r="D151" s="526">
        <v>9.1864076256752011E-2</v>
      </c>
      <c r="E151" s="526">
        <v>8.9627811312675484E-2</v>
      </c>
      <c r="F151" s="526">
        <v>8.7788197398185747E-2</v>
      </c>
      <c r="G151" s="526">
        <v>8.6248746514320393E-2</v>
      </c>
      <c r="H151" s="526">
        <v>8.4941795468330375E-2</v>
      </c>
      <c r="I151" s="526">
        <v>8.3818539977073669E-2</v>
      </c>
      <c r="J151" s="545">
        <v>8.284288942813875E-2</v>
      </c>
    </row>
    <row r="152" spans="2:10" ht="16" customHeight="1" x14ac:dyDescent="0.15">
      <c r="B152" s="665"/>
      <c r="C152" s="540">
        <f t="shared" ref="C152:C153" si="11">+C151+$E$143</f>
        <v>6.3E-2</v>
      </c>
      <c r="D152" s="526">
        <v>9.1418680548667919E-2</v>
      </c>
      <c r="E152" s="526">
        <v>8.920977413654331E-2</v>
      </c>
      <c r="F152" s="526">
        <v>8.7392488121986384E-2</v>
      </c>
      <c r="G152" s="526">
        <v>8.5871580243110687E-2</v>
      </c>
      <c r="H152" s="526">
        <v>8.4580281376838706E-2</v>
      </c>
      <c r="I152" s="526">
        <v>8.3470395207405082E-2</v>
      </c>
      <c r="J152" s="545">
        <v>8.2506301999092105E-2</v>
      </c>
    </row>
    <row r="153" spans="2:10" ht="16" customHeight="1" x14ac:dyDescent="0.15">
      <c r="B153" s="666"/>
      <c r="C153" s="515">
        <f t="shared" si="11"/>
        <v>6.4500000000000002E-2</v>
      </c>
      <c r="D153" s="528">
        <v>9.0974602103233368E-2</v>
      </c>
      <c r="E153" s="528">
        <v>8.8792917132377622E-2</v>
      </c>
      <c r="F153" s="528">
        <v>8.6997845768928564E-2</v>
      </c>
      <c r="G153" s="528">
        <v>8.549539744853972E-2</v>
      </c>
      <c r="H153" s="528">
        <v>8.4219673275947551E-2</v>
      </c>
      <c r="I153" s="528">
        <v>8.3123096823692344E-2</v>
      </c>
      <c r="J153" s="546">
        <v>8.2170513272285459E-2</v>
      </c>
    </row>
  </sheetData>
  <mergeCells count="24">
    <mergeCell ref="B108:B114"/>
    <mergeCell ref="B121:B127"/>
    <mergeCell ref="B134:B140"/>
    <mergeCell ref="B147:B153"/>
    <mergeCell ref="K56:K57"/>
    <mergeCell ref="L56:L57"/>
    <mergeCell ref="M56:S57"/>
    <mergeCell ref="M54:S54"/>
    <mergeCell ref="M26:S27"/>
    <mergeCell ref="M40:S40"/>
    <mergeCell ref="M41:S42"/>
    <mergeCell ref="K41:K42"/>
    <mergeCell ref="K26:K27"/>
    <mergeCell ref="K28:K29"/>
    <mergeCell ref="M28:S29"/>
    <mergeCell ref="L28:L29"/>
    <mergeCell ref="L39:L40"/>
    <mergeCell ref="K39:K40"/>
    <mergeCell ref="L41:L42"/>
    <mergeCell ref="M73:S73"/>
    <mergeCell ref="K59:K60"/>
    <mergeCell ref="L59:L60"/>
    <mergeCell ref="M59:S60"/>
    <mergeCell ref="M75:S75"/>
  </mergeCells>
  <dataValidations disablePrompts="1" count="1">
    <dataValidation type="list" allowBlank="1" showInputMessage="1" showErrorMessage="1" sqref="E81 I77" xr:uid="{CC1DEE6B-28E0-CD47-AA40-633761623E74}">
      <formula1>"Interest-only, Amortized"</formula1>
    </dataValidation>
  </dataValidations>
  <pageMargins left="0.7" right="0.7" top="0.75" bottom="0.75" header="0.3" footer="0.3"/>
  <pageSetup paperSize="9" orientation="portrait" horizontalDpi="0" verticalDpi="0"/>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27FF19-2283-2D47-9AD2-94EBD1D2531D}">
  <sheetPr codeName="Sheet2">
    <tabColor rgb="FFFFFF99"/>
  </sheetPr>
  <dimension ref="B2:W97"/>
  <sheetViews>
    <sheetView showGridLines="0" zoomScale="150" workbookViewId="0"/>
  </sheetViews>
  <sheetFormatPr baseColWidth="10" defaultRowHeight="11" x14ac:dyDescent="0.15"/>
  <cols>
    <col min="1" max="1" width="4.5" customWidth="1"/>
    <col min="2" max="2" width="5.25" customWidth="1"/>
    <col min="3" max="3" width="33" bestFit="1" customWidth="1"/>
    <col min="4" max="4" width="19.75" customWidth="1"/>
    <col min="5" max="5" width="15.25" bestFit="1" customWidth="1"/>
    <col min="6" max="21" width="13.25" customWidth="1"/>
    <col min="22" max="23" width="11.5" bestFit="1" customWidth="1"/>
  </cols>
  <sheetData>
    <row r="2" spans="3:13" ht="16" x14ac:dyDescent="0.2">
      <c r="C2" s="18" t="s">
        <v>313</v>
      </c>
    </row>
    <row r="4" spans="3:13" x14ac:dyDescent="0.15">
      <c r="C4" s="139" t="s">
        <v>473</v>
      </c>
      <c r="D4" s="19"/>
      <c r="E4" s="87">
        <f>'Monthly_P&amp;L'!D108</f>
        <v>8.6626896262168906E-2</v>
      </c>
      <c r="J4" s="38" t="s">
        <v>72</v>
      </c>
      <c r="K4" s="41"/>
      <c r="L4" s="41"/>
      <c r="M4" s="42"/>
    </row>
    <row r="5" spans="3:13" x14ac:dyDescent="0.15">
      <c r="C5" s="141" t="s">
        <v>474</v>
      </c>
      <c r="D5" s="20"/>
      <c r="E5" s="88">
        <f>'Monthly_P&amp;L'!D109</f>
        <v>2.0340306246030173</v>
      </c>
      <c r="J5" s="39" t="s">
        <v>24</v>
      </c>
      <c r="L5" s="13">
        <f>SUM(L6:L7)</f>
        <v>2676233.4004024146</v>
      </c>
      <c r="M5" s="9"/>
    </row>
    <row r="6" spans="3:13" x14ac:dyDescent="0.15">
      <c r="C6" s="144" t="s">
        <v>450</v>
      </c>
      <c r="D6" s="21"/>
      <c r="E6" s="89">
        <f>'Monthly_P&amp;L'!D110</f>
        <v>-254484.31127593061</v>
      </c>
      <c r="J6" s="78" t="s">
        <v>25</v>
      </c>
      <c r="L6" s="13">
        <f>SUM(E19:E22)</f>
        <v>1873363.38028169</v>
      </c>
      <c r="M6" s="79">
        <f>L6/L5</f>
        <v>0.7</v>
      </c>
    </row>
    <row r="7" spans="3:13" x14ac:dyDescent="0.15">
      <c r="C7" s="22" t="s">
        <v>10</v>
      </c>
      <c r="D7" s="22"/>
      <c r="E7" s="90">
        <f>'Monthly_P&amp;L'!D104</f>
        <v>6.9042411446571361E-2</v>
      </c>
      <c r="J7" s="80" t="s">
        <v>26</v>
      </c>
      <c r="K7" s="5"/>
      <c r="L7" s="14">
        <f>E18</f>
        <v>802870.02012072434</v>
      </c>
      <c r="M7" s="81">
        <f>L7/L5</f>
        <v>0.3</v>
      </c>
    </row>
    <row r="8" spans="3:13" x14ac:dyDescent="0.15">
      <c r="C8" s="22" t="s">
        <v>393</v>
      </c>
      <c r="D8" s="22"/>
      <c r="E8" s="91">
        <f>'Monthly_P&amp;L'!D105</f>
        <v>1.7439120133768942</v>
      </c>
      <c r="J8" s="39"/>
      <c r="L8" s="6"/>
      <c r="M8" s="9"/>
    </row>
    <row r="9" spans="3:13" x14ac:dyDescent="0.15">
      <c r="C9" s="23" t="s">
        <v>11</v>
      </c>
      <c r="D9" s="23"/>
      <c r="E9" s="92">
        <f>'Monthly_P&amp;L'!D106</f>
        <v>-1311782.8359429929</v>
      </c>
      <c r="J9" s="82" t="s">
        <v>22</v>
      </c>
      <c r="K9" s="16"/>
      <c r="L9" s="17"/>
      <c r="M9" s="83"/>
    </row>
    <row r="10" spans="3:13" x14ac:dyDescent="0.15">
      <c r="J10" s="39" t="s">
        <v>23</v>
      </c>
      <c r="L10" s="411">
        <v>0.08</v>
      </c>
      <c r="M10" s="84" t="s">
        <v>27</v>
      </c>
    </row>
    <row r="11" spans="3:13" x14ac:dyDescent="0.15">
      <c r="C11" s="8" t="s">
        <v>6</v>
      </c>
      <c r="D11" s="7"/>
      <c r="E11" s="7"/>
      <c r="J11" s="39"/>
      <c r="L11" s="6"/>
      <c r="M11" s="9"/>
    </row>
    <row r="12" spans="3:13" x14ac:dyDescent="0.15">
      <c r="C12" s="3" t="s">
        <v>7</v>
      </c>
      <c r="D12" s="409">
        <f>+'Assumptions_&amp;_Inputs'!$E$94</f>
        <v>0.39999999999999997</v>
      </c>
      <c r="E12" s="408">
        <f>equity_invested</f>
        <v>2676233.4004024141</v>
      </c>
      <c r="F12" s="4"/>
      <c r="J12" s="39" t="s">
        <v>28</v>
      </c>
      <c r="L12" s="411">
        <v>1</v>
      </c>
      <c r="M12" s="9"/>
    </row>
    <row r="13" spans="3:13" x14ac:dyDescent="0.15">
      <c r="C13" s="315" t="s">
        <v>8</v>
      </c>
      <c r="D13" s="410">
        <f>+'Assumptions_&amp;_Inputs'!$E$93</f>
        <v>0.60000000000000009</v>
      </c>
      <c r="E13" s="317">
        <f>debt</f>
        <v>4014350.1006036219</v>
      </c>
      <c r="F13" s="4"/>
      <c r="J13" s="40" t="s">
        <v>30</v>
      </c>
      <c r="K13" s="5"/>
      <c r="L13" s="15">
        <f>1-L12</f>
        <v>0</v>
      </c>
      <c r="M13" s="85" t="s">
        <v>29</v>
      </c>
    </row>
    <row r="14" spans="3:13" x14ac:dyDescent="0.15">
      <c r="J14" s="39"/>
      <c r="L14" s="6"/>
      <c r="M14" s="9"/>
    </row>
    <row r="15" spans="3:13" x14ac:dyDescent="0.15">
      <c r="C15" s="5" t="s">
        <v>9</v>
      </c>
      <c r="D15" s="5"/>
      <c r="E15" s="11">
        <f>D12+D13</f>
        <v>1</v>
      </c>
      <c r="G15" s="2"/>
      <c r="J15" s="82" t="s">
        <v>31</v>
      </c>
      <c r="K15" s="16"/>
      <c r="L15" s="17"/>
      <c r="M15" s="83"/>
    </row>
    <row r="16" spans="3:13" x14ac:dyDescent="0.15">
      <c r="J16" s="39" t="s">
        <v>15</v>
      </c>
      <c r="L16" s="414">
        <v>0.11799999999999999</v>
      </c>
      <c r="M16" s="84" t="s">
        <v>359</v>
      </c>
    </row>
    <row r="17" spans="2:23" x14ac:dyDescent="0.15">
      <c r="B17" s="128"/>
      <c r="C17" s="75" t="s">
        <v>12</v>
      </c>
      <c r="D17" s="76" t="s">
        <v>13</v>
      </c>
      <c r="E17" s="76" t="s">
        <v>14</v>
      </c>
      <c r="F17" s="77" t="s">
        <v>15</v>
      </c>
      <c r="G17" s="77" t="s">
        <v>16</v>
      </c>
      <c r="H17" s="113" t="s">
        <v>17</v>
      </c>
      <c r="J17" s="40" t="s">
        <v>32</v>
      </c>
      <c r="K17" s="5"/>
      <c r="L17" s="431">
        <v>1.5</v>
      </c>
      <c r="M17" s="85" t="s">
        <v>27</v>
      </c>
    </row>
    <row r="18" spans="2:23" x14ac:dyDescent="0.15">
      <c r="B18" s="69">
        <v>1</v>
      </c>
      <c r="C18" s="411" t="s">
        <v>113</v>
      </c>
      <c r="D18" s="10">
        <f>1-SUM(D19:D22)</f>
        <v>0.30000000000000004</v>
      </c>
      <c r="E18" s="73">
        <f>D18*$E$12</f>
        <v>802870.02012072434</v>
      </c>
      <c r="F18" s="129">
        <f>IFERROR(XIRR(G90:W90,$G$30:$W$30),"-")</f>
        <v>8.4954640269279486E-2</v>
      </c>
      <c r="G18" s="130">
        <f>IF(E18=0,"-",XNPV(discount_rate,G90:W90,$G$30:$W$30))</f>
        <v>-87515.048141262028</v>
      </c>
      <c r="H18" s="114">
        <f>IFERROR(SUMIF(G90:W90,"&gt;0")/-SUMIF(G90:W90,"&lt;0"),"-")</f>
        <v>2.0340306246030178</v>
      </c>
      <c r="J18" s="39"/>
      <c r="M18" s="84"/>
    </row>
    <row r="19" spans="2:23" x14ac:dyDescent="0.15">
      <c r="B19" s="69">
        <v>2</v>
      </c>
      <c r="C19" s="411" t="s">
        <v>18</v>
      </c>
      <c r="D19" s="411">
        <v>0.3</v>
      </c>
      <c r="E19" s="73">
        <f t="shared" ref="E19:E22" si="0">D19*$E$12</f>
        <v>802870.02012072422</v>
      </c>
      <c r="F19" s="129">
        <f>IFERROR(XIRR(G91:W91,$G$30:$W$30),"-")</f>
        <v>8.4954640269279486E-2</v>
      </c>
      <c r="G19" s="130">
        <f>IF(E19=0,"-",XNPV(discount_rate,G91:W91,$G$30:$W$30))</f>
        <v>-87515.048141262028</v>
      </c>
      <c r="H19" s="114">
        <f>IFERROR(SUMIF(G91:W91,"&gt;0")/-SUMIF(G91:W91,"&lt;0"),"-")</f>
        <v>2.0340306246030178</v>
      </c>
      <c r="J19" s="82" t="s">
        <v>33</v>
      </c>
      <c r="K19" s="16"/>
      <c r="L19" s="17"/>
      <c r="M19" s="83"/>
    </row>
    <row r="20" spans="2:23" x14ac:dyDescent="0.15">
      <c r="B20" s="69">
        <v>3</v>
      </c>
      <c r="C20" s="411" t="s">
        <v>19</v>
      </c>
      <c r="D20" s="411">
        <v>0.4</v>
      </c>
      <c r="E20" s="73">
        <f t="shared" si="0"/>
        <v>1070493.3601609657</v>
      </c>
      <c r="F20" s="129">
        <f>IFERROR(XIRR(G92:W92,$G$30:$W$30),"-")</f>
        <v>8.4954640269279486E-2</v>
      </c>
      <c r="G20" s="130">
        <f>IF(E20=0,"-",XNPV(discount_rate,G92:W92,$G$30:$W$30))</f>
        <v>-116686.73085501569</v>
      </c>
      <c r="H20" s="114">
        <f>IFERROR(SUMIF(G92:W92,"&gt;0")/-SUMIF(G92:W92,"&lt;0"),"-")</f>
        <v>2.0340306246030178</v>
      </c>
      <c r="J20" s="39" t="s">
        <v>34</v>
      </c>
      <c r="L20" s="411">
        <v>1</v>
      </c>
      <c r="M20" s="84"/>
    </row>
    <row r="21" spans="2:23" x14ac:dyDescent="0.15">
      <c r="B21" s="69">
        <v>4</v>
      </c>
      <c r="C21" s="411"/>
      <c r="D21" s="411"/>
      <c r="E21" s="73">
        <f t="shared" si="0"/>
        <v>0</v>
      </c>
      <c r="F21" s="129" t="str">
        <f>IFERROR(XIRR(G93:W93,$G$30:$W$30),"-")</f>
        <v>-</v>
      </c>
      <c r="G21" s="130" t="str">
        <f>IF(E21=0,"-",XNPV(discount_rate,G93:W93,$G$30:$W$30))</f>
        <v>-</v>
      </c>
      <c r="H21" s="114" t="str">
        <f>IFERROR(SUMIF(G93:W93,"&gt;0")/-SUMIF(G93:W93,"&lt;0"),"-")</f>
        <v>-</v>
      </c>
      <c r="J21" s="40" t="s">
        <v>35</v>
      </c>
      <c r="K21" s="5"/>
      <c r="L21" s="15">
        <f>1-L20</f>
        <v>0</v>
      </c>
      <c r="M21" s="85" t="s">
        <v>29</v>
      </c>
    </row>
    <row r="22" spans="2:23" x14ac:dyDescent="0.15">
      <c r="B22" s="131">
        <v>5</v>
      </c>
      <c r="C22" s="412"/>
      <c r="D22" s="413"/>
      <c r="E22" s="74">
        <f t="shared" si="0"/>
        <v>0</v>
      </c>
      <c r="F22" s="112" t="str">
        <f>IFERROR(XIRR(G94:W94,$G$30:$W$30),"-")</f>
        <v>-</v>
      </c>
      <c r="G22" s="115" t="str">
        <f>IF(E22=0,"-",XNPV(discount_rate,G94:W94,$G$30:$W$30))</f>
        <v>-</v>
      </c>
      <c r="H22" s="116" t="str">
        <f>IFERROR(SUMIF(G94:W94,"&gt;0")/-SUMIF(G94:W94,"&lt;0"),"-")</f>
        <v>-</v>
      </c>
      <c r="J22" s="39"/>
      <c r="M22" s="9"/>
    </row>
    <row r="23" spans="2:23" x14ac:dyDescent="0.15">
      <c r="C23" s="72" t="s">
        <v>73</v>
      </c>
      <c r="D23" s="132">
        <f>SUM(D18:D22)</f>
        <v>1</v>
      </c>
      <c r="E23" s="13">
        <f>SUM(E18:E22)</f>
        <v>2676233.4004024146</v>
      </c>
      <c r="J23" s="82" t="s">
        <v>36</v>
      </c>
      <c r="K23" s="16"/>
      <c r="L23" s="17"/>
      <c r="M23" s="83"/>
    </row>
    <row r="24" spans="2:23" x14ac:dyDescent="0.15">
      <c r="J24" s="39" t="s">
        <v>37</v>
      </c>
      <c r="L24" s="411">
        <v>0.7</v>
      </c>
      <c r="M24" s="9"/>
    </row>
    <row r="25" spans="2:23" x14ac:dyDescent="0.15">
      <c r="C25" s="128" t="s">
        <v>20</v>
      </c>
      <c r="D25" s="411" t="s">
        <v>21</v>
      </c>
      <c r="J25" s="40" t="s">
        <v>38</v>
      </c>
      <c r="K25" s="5"/>
      <c r="L25" s="15">
        <f>1-L24</f>
        <v>0.30000000000000004</v>
      </c>
      <c r="M25" s="24"/>
    </row>
    <row r="28" spans="2:23" x14ac:dyDescent="0.15">
      <c r="G28" s="312" t="s">
        <v>61</v>
      </c>
    </row>
    <row r="29" spans="2:23" x14ac:dyDescent="0.15">
      <c r="C29" s="57" t="s">
        <v>60</v>
      </c>
      <c r="D29" s="347"/>
      <c r="E29" s="347"/>
      <c r="F29" s="347"/>
      <c r="G29" s="340">
        <v>0</v>
      </c>
      <c r="H29" s="58">
        <v>1</v>
      </c>
      <c r="I29" s="58">
        <f>H29+1</f>
        <v>2</v>
      </c>
      <c r="J29" s="58">
        <f t="shared" ref="J29:W29" si="1">I29+1</f>
        <v>3</v>
      </c>
      <c r="K29" s="58">
        <f t="shared" si="1"/>
        <v>4</v>
      </c>
      <c r="L29" s="58">
        <f t="shared" si="1"/>
        <v>5</v>
      </c>
      <c r="M29" s="58">
        <f t="shared" si="1"/>
        <v>6</v>
      </c>
      <c r="N29" s="58">
        <f t="shared" si="1"/>
        <v>7</v>
      </c>
      <c r="O29" s="58">
        <f t="shared" si="1"/>
        <v>8</v>
      </c>
      <c r="P29" s="58">
        <f t="shared" si="1"/>
        <v>9</v>
      </c>
      <c r="Q29" s="58">
        <f t="shared" si="1"/>
        <v>10</v>
      </c>
      <c r="R29" s="58">
        <f t="shared" si="1"/>
        <v>11</v>
      </c>
      <c r="S29" s="58">
        <f t="shared" si="1"/>
        <v>12</v>
      </c>
      <c r="T29" s="58">
        <f t="shared" si="1"/>
        <v>13</v>
      </c>
      <c r="U29" s="58">
        <f t="shared" si="1"/>
        <v>14</v>
      </c>
      <c r="V29" s="340">
        <f t="shared" si="1"/>
        <v>15</v>
      </c>
      <c r="W29" s="58">
        <f t="shared" si="1"/>
        <v>16</v>
      </c>
    </row>
    <row r="30" spans="2:23" x14ac:dyDescent="0.15">
      <c r="C30" s="49" t="s">
        <v>40</v>
      </c>
      <c r="D30" s="340" t="s">
        <v>141</v>
      </c>
      <c r="E30" s="340"/>
      <c r="F30" s="340"/>
      <c r="G30" s="54">
        <f>purchase_date</f>
        <v>46266</v>
      </c>
      <c r="H30" s="54">
        <f>EDATE(G30,12)</f>
        <v>46631</v>
      </c>
      <c r="I30" s="54">
        <f>EDATE(H30,12)</f>
        <v>46997</v>
      </c>
      <c r="J30" s="54">
        <f t="shared" ref="J30:W30" si="2">EDATE(I30,12)</f>
        <v>47362</v>
      </c>
      <c r="K30" s="54">
        <f t="shared" si="2"/>
        <v>47727</v>
      </c>
      <c r="L30" s="54">
        <f t="shared" si="2"/>
        <v>48092</v>
      </c>
      <c r="M30" s="54">
        <f t="shared" si="2"/>
        <v>48458</v>
      </c>
      <c r="N30" s="54">
        <f t="shared" si="2"/>
        <v>48823</v>
      </c>
      <c r="O30" s="54">
        <f t="shared" si="2"/>
        <v>49188</v>
      </c>
      <c r="P30" s="54">
        <f t="shared" si="2"/>
        <v>49553</v>
      </c>
      <c r="Q30" s="54">
        <f t="shared" si="2"/>
        <v>49919</v>
      </c>
      <c r="R30" s="54">
        <f t="shared" si="2"/>
        <v>50284</v>
      </c>
      <c r="S30" s="54">
        <f t="shared" si="2"/>
        <v>50649</v>
      </c>
      <c r="T30" s="54">
        <f t="shared" si="2"/>
        <v>51014</v>
      </c>
      <c r="U30" s="54">
        <f t="shared" si="2"/>
        <v>51380</v>
      </c>
      <c r="V30" s="54">
        <f t="shared" si="2"/>
        <v>51745</v>
      </c>
      <c r="W30" s="54">
        <f t="shared" si="2"/>
        <v>52110</v>
      </c>
    </row>
    <row r="32" spans="2:23" x14ac:dyDescent="0.15">
      <c r="C32" s="3" t="s">
        <v>314</v>
      </c>
      <c r="D32" s="312" t="s">
        <v>150</v>
      </c>
      <c r="G32" s="93">
        <f>+'Annual_P&amp;L'!F$42</f>
        <v>-2676233.4004024141</v>
      </c>
      <c r="H32" s="93">
        <f>+'Annual_P&amp;L'!G$42</f>
        <v>36146.065401575295</v>
      </c>
      <c r="I32" s="93">
        <f>+'Annual_P&amp;L'!H$42</f>
        <v>218814.32197192544</v>
      </c>
      <c r="J32" s="93">
        <f>+'Annual_P&amp;L'!I$42</f>
        <v>112114.21394195739</v>
      </c>
      <c r="K32" s="93">
        <f>+'Annual_P&amp;L'!J$42</f>
        <v>121377.96920866042</v>
      </c>
      <c r="L32" s="93">
        <f>+'Annual_P&amp;L'!K$42</f>
        <v>130878.96917258596</v>
      </c>
      <c r="M32" s="93">
        <f>+'Annual_P&amp;L'!L$42</f>
        <v>140623.25796747548</v>
      </c>
      <c r="N32" s="93">
        <f>+'Annual_P&amp;L'!M$42</f>
        <v>150617.03309074097</v>
      </c>
      <c r="O32" s="93">
        <f>+'Annual_P&amp;L'!N$42</f>
        <v>160866.64928276147</v>
      </c>
      <c r="P32" s="93">
        <f>+'Annual_P&amp;L'!O$42</f>
        <v>171378.62250406947</v>
      </c>
      <c r="Q32" s="93">
        <f>+'Annual_P&amp;L'!P$42</f>
        <v>4200723.5924622286</v>
      </c>
      <c r="R32" s="93">
        <f>+'Annual_P&amp;L'!Q$42</f>
        <v>0</v>
      </c>
      <c r="S32" s="93">
        <f>+'Annual_P&amp;L'!R$42</f>
        <v>0</v>
      </c>
      <c r="T32" s="93">
        <f>+'Annual_P&amp;L'!S$42</f>
        <v>0</v>
      </c>
      <c r="U32" s="93">
        <f>+'Annual_P&amp;L'!T$42</f>
        <v>0</v>
      </c>
      <c r="V32" s="93">
        <f>+'Annual_P&amp;L'!U$42</f>
        <v>0</v>
      </c>
      <c r="W32" s="93">
        <f>+'Annual_P&amp;L'!V$42</f>
        <v>0</v>
      </c>
    </row>
    <row r="34" spans="3:23" x14ac:dyDescent="0.15">
      <c r="C34" s="3" t="str">
        <f>"Tier-1 Up to "&amp;TEXT($L$10,"#.#0%")&amp;" IRR"</f>
        <v>Tier-1 Up to 8.0% IRR</v>
      </c>
    </row>
    <row r="36" spans="3:23" x14ac:dyDescent="0.15">
      <c r="C36" t="s">
        <v>322</v>
      </c>
      <c r="D36" s="312" t="s">
        <v>150</v>
      </c>
      <c r="G36" s="136">
        <v>0</v>
      </c>
      <c r="H36" s="415">
        <f>G40</f>
        <v>2676233.4004024141</v>
      </c>
      <c r="I36" s="415">
        <f t="shared" ref="I36:W36" si="3">H40</f>
        <v>2854186.0070330324</v>
      </c>
      <c r="J36" s="415">
        <f t="shared" si="3"/>
        <v>2863706.5656237495</v>
      </c>
      <c r="K36" s="415">
        <f t="shared" si="3"/>
        <v>2980688.876931692</v>
      </c>
      <c r="L36" s="415">
        <f t="shared" si="3"/>
        <v>3097766.0178775666</v>
      </c>
      <c r="M36" s="415">
        <f t="shared" si="3"/>
        <v>3214708.3301351862</v>
      </c>
      <c r="N36" s="415">
        <f t="shared" si="3"/>
        <v>3331261.7385785258</v>
      </c>
      <c r="O36" s="415">
        <f t="shared" si="3"/>
        <v>3447145.6445740671</v>
      </c>
      <c r="P36" s="415">
        <f t="shared" si="3"/>
        <v>3562050.6468572309</v>
      </c>
      <c r="Q36" s="415">
        <f t="shared" si="3"/>
        <v>3675636.0761017399</v>
      </c>
      <c r="R36" s="415">
        <f t="shared" si="3"/>
        <v>0</v>
      </c>
      <c r="S36" s="415">
        <f t="shared" si="3"/>
        <v>0</v>
      </c>
      <c r="T36" s="415">
        <f t="shared" si="3"/>
        <v>0</v>
      </c>
      <c r="U36" s="415">
        <f t="shared" si="3"/>
        <v>0</v>
      </c>
      <c r="V36" s="415">
        <f t="shared" si="3"/>
        <v>0</v>
      </c>
      <c r="W36" s="415">
        <f t="shared" si="3"/>
        <v>0</v>
      </c>
    </row>
    <row r="37" spans="3:23" x14ac:dyDescent="0.15">
      <c r="C37" t="s">
        <v>321</v>
      </c>
      <c r="D37" s="312" t="s">
        <v>150</v>
      </c>
      <c r="G37" s="427">
        <f>MAX(0,-G$32)</f>
        <v>2676233.4004024141</v>
      </c>
      <c r="H37" s="427">
        <f>MAX(0,-H$32)</f>
        <v>0</v>
      </c>
      <c r="I37" s="427">
        <f t="shared" ref="I37:W37" si="4">MAX(0,-I$32)</f>
        <v>0</v>
      </c>
      <c r="J37" s="427">
        <f t="shared" si="4"/>
        <v>0</v>
      </c>
      <c r="K37" s="427">
        <f t="shared" si="4"/>
        <v>0</v>
      </c>
      <c r="L37" s="427">
        <f t="shared" si="4"/>
        <v>0</v>
      </c>
      <c r="M37" s="427">
        <f t="shared" si="4"/>
        <v>0</v>
      </c>
      <c r="N37" s="427">
        <f t="shared" si="4"/>
        <v>0</v>
      </c>
      <c r="O37" s="427">
        <f t="shared" si="4"/>
        <v>0</v>
      </c>
      <c r="P37" s="427">
        <f t="shared" si="4"/>
        <v>0</v>
      </c>
      <c r="Q37" s="427">
        <f t="shared" si="4"/>
        <v>0</v>
      </c>
      <c r="R37" s="427">
        <f t="shared" si="4"/>
        <v>0</v>
      </c>
      <c r="S37" s="427">
        <f t="shared" si="4"/>
        <v>0</v>
      </c>
      <c r="T37" s="427">
        <f t="shared" si="4"/>
        <v>0</v>
      </c>
      <c r="U37" s="427">
        <f t="shared" si="4"/>
        <v>0</v>
      </c>
      <c r="V37" s="427">
        <f t="shared" si="4"/>
        <v>0</v>
      </c>
      <c r="W37" s="427">
        <f t="shared" si="4"/>
        <v>0</v>
      </c>
    </row>
    <row r="38" spans="3:23" x14ac:dyDescent="0.15">
      <c r="C38" t="s">
        <v>326</v>
      </c>
      <c r="D38" s="312" t="s">
        <v>150</v>
      </c>
      <c r="E38" s="66">
        <f>+L10</f>
        <v>0.08</v>
      </c>
      <c r="G38" s="427">
        <f t="shared" ref="G38:W38" si="5">IF(G$29&lt;=hold_length,G36*$E$38,0)</f>
        <v>0</v>
      </c>
      <c r="H38" s="427">
        <f t="shared" si="5"/>
        <v>214098.67203219314</v>
      </c>
      <c r="I38" s="427">
        <f t="shared" si="5"/>
        <v>228334.88056264259</v>
      </c>
      <c r="J38" s="427">
        <f t="shared" si="5"/>
        <v>229096.52524989998</v>
      </c>
      <c r="K38" s="427">
        <f t="shared" si="5"/>
        <v>238455.11015453536</v>
      </c>
      <c r="L38" s="427">
        <f t="shared" si="5"/>
        <v>247821.28143020533</v>
      </c>
      <c r="M38" s="427">
        <f t="shared" si="5"/>
        <v>257176.66641081491</v>
      </c>
      <c r="N38" s="427">
        <f t="shared" si="5"/>
        <v>266500.93908628204</v>
      </c>
      <c r="O38" s="427">
        <f t="shared" si="5"/>
        <v>275771.65156592539</v>
      </c>
      <c r="P38" s="427">
        <f t="shared" si="5"/>
        <v>284964.05174857849</v>
      </c>
      <c r="Q38" s="427">
        <f t="shared" si="5"/>
        <v>294050.8860881392</v>
      </c>
      <c r="R38" s="427">
        <f t="shared" si="5"/>
        <v>0</v>
      </c>
      <c r="S38" s="427">
        <f t="shared" si="5"/>
        <v>0</v>
      </c>
      <c r="T38" s="427">
        <f t="shared" si="5"/>
        <v>0</v>
      </c>
      <c r="U38" s="427">
        <f t="shared" si="5"/>
        <v>0</v>
      </c>
      <c r="V38" s="427">
        <f t="shared" si="5"/>
        <v>0</v>
      </c>
      <c r="W38" s="427">
        <f t="shared" si="5"/>
        <v>0</v>
      </c>
    </row>
    <row r="39" spans="3:23" x14ac:dyDescent="0.15">
      <c r="C39" s="315" t="s">
        <v>323</v>
      </c>
      <c r="D39" s="314" t="s">
        <v>150</v>
      </c>
      <c r="E39" s="422">
        <f>+L12</f>
        <v>1</v>
      </c>
      <c r="F39" s="315"/>
      <c r="G39" s="428">
        <f>-MIN(MAX(0,G$32)*$E$39,G36+G37+G38)</f>
        <v>0</v>
      </c>
      <c r="H39" s="428">
        <f t="shared" ref="H39:W39" si="6">-MIN(MAX(0,H$32)*$E$39,H36+H37+H38)</f>
        <v>-36146.065401575295</v>
      </c>
      <c r="I39" s="428">
        <f t="shared" si="6"/>
        <v>-218814.32197192544</v>
      </c>
      <c r="J39" s="428">
        <f t="shared" si="6"/>
        <v>-112114.21394195739</v>
      </c>
      <c r="K39" s="428">
        <f t="shared" si="6"/>
        <v>-121377.96920866042</v>
      </c>
      <c r="L39" s="428">
        <f t="shared" si="6"/>
        <v>-130878.96917258596</v>
      </c>
      <c r="M39" s="428">
        <f t="shared" si="6"/>
        <v>-140623.25796747548</v>
      </c>
      <c r="N39" s="428">
        <f t="shared" si="6"/>
        <v>-150617.03309074097</v>
      </c>
      <c r="O39" s="428">
        <f t="shared" si="6"/>
        <v>-160866.64928276147</v>
      </c>
      <c r="P39" s="428">
        <f t="shared" si="6"/>
        <v>-171378.62250406947</v>
      </c>
      <c r="Q39" s="428">
        <f t="shared" si="6"/>
        <v>-3969686.9621898793</v>
      </c>
      <c r="R39" s="428">
        <f t="shared" si="6"/>
        <v>0</v>
      </c>
      <c r="S39" s="428">
        <f t="shared" si="6"/>
        <v>0</v>
      </c>
      <c r="T39" s="428">
        <f t="shared" si="6"/>
        <v>0</v>
      </c>
      <c r="U39" s="428">
        <f t="shared" si="6"/>
        <v>0</v>
      </c>
      <c r="V39" s="428">
        <f t="shared" si="6"/>
        <v>0</v>
      </c>
      <c r="W39" s="428">
        <f t="shared" si="6"/>
        <v>0</v>
      </c>
    </row>
    <row r="40" spans="3:23" s="3" customFormat="1" x14ac:dyDescent="0.15">
      <c r="C40" s="3" t="s">
        <v>324</v>
      </c>
      <c r="D40" s="420" t="s">
        <v>150</v>
      </c>
      <c r="G40" s="421">
        <f>SUM(G36:G39)</f>
        <v>2676233.4004024141</v>
      </c>
      <c r="H40" s="421">
        <f t="shared" ref="H40:W40" si="7">SUM(H36:H39)</f>
        <v>2854186.0070330324</v>
      </c>
      <c r="I40" s="421">
        <f t="shared" si="7"/>
        <v>2863706.5656237495</v>
      </c>
      <c r="J40" s="421">
        <f t="shared" si="7"/>
        <v>2980688.876931692</v>
      </c>
      <c r="K40" s="421">
        <f t="shared" si="7"/>
        <v>3097766.0178775666</v>
      </c>
      <c r="L40" s="421">
        <f t="shared" si="7"/>
        <v>3214708.3301351862</v>
      </c>
      <c r="M40" s="421">
        <f t="shared" si="7"/>
        <v>3331261.7385785258</v>
      </c>
      <c r="N40" s="421">
        <f t="shared" si="7"/>
        <v>3447145.6445740671</v>
      </c>
      <c r="O40" s="421">
        <f t="shared" si="7"/>
        <v>3562050.6468572309</v>
      </c>
      <c r="P40" s="421">
        <f t="shared" si="7"/>
        <v>3675636.0761017399</v>
      </c>
      <c r="Q40" s="421">
        <f t="shared" si="7"/>
        <v>0</v>
      </c>
      <c r="R40" s="421">
        <f t="shared" si="7"/>
        <v>0</v>
      </c>
      <c r="S40" s="421">
        <f t="shared" si="7"/>
        <v>0</v>
      </c>
      <c r="T40" s="421">
        <f t="shared" si="7"/>
        <v>0</v>
      </c>
      <c r="U40" s="421">
        <f t="shared" si="7"/>
        <v>0</v>
      </c>
      <c r="V40" s="421">
        <f t="shared" si="7"/>
        <v>0</v>
      </c>
      <c r="W40" s="421">
        <f t="shared" si="7"/>
        <v>0</v>
      </c>
    </row>
    <row r="42" spans="3:23" x14ac:dyDescent="0.15">
      <c r="C42" s="3" t="str">
        <f>"Tier-2 Up to "&amp;TEXT($L$16,"0.0%")&amp;" IRR and "&amp;TEXT($L$17,"0.00x")&amp;" Equity Multiple"</f>
        <v>Tier-2 Up to 11.8% IRR and 1.50x Equity Multiple</v>
      </c>
    </row>
    <row r="43" spans="3:23" x14ac:dyDescent="0.15">
      <c r="D43" s="312"/>
      <c r="E43" s="70"/>
      <c r="G43" s="415"/>
      <c r="H43" s="415"/>
      <c r="I43" s="415"/>
      <c r="J43" s="415"/>
      <c r="K43" s="415"/>
      <c r="L43" s="415"/>
      <c r="M43" s="415"/>
      <c r="N43" s="415"/>
      <c r="O43" s="415"/>
      <c r="P43" s="415"/>
      <c r="Q43" s="415"/>
      <c r="R43" s="415"/>
      <c r="S43" s="415"/>
      <c r="T43" s="415"/>
      <c r="U43" s="415"/>
      <c r="V43" s="415"/>
      <c r="W43" s="415"/>
    </row>
    <row r="44" spans="3:23" x14ac:dyDescent="0.15">
      <c r="C44" t="s">
        <v>325</v>
      </c>
      <c r="D44" s="312" t="s">
        <v>150</v>
      </c>
      <c r="E44" s="70"/>
      <c r="G44" s="415">
        <f>MAX(0,G$32)+IFERROR(G$39/$E$39,0)</f>
        <v>0</v>
      </c>
      <c r="H44" s="415">
        <f t="shared" ref="H44:W44" si="8">MAX(0,H$32)+IFERROR(H$39/$E$39,0)</f>
        <v>0</v>
      </c>
      <c r="I44" s="415">
        <f t="shared" si="8"/>
        <v>0</v>
      </c>
      <c r="J44" s="415">
        <f t="shared" si="8"/>
        <v>0</v>
      </c>
      <c r="K44" s="415">
        <f t="shared" si="8"/>
        <v>0</v>
      </c>
      <c r="L44" s="415">
        <f t="shared" si="8"/>
        <v>0</v>
      </c>
      <c r="M44" s="415">
        <f t="shared" si="8"/>
        <v>0</v>
      </c>
      <c r="N44" s="415">
        <f t="shared" si="8"/>
        <v>0</v>
      </c>
      <c r="O44" s="415">
        <f t="shared" si="8"/>
        <v>0</v>
      </c>
      <c r="P44" s="415">
        <f t="shared" si="8"/>
        <v>0</v>
      </c>
      <c r="Q44" s="415">
        <f t="shared" si="8"/>
        <v>231036.63027234934</v>
      </c>
      <c r="R44" s="415">
        <f t="shared" si="8"/>
        <v>0</v>
      </c>
      <c r="S44" s="415">
        <f t="shared" si="8"/>
        <v>0</v>
      </c>
      <c r="T44" s="415">
        <f t="shared" si="8"/>
        <v>0</v>
      </c>
      <c r="U44" s="415">
        <f t="shared" si="8"/>
        <v>0</v>
      </c>
      <c r="V44" s="415">
        <f t="shared" si="8"/>
        <v>0</v>
      </c>
      <c r="W44" s="415">
        <f t="shared" si="8"/>
        <v>0</v>
      </c>
    </row>
    <row r="45" spans="3:23" x14ac:dyDescent="0.15">
      <c r="C45" t="s">
        <v>322</v>
      </c>
      <c r="D45" s="312" t="s">
        <v>150</v>
      </c>
      <c r="E45" s="70"/>
      <c r="G45" s="427">
        <v>0</v>
      </c>
      <c r="H45" s="427">
        <f>G50</f>
        <v>2676233.4004024141</v>
      </c>
      <c r="I45" s="427">
        <f t="shared" ref="I45:W45" si="9">H50</f>
        <v>2955882.8762483234</v>
      </c>
      <c r="J45" s="427">
        <f t="shared" si="9"/>
        <v>3085862.7336737001</v>
      </c>
      <c r="K45" s="427">
        <f t="shared" si="9"/>
        <v>3337880.3223052393</v>
      </c>
      <c r="L45" s="427">
        <f t="shared" si="9"/>
        <v>3610372.2311285967</v>
      </c>
      <c r="M45" s="427">
        <f t="shared" si="9"/>
        <v>3905517.1852291855</v>
      </c>
      <c r="N45" s="427">
        <f t="shared" si="9"/>
        <v>4225744.9551187539</v>
      </c>
      <c r="O45" s="427">
        <f t="shared" si="9"/>
        <v>4573765.8267320255</v>
      </c>
      <c r="P45" s="427">
        <f t="shared" si="9"/>
        <v>4952603.5450036423</v>
      </c>
      <c r="Q45" s="427">
        <f t="shared" si="9"/>
        <v>5365632.1408100026</v>
      </c>
      <c r="R45" s="427">
        <f t="shared" si="9"/>
        <v>1798053.1409633541</v>
      </c>
      <c r="S45" s="427">
        <f t="shared" si="9"/>
        <v>1798053.1409633541</v>
      </c>
      <c r="T45" s="427">
        <f t="shared" si="9"/>
        <v>1798053.1409633541</v>
      </c>
      <c r="U45" s="427">
        <f t="shared" si="9"/>
        <v>1798053.1409633541</v>
      </c>
      <c r="V45" s="427">
        <f t="shared" si="9"/>
        <v>1798053.1409633541</v>
      </c>
      <c r="W45" s="427">
        <f t="shared" si="9"/>
        <v>1798053.1409633541</v>
      </c>
    </row>
    <row r="46" spans="3:23" x14ac:dyDescent="0.15">
      <c r="C46" t="s">
        <v>321</v>
      </c>
      <c r="D46" s="312" t="s">
        <v>150</v>
      </c>
      <c r="E46" s="70"/>
      <c r="G46" s="427">
        <f>G$37</f>
        <v>2676233.4004024141</v>
      </c>
      <c r="H46" s="427">
        <f t="shared" ref="H46:W46" si="10">H$37</f>
        <v>0</v>
      </c>
      <c r="I46" s="427">
        <f t="shared" si="10"/>
        <v>0</v>
      </c>
      <c r="J46" s="427">
        <f t="shared" si="10"/>
        <v>0</v>
      </c>
      <c r="K46" s="427">
        <f t="shared" si="10"/>
        <v>0</v>
      </c>
      <c r="L46" s="427">
        <f t="shared" si="10"/>
        <v>0</v>
      </c>
      <c r="M46" s="427">
        <f t="shared" si="10"/>
        <v>0</v>
      </c>
      <c r="N46" s="427">
        <f t="shared" si="10"/>
        <v>0</v>
      </c>
      <c r="O46" s="427">
        <f t="shared" si="10"/>
        <v>0</v>
      </c>
      <c r="P46" s="427">
        <f t="shared" si="10"/>
        <v>0</v>
      </c>
      <c r="Q46" s="427">
        <f t="shared" si="10"/>
        <v>0</v>
      </c>
      <c r="R46" s="427">
        <f t="shared" si="10"/>
        <v>0</v>
      </c>
      <c r="S46" s="427">
        <f t="shared" si="10"/>
        <v>0</v>
      </c>
      <c r="T46" s="427">
        <f t="shared" si="10"/>
        <v>0</v>
      </c>
      <c r="U46" s="427">
        <f t="shared" si="10"/>
        <v>0</v>
      </c>
      <c r="V46" s="427">
        <f t="shared" si="10"/>
        <v>0</v>
      </c>
      <c r="W46" s="427">
        <f t="shared" si="10"/>
        <v>0</v>
      </c>
    </row>
    <row r="47" spans="3:23" x14ac:dyDescent="0.15">
      <c r="C47" t="s">
        <v>326</v>
      </c>
      <c r="D47" s="312" t="s">
        <v>150</v>
      </c>
      <c r="E47" s="424">
        <f>+L16</f>
        <v>0.11799999999999999</v>
      </c>
      <c r="G47" s="427">
        <f t="shared" ref="G47:W47" si="11">IF(G$29&lt;=hold_length,G45*$E$47,0)</f>
        <v>0</v>
      </c>
      <c r="H47" s="427">
        <f t="shared" si="11"/>
        <v>315795.54124748486</v>
      </c>
      <c r="I47" s="427">
        <f t="shared" si="11"/>
        <v>348794.17939730216</v>
      </c>
      <c r="J47" s="427">
        <f t="shared" si="11"/>
        <v>364131.80257349659</v>
      </c>
      <c r="K47" s="427">
        <f t="shared" si="11"/>
        <v>393869.8780320182</v>
      </c>
      <c r="L47" s="427">
        <f t="shared" si="11"/>
        <v>426023.92327317438</v>
      </c>
      <c r="M47" s="427">
        <f t="shared" si="11"/>
        <v>460851.02785704384</v>
      </c>
      <c r="N47" s="427">
        <f t="shared" si="11"/>
        <v>498637.90470401297</v>
      </c>
      <c r="O47" s="427">
        <f t="shared" si="11"/>
        <v>539704.36755437893</v>
      </c>
      <c r="P47" s="427">
        <f t="shared" si="11"/>
        <v>584407.21831042971</v>
      </c>
      <c r="Q47" s="427">
        <f t="shared" si="11"/>
        <v>633144.5926155803</v>
      </c>
      <c r="R47" s="427">
        <f t="shared" si="11"/>
        <v>0</v>
      </c>
      <c r="S47" s="427">
        <f t="shared" si="11"/>
        <v>0</v>
      </c>
      <c r="T47" s="427">
        <f t="shared" si="11"/>
        <v>0</v>
      </c>
      <c r="U47" s="427">
        <f t="shared" si="11"/>
        <v>0</v>
      </c>
      <c r="V47" s="427">
        <f t="shared" si="11"/>
        <v>0</v>
      </c>
      <c r="W47" s="427">
        <f t="shared" si="11"/>
        <v>0</v>
      </c>
    </row>
    <row r="48" spans="3:23" x14ac:dyDescent="0.15">
      <c r="C48" t="s">
        <v>323</v>
      </c>
      <c r="D48" s="312" t="s">
        <v>150</v>
      </c>
      <c r="E48" s="424"/>
      <c r="G48" s="427">
        <f>G$39</f>
        <v>0</v>
      </c>
      <c r="H48" s="427">
        <f t="shared" ref="H48:W48" si="12">H$39</f>
        <v>-36146.065401575295</v>
      </c>
      <c r="I48" s="427">
        <f t="shared" si="12"/>
        <v>-218814.32197192544</v>
      </c>
      <c r="J48" s="427">
        <f t="shared" si="12"/>
        <v>-112114.21394195739</v>
      </c>
      <c r="K48" s="427">
        <f t="shared" si="12"/>
        <v>-121377.96920866042</v>
      </c>
      <c r="L48" s="427">
        <f t="shared" si="12"/>
        <v>-130878.96917258596</v>
      </c>
      <c r="M48" s="427">
        <f t="shared" si="12"/>
        <v>-140623.25796747548</v>
      </c>
      <c r="N48" s="427">
        <f t="shared" si="12"/>
        <v>-150617.03309074097</v>
      </c>
      <c r="O48" s="427">
        <f t="shared" si="12"/>
        <v>-160866.64928276147</v>
      </c>
      <c r="P48" s="427">
        <f t="shared" si="12"/>
        <v>-171378.62250406947</v>
      </c>
      <c r="Q48" s="427">
        <f t="shared" si="12"/>
        <v>-3969686.9621898793</v>
      </c>
      <c r="R48" s="427">
        <f t="shared" si="12"/>
        <v>0</v>
      </c>
      <c r="S48" s="427">
        <f t="shared" si="12"/>
        <v>0</v>
      </c>
      <c r="T48" s="427">
        <f t="shared" si="12"/>
        <v>0</v>
      </c>
      <c r="U48" s="427">
        <f t="shared" si="12"/>
        <v>0</v>
      </c>
      <c r="V48" s="427">
        <f t="shared" si="12"/>
        <v>0</v>
      </c>
      <c r="W48" s="427">
        <f t="shared" si="12"/>
        <v>0</v>
      </c>
    </row>
    <row r="49" spans="3:23" x14ac:dyDescent="0.15">
      <c r="C49" s="315" t="s">
        <v>327</v>
      </c>
      <c r="D49" s="314" t="s">
        <v>150</v>
      </c>
      <c r="E49" s="426"/>
      <c r="F49" s="315"/>
      <c r="G49" s="428">
        <f>-G$54</f>
        <v>0</v>
      </c>
      <c r="H49" s="428">
        <f t="shared" ref="H49:W49" si="13">-H$54</f>
        <v>0</v>
      </c>
      <c r="I49" s="428">
        <f t="shared" si="13"/>
        <v>0</v>
      </c>
      <c r="J49" s="428">
        <f t="shared" si="13"/>
        <v>0</v>
      </c>
      <c r="K49" s="428">
        <f t="shared" si="13"/>
        <v>0</v>
      </c>
      <c r="L49" s="428">
        <f t="shared" si="13"/>
        <v>0</v>
      </c>
      <c r="M49" s="428">
        <f t="shared" si="13"/>
        <v>0</v>
      </c>
      <c r="N49" s="428">
        <f t="shared" si="13"/>
        <v>0</v>
      </c>
      <c r="O49" s="428">
        <f t="shared" si="13"/>
        <v>0</v>
      </c>
      <c r="P49" s="428">
        <f t="shared" si="13"/>
        <v>0</v>
      </c>
      <c r="Q49" s="428">
        <f t="shared" si="13"/>
        <v>-231036.63027234934</v>
      </c>
      <c r="R49" s="428">
        <f t="shared" si="13"/>
        <v>0</v>
      </c>
      <c r="S49" s="428">
        <f t="shared" si="13"/>
        <v>0</v>
      </c>
      <c r="T49" s="428">
        <f t="shared" si="13"/>
        <v>0</v>
      </c>
      <c r="U49" s="428">
        <f t="shared" si="13"/>
        <v>0</v>
      </c>
      <c r="V49" s="428">
        <f t="shared" si="13"/>
        <v>0</v>
      </c>
      <c r="W49" s="428">
        <f t="shared" si="13"/>
        <v>0</v>
      </c>
    </row>
    <row r="50" spans="3:23" x14ac:dyDescent="0.15">
      <c r="C50" s="3" t="s">
        <v>328</v>
      </c>
      <c r="D50" s="420" t="s">
        <v>150</v>
      </c>
      <c r="E50" s="28"/>
      <c r="F50" s="3"/>
      <c r="G50" s="421">
        <f>MAX(0,SUM(G45:G49))</f>
        <v>2676233.4004024141</v>
      </c>
      <c r="H50" s="421">
        <f t="shared" ref="H50:W50" si="14">MAX(0,SUM(H45:H49))</f>
        <v>2955882.8762483234</v>
      </c>
      <c r="I50" s="421">
        <f t="shared" si="14"/>
        <v>3085862.7336737001</v>
      </c>
      <c r="J50" s="421">
        <f t="shared" si="14"/>
        <v>3337880.3223052393</v>
      </c>
      <c r="K50" s="421">
        <f t="shared" si="14"/>
        <v>3610372.2311285967</v>
      </c>
      <c r="L50" s="421">
        <f t="shared" si="14"/>
        <v>3905517.1852291855</v>
      </c>
      <c r="M50" s="421">
        <f t="shared" si="14"/>
        <v>4225744.9551187539</v>
      </c>
      <c r="N50" s="421">
        <f t="shared" si="14"/>
        <v>4573765.8267320255</v>
      </c>
      <c r="O50" s="421">
        <f t="shared" si="14"/>
        <v>4952603.5450036423</v>
      </c>
      <c r="P50" s="421">
        <f t="shared" si="14"/>
        <v>5365632.1408100026</v>
      </c>
      <c r="Q50" s="421">
        <f t="shared" si="14"/>
        <v>1798053.1409633541</v>
      </c>
      <c r="R50" s="421">
        <f t="shared" si="14"/>
        <v>1798053.1409633541</v>
      </c>
      <c r="S50" s="421">
        <f t="shared" si="14"/>
        <v>1798053.1409633541</v>
      </c>
      <c r="T50" s="421">
        <f t="shared" si="14"/>
        <v>1798053.1409633541</v>
      </c>
      <c r="U50" s="421">
        <f t="shared" si="14"/>
        <v>1798053.1409633541</v>
      </c>
      <c r="V50" s="421">
        <f t="shared" si="14"/>
        <v>1798053.1409633541</v>
      </c>
      <c r="W50" s="421">
        <f t="shared" si="14"/>
        <v>1798053.1409633541</v>
      </c>
    </row>
    <row r="51" spans="3:23" x14ac:dyDescent="0.15">
      <c r="C51" s="3"/>
      <c r="D51" s="420"/>
      <c r="E51" s="28"/>
      <c r="F51" s="3"/>
      <c r="G51" s="421"/>
      <c r="H51" s="421"/>
      <c r="I51" s="421"/>
      <c r="J51" s="421"/>
      <c r="K51" s="421"/>
      <c r="L51" s="421"/>
      <c r="M51" s="421"/>
      <c r="N51" s="421"/>
      <c r="O51" s="421"/>
      <c r="P51" s="421"/>
      <c r="Q51" s="421"/>
      <c r="R51" s="421"/>
      <c r="S51" s="421"/>
      <c r="T51" s="421"/>
      <c r="U51" s="421"/>
      <c r="V51" s="421"/>
      <c r="W51" s="421"/>
    </row>
    <row r="52" spans="3:23" x14ac:dyDescent="0.15">
      <c r="C52" t="s">
        <v>329</v>
      </c>
      <c r="D52" s="312" t="s">
        <v>150</v>
      </c>
      <c r="E52" s="425">
        <f>+L17</f>
        <v>1.5</v>
      </c>
      <c r="G52" s="427">
        <f>MAX(0,$E$52*SUM($G$37:G$37)-SUM($F$78:F$78)+G$39)</f>
        <v>4014350.1006036215</v>
      </c>
      <c r="H52" s="427">
        <f>MAX(0,$E$52*SUM($G$37:H$37)-SUM($F$78:G$78)+H$39)</f>
        <v>3978204.0352020459</v>
      </c>
      <c r="I52" s="427">
        <f>MAX(0,$E$52*SUM($G$37:I$37)-SUM($F$78:H$78)+I$39)</f>
        <v>3759389.7132301205</v>
      </c>
      <c r="J52" s="427">
        <f>MAX(0,$E$52*SUM($G$37:J$37)-SUM($F$78:I$78)+J$39)</f>
        <v>3647275.4992881636</v>
      </c>
      <c r="K52" s="427">
        <f>MAX(0,$E$52*SUM($G$37:K$37)-SUM($F$78:J$78)+K$39)</f>
        <v>3525897.5300795026</v>
      </c>
      <c r="L52" s="427">
        <f>MAX(0,$E$52*SUM($G$37:L$37)-SUM($F$78:K$78)+L$39)</f>
        <v>3395018.5609069173</v>
      </c>
      <c r="M52" s="427">
        <f>MAX(0,$E$52*SUM($G$37:M$37)-SUM($F$78:L$78)+M$39)</f>
        <v>3254395.3029394415</v>
      </c>
      <c r="N52" s="427">
        <f>MAX(0,$E$52*SUM($G$37:N$37)-SUM($F$78:M$78)+N$39)</f>
        <v>3103778.2698487006</v>
      </c>
      <c r="O52" s="427">
        <f>MAX(0,$E$52*SUM($G$37:O$37)-SUM($F$78:N$78)+O$39)</f>
        <v>2942911.6205659392</v>
      </c>
      <c r="P52" s="427">
        <f>MAX(0,$E$52*SUM($G$37:P$37)-SUM($F$78:O$78)+P$39)</f>
        <v>2771532.9980618698</v>
      </c>
      <c r="Q52" s="427">
        <f>MAX(0,$E$52*SUM($G$37:Q$37)-SUM($F$78:P$78)+Q$39)</f>
        <v>0</v>
      </c>
      <c r="R52" s="427">
        <f>MAX(0,$E$52*SUM($G$37:R$37)-SUM($F$78:Q$78)+R$39)</f>
        <v>0</v>
      </c>
      <c r="S52" s="427">
        <f>MAX(0,$E$52*SUM($G$37:S$37)-SUM($F$78:R$78)+S$39)</f>
        <v>0</v>
      </c>
      <c r="T52" s="427">
        <f>MAX(0,$E$52*SUM($G$37:T$37)-SUM($F$78:S$78)+T$39)</f>
        <v>0</v>
      </c>
      <c r="U52" s="427">
        <f>MAX(0,$E$52*SUM($G$37:U$37)-SUM($F$78:T$78)+U$39)</f>
        <v>0</v>
      </c>
      <c r="V52" s="427">
        <f>MAX(0,$E$52*SUM($G$37:V$37)-SUM($F$78:U$78)+V$39)</f>
        <v>0</v>
      </c>
      <c r="W52" s="427">
        <f>MAX(0,$E$52*SUM($G$37:W$37)-SUM($F$78:V$78)+W$39)</f>
        <v>0</v>
      </c>
    </row>
    <row r="53" spans="3:23" x14ac:dyDescent="0.15">
      <c r="C53" t="s">
        <v>330</v>
      </c>
      <c r="D53" s="312" t="s">
        <v>150</v>
      </c>
      <c r="E53" s="424"/>
      <c r="G53" s="427">
        <f>MAX(0,SUM(G45:G48),G52)</f>
        <v>4014350.1006036215</v>
      </c>
      <c r="H53" s="427">
        <f t="shared" ref="H53:W53" si="15">MAX(0,SUM(H45:H48),H52)</f>
        <v>3978204.0352020459</v>
      </c>
      <c r="I53" s="427">
        <f t="shared" si="15"/>
        <v>3759389.7132301205</v>
      </c>
      <c r="J53" s="427">
        <f t="shared" si="15"/>
        <v>3647275.4992881636</v>
      </c>
      <c r="K53" s="427">
        <f t="shared" si="15"/>
        <v>3610372.2311285967</v>
      </c>
      <c r="L53" s="427">
        <f t="shared" si="15"/>
        <v>3905517.1852291855</v>
      </c>
      <c r="M53" s="427">
        <f t="shared" si="15"/>
        <v>4225744.9551187539</v>
      </c>
      <c r="N53" s="427">
        <f t="shared" si="15"/>
        <v>4573765.8267320255</v>
      </c>
      <c r="O53" s="427">
        <f t="shared" si="15"/>
        <v>4952603.5450036423</v>
      </c>
      <c r="P53" s="427">
        <f t="shared" si="15"/>
        <v>5365632.1408100026</v>
      </c>
      <c r="Q53" s="427">
        <f t="shared" si="15"/>
        <v>2029089.7712357035</v>
      </c>
      <c r="R53" s="427">
        <f t="shared" si="15"/>
        <v>1798053.1409633541</v>
      </c>
      <c r="S53" s="427">
        <f t="shared" si="15"/>
        <v>1798053.1409633541</v>
      </c>
      <c r="T53" s="427">
        <f t="shared" si="15"/>
        <v>1798053.1409633541</v>
      </c>
      <c r="U53" s="427">
        <f t="shared" si="15"/>
        <v>1798053.1409633541</v>
      </c>
      <c r="V53" s="427">
        <f t="shared" si="15"/>
        <v>1798053.1409633541</v>
      </c>
      <c r="W53" s="427">
        <f t="shared" si="15"/>
        <v>1798053.1409633541</v>
      </c>
    </row>
    <row r="54" spans="3:23" x14ac:dyDescent="0.15">
      <c r="C54" t="s">
        <v>331</v>
      </c>
      <c r="D54" s="312" t="s">
        <v>150</v>
      </c>
      <c r="E54" s="424">
        <f>+L12</f>
        <v>1</v>
      </c>
      <c r="G54" s="427">
        <f>MIN(G44*$E$54,G53)</f>
        <v>0</v>
      </c>
      <c r="H54" s="427">
        <f t="shared" ref="H54:W54" si="16">MIN(H44*$E$54,H53)</f>
        <v>0</v>
      </c>
      <c r="I54" s="427">
        <f t="shared" si="16"/>
        <v>0</v>
      </c>
      <c r="J54" s="427">
        <f t="shared" si="16"/>
        <v>0</v>
      </c>
      <c r="K54" s="427">
        <f t="shared" si="16"/>
        <v>0</v>
      </c>
      <c r="L54" s="427">
        <f t="shared" si="16"/>
        <v>0</v>
      </c>
      <c r="M54" s="427">
        <f t="shared" si="16"/>
        <v>0</v>
      </c>
      <c r="N54" s="427">
        <f t="shared" si="16"/>
        <v>0</v>
      </c>
      <c r="O54" s="427">
        <f t="shared" si="16"/>
        <v>0</v>
      </c>
      <c r="P54" s="427">
        <f t="shared" si="16"/>
        <v>0</v>
      </c>
      <c r="Q54" s="427">
        <f t="shared" si="16"/>
        <v>231036.63027234934</v>
      </c>
      <c r="R54" s="427">
        <f t="shared" si="16"/>
        <v>0</v>
      </c>
      <c r="S54" s="427">
        <f t="shared" si="16"/>
        <v>0</v>
      </c>
      <c r="T54" s="427">
        <f t="shared" si="16"/>
        <v>0</v>
      </c>
      <c r="U54" s="427">
        <f t="shared" si="16"/>
        <v>0</v>
      </c>
      <c r="V54" s="427">
        <f t="shared" si="16"/>
        <v>0</v>
      </c>
      <c r="W54" s="427">
        <f t="shared" si="16"/>
        <v>0</v>
      </c>
    </row>
    <row r="55" spans="3:23" x14ac:dyDescent="0.15">
      <c r="C55" s="315" t="s">
        <v>332</v>
      </c>
      <c r="D55" s="314" t="s">
        <v>150</v>
      </c>
      <c r="E55" s="426">
        <f>+L13</f>
        <v>0</v>
      </c>
      <c r="F55" s="315"/>
      <c r="G55" s="428">
        <f>IFERROR(G54/$E$54*$E$55,0)</f>
        <v>0</v>
      </c>
      <c r="H55" s="428">
        <f t="shared" ref="H55:W55" si="17">IFERROR(H54/$E$54*$E$55,0)</f>
        <v>0</v>
      </c>
      <c r="I55" s="428">
        <f t="shared" si="17"/>
        <v>0</v>
      </c>
      <c r="J55" s="428">
        <f t="shared" si="17"/>
        <v>0</v>
      </c>
      <c r="K55" s="428">
        <f t="shared" si="17"/>
        <v>0</v>
      </c>
      <c r="L55" s="428">
        <f t="shared" si="17"/>
        <v>0</v>
      </c>
      <c r="M55" s="428">
        <f t="shared" si="17"/>
        <v>0</v>
      </c>
      <c r="N55" s="428">
        <f t="shared" si="17"/>
        <v>0</v>
      </c>
      <c r="O55" s="428">
        <f t="shared" si="17"/>
        <v>0</v>
      </c>
      <c r="P55" s="428">
        <f t="shared" si="17"/>
        <v>0</v>
      </c>
      <c r="Q55" s="428">
        <f t="shared" si="17"/>
        <v>0</v>
      </c>
      <c r="R55" s="428">
        <f t="shared" si="17"/>
        <v>0</v>
      </c>
      <c r="S55" s="428">
        <f t="shared" si="17"/>
        <v>0</v>
      </c>
      <c r="T55" s="428">
        <f t="shared" si="17"/>
        <v>0</v>
      </c>
      <c r="U55" s="428">
        <f t="shared" si="17"/>
        <v>0</v>
      </c>
      <c r="V55" s="428">
        <f t="shared" si="17"/>
        <v>0</v>
      </c>
      <c r="W55" s="428">
        <f t="shared" si="17"/>
        <v>0</v>
      </c>
    </row>
    <row r="56" spans="3:23" x14ac:dyDescent="0.15">
      <c r="C56" s="3" t="s">
        <v>333</v>
      </c>
      <c r="D56" s="420" t="s">
        <v>150</v>
      </c>
      <c r="E56" s="3"/>
      <c r="F56" s="3"/>
      <c r="G56" s="421">
        <f>G44-G54-G55</f>
        <v>0</v>
      </c>
      <c r="H56" s="421">
        <f t="shared" ref="H56:W56" si="18">H44-H54-H55</f>
        <v>0</v>
      </c>
      <c r="I56" s="421">
        <f t="shared" si="18"/>
        <v>0</v>
      </c>
      <c r="J56" s="421">
        <f t="shared" si="18"/>
        <v>0</v>
      </c>
      <c r="K56" s="421">
        <f t="shared" si="18"/>
        <v>0</v>
      </c>
      <c r="L56" s="421">
        <f t="shared" si="18"/>
        <v>0</v>
      </c>
      <c r="M56" s="421">
        <f t="shared" si="18"/>
        <v>0</v>
      </c>
      <c r="N56" s="421">
        <f t="shared" si="18"/>
        <v>0</v>
      </c>
      <c r="O56" s="421">
        <f t="shared" si="18"/>
        <v>0</v>
      </c>
      <c r="P56" s="421">
        <f t="shared" si="18"/>
        <v>0</v>
      </c>
      <c r="Q56" s="421">
        <f t="shared" si="18"/>
        <v>0</v>
      </c>
      <c r="R56" s="421">
        <f t="shared" si="18"/>
        <v>0</v>
      </c>
      <c r="S56" s="421">
        <f t="shared" si="18"/>
        <v>0</v>
      </c>
      <c r="T56" s="421">
        <f t="shared" si="18"/>
        <v>0</v>
      </c>
      <c r="U56" s="421">
        <f t="shared" si="18"/>
        <v>0</v>
      </c>
      <c r="V56" s="421">
        <f t="shared" si="18"/>
        <v>0</v>
      </c>
      <c r="W56" s="421">
        <f t="shared" si="18"/>
        <v>0</v>
      </c>
    </row>
    <row r="57" spans="3:23" x14ac:dyDescent="0.15">
      <c r="D57" s="312"/>
      <c r="E57" s="70"/>
      <c r="H57" s="415"/>
      <c r="I57" s="415"/>
      <c r="J57" s="415"/>
      <c r="K57" s="415"/>
      <c r="L57" s="415"/>
      <c r="M57" s="415"/>
      <c r="N57" s="415"/>
      <c r="O57" s="415"/>
      <c r="P57" s="415"/>
      <c r="Q57" s="415"/>
      <c r="R57" s="415"/>
      <c r="S57" s="415"/>
      <c r="T57" s="415"/>
      <c r="U57" s="415"/>
      <c r="V57" s="415"/>
      <c r="W57" s="415"/>
    </row>
    <row r="58" spans="3:23" x14ac:dyDescent="0.15">
      <c r="C58" s="3" t="str">
        <f>"Tier-3 Manager Catch-up ("&amp;TEXT($L$20,"0%")&amp;" to Manager)"</f>
        <v>Tier-3 Manager Catch-up (100% to Manager)</v>
      </c>
    </row>
    <row r="59" spans="3:23" x14ac:dyDescent="0.15">
      <c r="C59" t="s">
        <v>334</v>
      </c>
      <c r="D59" s="312" t="s">
        <v>150</v>
      </c>
      <c r="E59" s="70"/>
      <c r="G59" s="415">
        <f>SUM($F$78:F$78)+G74+G75-SUM($G$37:G$37)</f>
        <v>-2676233.4004024141</v>
      </c>
      <c r="H59" s="415">
        <f>SUM($F$78:G$78)+H74+H75-SUM($G$37:H$37)</f>
        <v>-2640087.3350008391</v>
      </c>
      <c r="I59" s="415">
        <f>SUM($F$78:H$78)+I74+I75-SUM($G$37:I$37)</f>
        <v>-2421273.0130289132</v>
      </c>
      <c r="J59" s="415">
        <f>SUM($F$78:I$78)+J74+J75-SUM($G$37:J$37)</f>
        <v>-2309158.7990869558</v>
      </c>
      <c r="K59" s="415">
        <f>SUM($F$78:J$78)+K74+K75-SUM($G$37:K$37)</f>
        <v>-2187780.8298782958</v>
      </c>
      <c r="L59" s="415">
        <f>SUM($F$78:K$78)+L74+L75-SUM($G$37:L$37)</f>
        <v>-2056901.8607057096</v>
      </c>
      <c r="M59" s="415">
        <f>SUM($F$78:L$78)+M74+M75-SUM($G$37:M$37)</f>
        <v>-1916278.6027382342</v>
      </c>
      <c r="N59" s="415">
        <f>SUM($F$78:M$78)+N74+N75-SUM($G$37:N$37)</f>
        <v>-1765661.5696474933</v>
      </c>
      <c r="O59" s="415">
        <f>SUM($F$78:N$78)+O74+O75-SUM($G$37:O$37)</f>
        <v>-1604794.9203647319</v>
      </c>
      <c r="P59" s="415">
        <f>SUM($F$78:O$78)+P74+P75-SUM($G$37:P$37)</f>
        <v>-1433416.2978606625</v>
      </c>
      <c r="Q59" s="415">
        <f>SUM($F$78:P$78)+Q74+Q75-SUM($G$37:Q$37)</f>
        <v>2767307.2946015666</v>
      </c>
      <c r="R59" s="415">
        <f>SUM($F$78:Q$78)+R74+R75-SUM($G$37:R$37)</f>
        <v>2767307.2946015666</v>
      </c>
      <c r="S59" s="415">
        <f>SUM($F$78:R$78)+S74+S75-SUM($G$37:S$37)</f>
        <v>2767307.2946015666</v>
      </c>
      <c r="T59" s="415">
        <f>SUM($F$78:S$78)+T74+T75-SUM($G$37:T$37)</f>
        <v>2767307.2946015666</v>
      </c>
      <c r="U59" s="415">
        <f>SUM($F$78:T$78)+U74+U75-SUM($G$37:U$37)</f>
        <v>2767307.2946015666</v>
      </c>
      <c r="V59" s="415">
        <f>SUM($F$78:U$78)+V74+V75-SUM($G$37:V$37)</f>
        <v>2767307.2946015666</v>
      </c>
      <c r="W59" s="415">
        <f>SUM($F$78:V$78)+W74+W75-SUM($G$37:W$37)</f>
        <v>2767307.2946015666</v>
      </c>
    </row>
    <row r="60" spans="3:23" x14ac:dyDescent="0.15">
      <c r="C60" t="s">
        <v>335</v>
      </c>
      <c r="D60" s="312" t="s">
        <v>150</v>
      </c>
      <c r="E60" s="70"/>
      <c r="G60" s="68">
        <f>SUM($F$84:F$84)+G80+G81</f>
        <v>0</v>
      </c>
      <c r="H60" s="68">
        <f>SUM($F$84:G$84)+H80+H81</f>
        <v>0</v>
      </c>
      <c r="I60" s="68">
        <f>SUM($F$84:H$84)+I80+I81</f>
        <v>0</v>
      </c>
      <c r="J60" s="68">
        <f>SUM($F$84:I$84)+J80+J81</f>
        <v>0</v>
      </c>
      <c r="K60" s="68">
        <f>SUM($F$84:J$84)+K80+K81</f>
        <v>0</v>
      </c>
      <c r="L60" s="68">
        <f>SUM($F$84:K$84)+L80+L81</f>
        <v>0</v>
      </c>
      <c r="M60" s="68">
        <f>SUM($F$84:L$84)+M80+M81</f>
        <v>0</v>
      </c>
      <c r="N60" s="68">
        <f>SUM($F$84:M$84)+N80+N81</f>
        <v>0</v>
      </c>
      <c r="O60" s="68">
        <f>SUM($F$84:N$84)+O80+O81</f>
        <v>0</v>
      </c>
      <c r="P60" s="68">
        <f>SUM($F$84:O$84)+P80+P81</f>
        <v>0</v>
      </c>
      <c r="Q60" s="68">
        <f>SUM($F$84:P$84)+Q80+Q81</f>
        <v>0</v>
      </c>
      <c r="R60" s="68">
        <f>SUM($F$84:Q$84)+R80+R81</f>
        <v>0</v>
      </c>
      <c r="S60" s="68">
        <f>SUM($F$84:R$84)+S80+S81</f>
        <v>0</v>
      </c>
      <c r="T60" s="68">
        <f>SUM($F$84:S$84)+T80+T81</f>
        <v>0</v>
      </c>
      <c r="U60" s="68">
        <f>SUM($F$84:T$84)+U80+U81</f>
        <v>0</v>
      </c>
      <c r="V60" s="68">
        <f>SUM($F$84:U$84)+V80+V81</f>
        <v>0</v>
      </c>
      <c r="W60" s="68">
        <f>SUM($F$84:V$84)+W80+W81</f>
        <v>0</v>
      </c>
    </row>
    <row r="61" spans="3:23" x14ac:dyDescent="0.15">
      <c r="C61" t="s">
        <v>336</v>
      </c>
      <c r="D61" s="312" t="s">
        <v>260</v>
      </c>
      <c r="E61" s="107">
        <f>L25/L24</f>
        <v>0.42857142857142866</v>
      </c>
      <c r="G61" s="68">
        <f>MAX(0,G59)*$E$61</f>
        <v>0</v>
      </c>
      <c r="H61" s="68">
        <f t="shared" ref="H61:W61" si="19">MAX(0,H59)*$E$61</f>
        <v>0</v>
      </c>
      <c r="I61" s="68">
        <f t="shared" si="19"/>
        <v>0</v>
      </c>
      <c r="J61" s="68">
        <f t="shared" si="19"/>
        <v>0</v>
      </c>
      <c r="K61" s="68">
        <f t="shared" si="19"/>
        <v>0</v>
      </c>
      <c r="L61" s="68">
        <f t="shared" si="19"/>
        <v>0</v>
      </c>
      <c r="M61" s="68">
        <f t="shared" si="19"/>
        <v>0</v>
      </c>
      <c r="N61" s="68">
        <f t="shared" si="19"/>
        <v>0</v>
      </c>
      <c r="O61" s="68">
        <f t="shared" si="19"/>
        <v>0</v>
      </c>
      <c r="P61" s="68">
        <f t="shared" si="19"/>
        <v>0</v>
      </c>
      <c r="Q61" s="68">
        <f t="shared" si="19"/>
        <v>1185988.8405435288</v>
      </c>
      <c r="R61" s="68">
        <f t="shared" si="19"/>
        <v>1185988.8405435288</v>
      </c>
      <c r="S61" s="68">
        <f t="shared" si="19"/>
        <v>1185988.8405435288</v>
      </c>
      <c r="T61" s="68">
        <f t="shared" si="19"/>
        <v>1185988.8405435288</v>
      </c>
      <c r="U61" s="68">
        <f t="shared" si="19"/>
        <v>1185988.8405435288</v>
      </c>
      <c r="V61" s="68">
        <f t="shared" si="19"/>
        <v>1185988.8405435288</v>
      </c>
      <c r="W61" s="68">
        <f t="shared" si="19"/>
        <v>1185988.8405435288</v>
      </c>
    </row>
    <row r="62" spans="3:23" x14ac:dyDescent="0.15">
      <c r="C62" t="s">
        <v>337</v>
      </c>
      <c r="D62" s="312" t="s">
        <v>150</v>
      </c>
      <c r="E62" s="70"/>
      <c r="G62" s="68">
        <f>IFERROR(MAX(0,G61-G60)/($L$20-$E$61*$L$21),0)</f>
        <v>0</v>
      </c>
      <c r="H62" s="68">
        <f t="shared" ref="H62:W62" si="20">IFERROR(MAX(0,H61-H60)/($L$20-$E$61*$L$21),0)</f>
        <v>0</v>
      </c>
      <c r="I62" s="68">
        <f t="shared" si="20"/>
        <v>0</v>
      </c>
      <c r="J62" s="68">
        <f t="shared" si="20"/>
        <v>0</v>
      </c>
      <c r="K62" s="68">
        <f t="shared" si="20"/>
        <v>0</v>
      </c>
      <c r="L62" s="68">
        <f t="shared" si="20"/>
        <v>0</v>
      </c>
      <c r="M62" s="68">
        <f t="shared" si="20"/>
        <v>0</v>
      </c>
      <c r="N62" s="68">
        <f t="shared" si="20"/>
        <v>0</v>
      </c>
      <c r="O62" s="68">
        <f t="shared" si="20"/>
        <v>0</v>
      </c>
      <c r="P62" s="68">
        <f t="shared" si="20"/>
        <v>0</v>
      </c>
      <c r="Q62" s="68">
        <f t="shared" si="20"/>
        <v>1185988.8405435288</v>
      </c>
      <c r="R62" s="68">
        <f t="shared" si="20"/>
        <v>1185988.8405435288</v>
      </c>
      <c r="S62" s="68">
        <f t="shared" si="20"/>
        <v>1185988.8405435288</v>
      </c>
      <c r="T62" s="68">
        <f t="shared" si="20"/>
        <v>1185988.8405435288</v>
      </c>
      <c r="U62" s="68">
        <f t="shared" si="20"/>
        <v>1185988.8405435288</v>
      </c>
      <c r="V62" s="68">
        <f t="shared" si="20"/>
        <v>1185988.8405435288</v>
      </c>
      <c r="W62" s="68">
        <f t="shared" si="20"/>
        <v>1185988.8405435288</v>
      </c>
    </row>
    <row r="63" spans="3:23" x14ac:dyDescent="0.15">
      <c r="C63" t="s">
        <v>338</v>
      </c>
      <c r="D63" s="312" t="s">
        <v>150</v>
      </c>
      <c r="E63" s="70"/>
      <c r="G63" s="68">
        <f>MIN(G56,MAX(0,G62))</f>
        <v>0</v>
      </c>
      <c r="H63" s="68">
        <f t="shared" ref="H63:W63" si="21">MIN(H56,MAX(0,H62))</f>
        <v>0</v>
      </c>
      <c r="I63" s="68">
        <f t="shared" si="21"/>
        <v>0</v>
      </c>
      <c r="J63" s="68">
        <f t="shared" si="21"/>
        <v>0</v>
      </c>
      <c r="K63" s="68">
        <f t="shared" si="21"/>
        <v>0</v>
      </c>
      <c r="L63" s="68">
        <f t="shared" si="21"/>
        <v>0</v>
      </c>
      <c r="M63" s="68">
        <f t="shared" si="21"/>
        <v>0</v>
      </c>
      <c r="N63" s="68">
        <f t="shared" si="21"/>
        <v>0</v>
      </c>
      <c r="O63" s="68">
        <f t="shared" si="21"/>
        <v>0</v>
      </c>
      <c r="P63" s="68">
        <f t="shared" si="21"/>
        <v>0</v>
      </c>
      <c r="Q63" s="68">
        <f t="shared" si="21"/>
        <v>0</v>
      </c>
      <c r="R63" s="68">
        <f t="shared" si="21"/>
        <v>0</v>
      </c>
      <c r="S63" s="68">
        <f t="shared" si="21"/>
        <v>0</v>
      </c>
      <c r="T63" s="68">
        <f t="shared" si="21"/>
        <v>0</v>
      </c>
      <c r="U63" s="68">
        <f t="shared" si="21"/>
        <v>0</v>
      </c>
      <c r="V63" s="68">
        <f t="shared" si="21"/>
        <v>0</v>
      </c>
      <c r="W63" s="68">
        <f t="shared" si="21"/>
        <v>0</v>
      </c>
    </row>
    <row r="64" spans="3:23" x14ac:dyDescent="0.15">
      <c r="C64" t="s">
        <v>339</v>
      </c>
      <c r="D64" s="312" t="s">
        <v>150</v>
      </c>
      <c r="E64" s="70">
        <f>+L21</f>
        <v>0</v>
      </c>
      <c r="G64" s="68">
        <f>G63*$E$64</f>
        <v>0</v>
      </c>
      <c r="H64" s="68">
        <f t="shared" ref="H64:W64" si="22">H63*$E$64</f>
        <v>0</v>
      </c>
      <c r="I64" s="68">
        <f t="shared" si="22"/>
        <v>0</v>
      </c>
      <c r="J64" s="68">
        <f t="shared" si="22"/>
        <v>0</v>
      </c>
      <c r="K64" s="68">
        <f t="shared" si="22"/>
        <v>0</v>
      </c>
      <c r="L64" s="68">
        <f t="shared" si="22"/>
        <v>0</v>
      </c>
      <c r="M64" s="68">
        <f t="shared" si="22"/>
        <v>0</v>
      </c>
      <c r="N64" s="68">
        <f t="shared" si="22"/>
        <v>0</v>
      </c>
      <c r="O64" s="68">
        <f t="shared" si="22"/>
        <v>0</v>
      </c>
      <c r="P64" s="68">
        <f t="shared" si="22"/>
        <v>0</v>
      </c>
      <c r="Q64" s="68">
        <f t="shared" si="22"/>
        <v>0</v>
      </c>
      <c r="R64" s="68">
        <f t="shared" si="22"/>
        <v>0</v>
      </c>
      <c r="S64" s="68">
        <f t="shared" si="22"/>
        <v>0</v>
      </c>
      <c r="T64" s="68">
        <f t="shared" si="22"/>
        <v>0</v>
      </c>
      <c r="U64" s="68">
        <f t="shared" si="22"/>
        <v>0</v>
      </c>
      <c r="V64" s="68">
        <f t="shared" si="22"/>
        <v>0</v>
      </c>
      <c r="W64" s="68">
        <f t="shared" si="22"/>
        <v>0</v>
      </c>
    </row>
    <row r="65" spans="3:23" x14ac:dyDescent="0.15">
      <c r="C65" s="315" t="s">
        <v>340</v>
      </c>
      <c r="D65" s="314" t="s">
        <v>150</v>
      </c>
      <c r="E65" s="429">
        <f>+L20</f>
        <v>1</v>
      </c>
      <c r="F65" s="315"/>
      <c r="G65" s="430">
        <f>G63*$E$65</f>
        <v>0</v>
      </c>
      <c r="H65" s="430">
        <f t="shared" ref="H65:W65" si="23">H63*$E$65</f>
        <v>0</v>
      </c>
      <c r="I65" s="430">
        <f t="shared" si="23"/>
        <v>0</v>
      </c>
      <c r="J65" s="430">
        <f t="shared" si="23"/>
        <v>0</v>
      </c>
      <c r="K65" s="430">
        <f t="shared" si="23"/>
        <v>0</v>
      </c>
      <c r="L65" s="430">
        <f t="shared" si="23"/>
        <v>0</v>
      </c>
      <c r="M65" s="430">
        <f t="shared" si="23"/>
        <v>0</v>
      </c>
      <c r="N65" s="430">
        <f t="shared" si="23"/>
        <v>0</v>
      </c>
      <c r="O65" s="430">
        <f t="shared" si="23"/>
        <v>0</v>
      </c>
      <c r="P65" s="430">
        <f t="shared" si="23"/>
        <v>0</v>
      </c>
      <c r="Q65" s="430">
        <f t="shared" si="23"/>
        <v>0</v>
      </c>
      <c r="R65" s="430">
        <f t="shared" si="23"/>
        <v>0</v>
      </c>
      <c r="S65" s="430">
        <f t="shared" si="23"/>
        <v>0</v>
      </c>
      <c r="T65" s="430">
        <f t="shared" si="23"/>
        <v>0</v>
      </c>
      <c r="U65" s="430">
        <f t="shared" si="23"/>
        <v>0</v>
      </c>
      <c r="V65" s="430">
        <f t="shared" si="23"/>
        <v>0</v>
      </c>
      <c r="W65" s="430">
        <f t="shared" si="23"/>
        <v>0</v>
      </c>
    </row>
    <row r="66" spans="3:23" x14ac:dyDescent="0.15">
      <c r="C66" s="3" t="s">
        <v>341</v>
      </c>
      <c r="D66" s="420" t="s">
        <v>150</v>
      </c>
      <c r="E66" s="3"/>
      <c r="F66" s="3"/>
      <c r="G66" s="421">
        <f>G56-G63</f>
        <v>0</v>
      </c>
      <c r="H66" s="421">
        <f t="shared" ref="H66:W66" si="24">H56-H63</f>
        <v>0</v>
      </c>
      <c r="I66" s="421">
        <f t="shared" si="24"/>
        <v>0</v>
      </c>
      <c r="J66" s="421">
        <f t="shared" si="24"/>
        <v>0</v>
      </c>
      <c r="K66" s="421">
        <f t="shared" si="24"/>
        <v>0</v>
      </c>
      <c r="L66" s="421">
        <f t="shared" si="24"/>
        <v>0</v>
      </c>
      <c r="M66" s="421">
        <f t="shared" si="24"/>
        <v>0</v>
      </c>
      <c r="N66" s="421">
        <f t="shared" si="24"/>
        <v>0</v>
      </c>
      <c r="O66" s="421">
        <f t="shared" si="24"/>
        <v>0</v>
      </c>
      <c r="P66" s="421">
        <f t="shared" si="24"/>
        <v>0</v>
      </c>
      <c r="Q66" s="421">
        <f t="shared" si="24"/>
        <v>0</v>
      </c>
      <c r="R66" s="421">
        <f t="shared" si="24"/>
        <v>0</v>
      </c>
      <c r="S66" s="421">
        <f t="shared" si="24"/>
        <v>0</v>
      </c>
      <c r="T66" s="421">
        <f t="shared" si="24"/>
        <v>0</v>
      </c>
      <c r="U66" s="421">
        <f t="shared" si="24"/>
        <v>0</v>
      </c>
      <c r="V66" s="421">
        <f t="shared" si="24"/>
        <v>0</v>
      </c>
      <c r="W66" s="421">
        <f t="shared" si="24"/>
        <v>0</v>
      </c>
    </row>
    <row r="67" spans="3:23" x14ac:dyDescent="0.15">
      <c r="D67" s="312"/>
      <c r="E67" s="70"/>
      <c r="H67" s="415"/>
      <c r="I67" s="415"/>
      <c r="J67" s="415"/>
      <c r="K67" s="415"/>
      <c r="L67" s="415"/>
      <c r="M67" s="415"/>
      <c r="N67" s="415"/>
      <c r="O67" s="415"/>
      <c r="P67" s="415"/>
      <c r="Q67" s="415"/>
      <c r="R67" s="415"/>
      <c r="S67" s="415"/>
      <c r="T67" s="415"/>
      <c r="U67" s="415"/>
      <c r="V67" s="415"/>
      <c r="W67" s="415"/>
    </row>
    <row r="68" spans="3:23" x14ac:dyDescent="0.15">
      <c r="C68" s="3" t="str">
        <f>"Tier-4 Final Split ("&amp;TEXT($L$24,"0%")&amp;" Investors / "&amp;TEXT($L$25,"0%")&amp;" Manager)"</f>
        <v>Tier-4 Final Split (70% Investors / 30% Manager)</v>
      </c>
    </row>
    <row r="69" spans="3:23" x14ac:dyDescent="0.15">
      <c r="C69" t="s">
        <v>342</v>
      </c>
      <c r="D69" s="312" t="s">
        <v>150</v>
      </c>
      <c r="E69" s="70">
        <f>+L24</f>
        <v>0.7</v>
      </c>
      <c r="G69" s="415">
        <f>G66*$E$69</f>
        <v>0</v>
      </c>
      <c r="H69" s="415">
        <f t="shared" ref="H69:W69" si="25">H66*$E$69</f>
        <v>0</v>
      </c>
      <c r="I69" s="415">
        <f t="shared" si="25"/>
        <v>0</v>
      </c>
      <c r="J69" s="415">
        <f t="shared" si="25"/>
        <v>0</v>
      </c>
      <c r="K69" s="415">
        <f t="shared" si="25"/>
        <v>0</v>
      </c>
      <c r="L69" s="415">
        <f t="shared" si="25"/>
        <v>0</v>
      </c>
      <c r="M69" s="415">
        <f t="shared" si="25"/>
        <v>0</v>
      </c>
      <c r="N69" s="415">
        <f t="shared" si="25"/>
        <v>0</v>
      </c>
      <c r="O69" s="415">
        <f t="shared" si="25"/>
        <v>0</v>
      </c>
      <c r="P69" s="415">
        <f t="shared" si="25"/>
        <v>0</v>
      </c>
      <c r="Q69" s="415">
        <f t="shared" si="25"/>
        <v>0</v>
      </c>
      <c r="R69" s="415">
        <f t="shared" si="25"/>
        <v>0</v>
      </c>
      <c r="S69" s="415">
        <f t="shared" si="25"/>
        <v>0</v>
      </c>
      <c r="T69" s="415">
        <f t="shared" si="25"/>
        <v>0</v>
      </c>
      <c r="U69" s="415">
        <f t="shared" si="25"/>
        <v>0</v>
      </c>
      <c r="V69" s="415">
        <f t="shared" si="25"/>
        <v>0</v>
      </c>
      <c r="W69" s="415">
        <f t="shared" si="25"/>
        <v>0</v>
      </c>
    </row>
    <row r="70" spans="3:23" x14ac:dyDescent="0.15">
      <c r="C70" t="s">
        <v>343</v>
      </c>
      <c r="D70" s="312" t="s">
        <v>150</v>
      </c>
      <c r="E70" s="70">
        <f>+L25</f>
        <v>0.30000000000000004</v>
      </c>
      <c r="G70" s="415">
        <f>G66*$E$70</f>
        <v>0</v>
      </c>
      <c r="H70" s="415">
        <f t="shared" ref="H70:W70" si="26">H66*$E$70</f>
        <v>0</v>
      </c>
      <c r="I70" s="415">
        <f t="shared" si="26"/>
        <v>0</v>
      </c>
      <c r="J70" s="415">
        <f t="shared" si="26"/>
        <v>0</v>
      </c>
      <c r="K70" s="415">
        <f t="shared" si="26"/>
        <v>0</v>
      </c>
      <c r="L70" s="415">
        <f t="shared" si="26"/>
        <v>0</v>
      </c>
      <c r="M70" s="415">
        <f t="shared" si="26"/>
        <v>0</v>
      </c>
      <c r="N70" s="415">
        <f t="shared" si="26"/>
        <v>0</v>
      </c>
      <c r="O70" s="415">
        <f t="shared" si="26"/>
        <v>0</v>
      </c>
      <c r="P70" s="415">
        <f t="shared" si="26"/>
        <v>0</v>
      </c>
      <c r="Q70" s="415">
        <f t="shared" si="26"/>
        <v>0</v>
      </c>
      <c r="R70" s="415">
        <f t="shared" si="26"/>
        <v>0</v>
      </c>
      <c r="S70" s="415">
        <f t="shared" si="26"/>
        <v>0</v>
      </c>
      <c r="T70" s="415">
        <f t="shared" si="26"/>
        <v>0</v>
      </c>
      <c r="U70" s="415">
        <f t="shared" si="26"/>
        <v>0</v>
      </c>
      <c r="V70" s="415">
        <f t="shared" si="26"/>
        <v>0</v>
      </c>
      <c r="W70" s="415">
        <f t="shared" si="26"/>
        <v>0</v>
      </c>
    </row>
    <row r="71" spans="3:23" x14ac:dyDescent="0.15">
      <c r="D71" s="312"/>
      <c r="E71" s="70"/>
      <c r="H71" s="415"/>
      <c r="I71" s="415"/>
      <c r="J71" s="415"/>
      <c r="K71" s="415"/>
      <c r="L71" s="415"/>
      <c r="M71" s="415"/>
      <c r="N71" s="415"/>
      <c r="O71" s="415"/>
      <c r="P71" s="415"/>
      <c r="Q71" s="415"/>
      <c r="R71" s="415"/>
      <c r="S71" s="415"/>
      <c r="T71" s="415"/>
      <c r="U71" s="415"/>
      <c r="V71" s="415"/>
      <c r="W71" s="415"/>
    </row>
    <row r="72" spans="3:23" x14ac:dyDescent="0.15">
      <c r="C72" s="3" t="s">
        <v>344</v>
      </c>
    </row>
    <row r="73" spans="3:23" x14ac:dyDescent="0.15">
      <c r="D73" s="312"/>
      <c r="E73" s="70"/>
      <c r="H73" s="415"/>
      <c r="I73" s="415"/>
      <c r="J73" s="415"/>
      <c r="K73" s="415"/>
      <c r="L73" s="415"/>
      <c r="M73" s="415"/>
      <c r="N73" s="415"/>
      <c r="O73" s="415"/>
      <c r="P73" s="415"/>
      <c r="Q73" s="415"/>
      <c r="R73" s="415"/>
      <c r="S73" s="415"/>
      <c r="T73" s="415"/>
      <c r="U73" s="415"/>
      <c r="V73" s="415"/>
      <c r="W73" s="415"/>
    </row>
    <row r="74" spans="3:23" x14ac:dyDescent="0.15">
      <c r="C74" t="s">
        <v>345</v>
      </c>
      <c r="D74" s="312" t="s">
        <v>150</v>
      </c>
      <c r="E74" s="70"/>
      <c r="G74" s="434">
        <f>-G$39</f>
        <v>0</v>
      </c>
      <c r="H74" s="415">
        <f t="shared" ref="H74:W74" si="27">-H$39</f>
        <v>36146.065401575295</v>
      </c>
      <c r="I74" s="415">
        <f t="shared" si="27"/>
        <v>218814.32197192544</v>
      </c>
      <c r="J74" s="415">
        <f t="shared" si="27"/>
        <v>112114.21394195739</v>
      </c>
      <c r="K74" s="415">
        <f t="shared" si="27"/>
        <v>121377.96920866042</v>
      </c>
      <c r="L74" s="415">
        <f t="shared" si="27"/>
        <v>130878.96917258596</v>
      </c>
      <c r="M74" s="415">
        <f t="shared" si="27"/>
        <v>140623.25796747548</v>
      </c>
      <c r="N74" s="415">
        <f t="shared" si="27"/>
        <v>150617.03309074097</v>
      </c>
      <c r="O74" s="415">
        <f t="shared" si="27"/>
        <v>160866.64928276147</v>
      </c>
      <c r="P74" s="415">
        <f t="shared" si="27"/>
        <v>171378.62250406947</v>
      </c>
      <c r="Q74" s="415">
        <f t="shared" si="27"/>
        <v>3969686.9621898793</v>
      </c>
      <c r="R74" s="415">
        <f t="shared" si="27"/>
        <v>0</v>
      </c>
      <c r="S74" s="415">
        <f t="shared" si="27"/>
        <v>0</v>
      </c>
      <c r="T74" s="415">
        <f t="shared" si="27"/>
        <v>0</v>
      </c>
      <c r="U74" s="415">
        <f t="shared" si="27"/>
        <v>0</v>
      </c>
      <c r="V74" s="415">
        <f t="shared" si="27"/>
        <v>0</v>
      </c>
      <c r="W74" s="415">
        <f t="shared" si="27"/>
        <v>0</v>
      </c>
    </row>
    <row r="75" spans="3:23" x14ac:dyDescent="0.15">
      <c r="C75" t="s">
        <v>346</v>
      </c>
      <c r="D75" s="312" t="s">
        <v>150</v>
      </c>
      <c r="E75" s="70"/>
      <c r="G75" s="427">
        <f>G$54</f>
        <v>0</v>
      </c>
      <c r="H75" s="427">
        <f t="shared" ref="H75:W75" si="28">H$54</f>
        <v>0</v>
      </c>
      <c r="I75" s="427">
        <f t="shared" si="28"/>
        <v>0</v>
      </c>
      <c r="J75" s="427">
        <f t="shared" si="28"/>
        <v>0</v>
      </c>
      <c r="K75" s="427">
        <f t="shared" si="28"/>
        <v>0</v>
      </c>
      <c r="L75" s="427">
        <f t="shared" si="28"/>
        <v>0</v>
      </c>
      <c r="M75" s="427">
        <f t="shared" si="28"/>
        <v>0</v>
      </c>
      <c r="N75" s="427">
        <f t="shared" si="28"/>
        <v>0</v>
      </c>
      <c r="O75" s="427">
        <f t="shared" si="28"/>
        <v>0</v>
      </c>
      <c r="P75" s="427">
        <f t="shared" si="28"/>
        <v>0</v>
      </c>
      <c r="Q75" s="427">
        <f t="shared" si="28"/>
        <v>231036.63027234934</v>
      </c>
      <c r="R75" s="427">
        <f t="shared" si="28"/>
        <v>0</v>
      </c>
      <c r="S75" s="427">
        <f t="shared" si="28"/>
        <v>0</v>
      </c>
      <c r="T75" s="427">
        <f t="shared" si="28"/>
        <v>0</v>
      </c>
      <c r="U75" s="427">
        <f t="shared" si="28"/>
        <v>0</v>
      </c>
      <c r="V75" s="427">
        <f t="shared" si="28"/>
        <v>0</v>
      </c>
      <c r="W75" s="427">
        <f t="shared" si="28"/>
        <v>0</v>
      </c>
    </row>
    <row r="76" spans="3:23" x14ac:dyDescent="0.15">
      <c r="C76" t="s">
        <v>347</v>
      </c>
      <c r="D76" s="312" t="s">
        <v>150</v>
      </c>
      <c r="E76" s="70"/>
      <c r="G76" s="427">
        <f>G$64</f>
        <v>0</v>
      </c>
      <c r="H76" s="427">
        <f t="shared" ref="H76:W76" si="29">H$64</f>
        <v>0</v>
      </c>
      <c r="I76" s="427">
        <f t="shared" si="29"/>
        <v>0</v>
      </c>
      <c r="J76" s="427">
        <f t="shared" si="29"/>
        <v>0</v>
      </c>
      <c r="K76" s="427">
        <f t="shared" si="29"/>
        <v>0</v>
      </c>
      <c r="L76" s="427">
        <f t="shared" si="29"/>
        <v>0</v>
      </c>
      <c r="M76" s="427">
        <f t="shared" si="29"/>
        <v>0</v>
      </c>
      <c r="N76" s="427">
        <f t="shared" si="29"/>
        <v>0</v>
      </c>
      <c r="O76" s="427">
        <f t="shared" si="29"/>
        <v>0</v>
      </c>
      <c r="P76" s="427">
        <f t="shared" si="29"/>
        <v>0</v>
      </c>
      <c r="Q76" s="427">
        <f t="shared" si="29"/>
        <v>0</v>
      </c>
      <c r="R76" s="427">
        <f t="shared" si="29"/>
        <v>0</v>
      </c>
      <c r="S76" s="427">
        <f t="shared" si="29"/>
        <v>0</v>
      </c>
      <c r="T76" s="427">
        <f t="shared" si="29"/>
        <v>0</v>
      </c>
      <c r="U76" s="427">
        <f t="shared" si="29"/>
        <v>0</v>
      </c>
      <c r="V76" s="427">
        <f t="shared" si="29"/>
        <v>0</v>
      </c>
      <c r="W76" s="427">
        <f t="shared" si="29"/>
        <v>0</v>
      </c>
    </row>
    <row r="77" spans="3:23" x14ac:dyDescent="0.15">
      <c r="C77" s="315" t="s">
        <v>348</v>
      </c>
      <c r="D77" s="314" t="s">
        <v>150</v>
      </c>
      <c r="E77" s="429"/>
      <c r="F77" s="315"/>
      <c r="G77" s="428">
        <f>G$69</f>
        <v>0</v>
      </c>
      <c r="H77" s="428">
        <f t="shared" ref="H77:W77" si="30">H$69</f>
        <v>0</v>
      </c>
      <c r="I77" s="428">
        <f t="shared" si="30"/>
        <v>0</v>
      </c>
      <c r="J77" s="428">
        <f t="shared" si="30"/>
        <v>0</v>
      </c>
      <c r="K77" s="428">
        <f t="shared" si="30"/>
        <v>0</v>
      </c>
      <c r="L77" s="428">
        <f t="shared" si="30"/>
        <v>0</v>
      </c>
      <c r="M77" s="428">
        <f t="shared" si="30"/>
        <v>0</v>
      </c>
      <c r="N77" s="428">
        <f t="shared" si="30"/>
        <v>0</v>
      </c>
      <c r="O77" s="428">
        <f t="shared" si="30"/>
        <v>0</v>
      </c>
      <c r="P77" s="428">
        <f t="shared" si="30"/>
        <v>0</v>
      </c>
      <c r="Q77" s="428">
        <f t="shared" si="30"/>
        <v>0</v>
      </c>
      <c r="R77" s="428">
        <f t="shared" si="30"/>
        <v>0</v>
      </c>
      <c r="S77" s="428">
        <f t="shared" si="30"/>
        <v>0</v>
      </c>
      <c r="T77" s="428">
        <f t="shared" si="30"/>
        <v>0</v>
      </c>
      <c r="U77" s="428">
        <f t="shared" si="30"/>
        <v>0</v>
      </c>
      <c r="V77" s="428">
        <f t="shared" si="30"/>
        <v>0</v>
      </c>
      <c r="W77" s="428">
        <f t="shared" si="30"/>
        <v>0</v>
      </c>
    </row>
    <row r="78" spans="3:23" x14ac:dyDescent="0.15">
      <c r="C78" s="3" t="s">
        <v>349</v>
      </c>
      <c r="D78" s="420" t="s">
        <v>150</v>
      </c>
      <c r="E78" s="3"/>
      <c r="F78" s="3"/>
      <c r="G78" s="421">
        <f>SUM(G74:G77)</f>
        <v>0</v>
      </c>
      <c r="H78" s="421">
        <f t="shared" ref="H78:W78" si="31">SUM(H74:H77)</f>
        <v>36146.065401575295</v>
      </c>
      <c r="I78" s="421">
        <f t="shared" si="31"/>
        <v>218814.32197192544</v>
      </c>
      <c r="J78" s="421">
        <f t="shared" si="31"/>
        <v>112114.21394195739</v>
      </c>
      <c r="K78" s="421">
        <f t="shared" si="31"/>
        <v>121377.96920866042</v>
      </c>
      <c r="L78" s="421">
        <f t="shared" si="31"/>
        <v>130878.96917258596</v>
      </c>
      <c r="M78" s="421">
        <f t="shared" si="31"/>
        <v>140623.25796747548</v>
      </c>
      <c r="N78" s="421">
        <f t="shared" si="31"/>
        <v>150617.03309074097</v>
      </c>
      <c r="O78" s="421">
        <f t="shared" si="31"/>
        <v>160866.64928276147</v>
      </c>
      <c r="P78" s="421">
        <f t="shared" si="31"/>
        <v>171378.62250406947</v>
      </c>
      <c r="Q78" s="421">
        <f t="shared" si="31"/>
        <v>4200723.5924622286</v>
      </c>
      <c r="R78" s="421">
        <f t="shared" si="31"/>
        <v>0</v>
      </c>
      <c r="S78" s="421">
        <f t="shared" si="31"/>
        <v>0</v>
      </c>
      <c r="T78" s="421">
        <f t="shared" si="31"/>
        <v>0</v>
      </c>
      <c r="U78" s="421">
        <f t="shared" si="31"/>
        <v>0</v>
      </c>
      <c r="V78" s="421">
        <f t="shared" si="31"/>
        <v>0</v>
      </c>
      <c r="W78" s="421">
        <f t="shared" si="31"/>
        <v>0</v>
      </c>
    </row>
    <row r="79" spans="3:23" x14ac:dyDescent="0.15">
      <c r="D79" s="312"/>
      <c r="E79" s="70"/>
      <c r="H79" s="415"/>
      <c r="I79" s="415"/>
      <c r="J79" s="415"/>
      <c r="K79" s="415"/>
      <c r="L79" s="415"/>
      <c r="M79" s="415"/>
      <c r="N79" s="415"/>
      <c r="O79" s="415"/>
      <c r="P79" s="415"/>
      <c r="Q79" s="415"/>
      <c r="R79" s="415"/>
      <c r="S79" s="415"/>
      <c r="T79" s="415"/>
      <c r="U79" s="415"/>
      <c r="V79" s="415"/>
      <c r="W79" s="415"/>
    </row>
    <row r="80" spans="3:23" x14ac:dyDescent="0.15">
      <c r="C80" t="s">
        <v>350</v>
      </c>
      <c r="D80" s="312" t="s">
        <v>150</v>
      </c>
      <c r="E80" s="70"/>
      <c r="G80" s="434">
        <f>IFERROR(-G$39/$E$39,0)*(1-$E$39)</f>
        <v>0</v>
      </c>
      <c r="H80" s="434">
        <f t="shared" ref="H80:W80" si="32">IFERROR(-H$39/$E$39,0)*(1-$E$39)</f>
        <v>0</v>
      </c>
      <c r="I80" s="434">
        <f t="shared" si="32"/>
        <v>0</v>
      </c>
      <c r="J80" s="434">
        <f t="shared" si="32"/>
        <v>0</v>
      </c>
      <c r="K80" s="434">
        <f t="shared" si="32"/>
        <v>0</v>
      </c>
      <c r="L80" s="434">
        <f t="shared" si="32"/>
        <v>0</v>
      </c>
      <c r="M80" s="434">
        <f t="shared" si="32"/>
        <v>0</v>
      </c>
      <c r="N80" s="434">
        <f t="shared" si="32"/>
        <v>0</v>
      </c>
      <c r="O80" s="434">
        <f t="shared" si="32"/>
        <v>0</v>
      </c>
      <c r="P80" s="434">
        <f t="shared" si="32"/>
        <v>0</v>
      </c>
      <c r="Q80" s="434">
        <f t="shared" si="32"/>
        <v>0</v>
      </c>
      <c r="R80" s="434">
        <f t="shared" si="32"/>
        <v>0</v>
      </c>
      <c r="S80" s="434">
        <f t="shared" si="32"/>
        <v>0</v>
      </c>
      <c r="T80" s="434">
        <f t="shared" si="32"/>
        <v>0</v>
      </c>
      <c r="U80" s="434">
        <f t="shared" si="32"/>
        <v>0</v>
      </c>
      <c r="V80" s="434">
        <f t="shared" si="32"/>
        <v>0</v>
      </c>
      <c r="W80" s="434">
        <f t="shared" si="32"/>
        <v>0</v>
      </c>
    </row>
    <row r="81" spans="3:23" x14ac:dyDescent="0.15">
      <c r="C81" t="s">
        <v>351</v>
      </c>
      <c r="D81" s="312" t="s">
        <v>150</v>
      </c>
      <c r="E81" s="70"/>
      <c r="G81" s="432">
        <f>G$55</f>
        <v>0</v>
      </c>
      <c r="H81" s="435">
        <f t="shared" ref="H81:W81" si="33">H$55</f>
        <v>0</v>
      </c>
      <c r="I81" s="435">
        <f t="shared" si="33"/>
        <v>0</v>
      </c>
      <c r="J81" s="435">
        <f t="shared" si="33"/>
        <v>0</v>
      </c>
      <c r="K81" s="435">
        <f t="shared" si="33"/>
        <v>0</v>
      </c>
      <c r="L81" s="435">
        <f t="shared" si="33"/>
        <v>0</v>
      </c>
      <c r="M81" s="435">
        <f t="shared" si="33"/>
        <v>0</v>
      </c>
      <c r="N81" s="435">
        <f t="shared" si="33"/>
        <v>0</v>
      </c>
      <c r="O81" s="435">
        <f t="shared" si="33"/>
        <v>0</v>
      </c>
      <c r="P81" s="435">
        <f t="shared" si="33"/>
        <v>0</v>
      </c>
      <c r="Q81" s="435">
        <f t="shared" si="33"/>
        <v>0</v>
      </c>
      <c r="R81" s="435">
        <f t="shared" si="33"/>
        <v>0</v>
      </c>
      <c r="S81" s="435">
        <f t="shared" si="33"/>
        <v>0</v>
      </c>
      <c r="T81" s="435">
        <f t="shared" si="33"/>
        <v>0</v>
      </c>
      <c r="U81" s="435">
        <f t="shared" si="33"/>
        <v>0</v>
      </c>
      <c r="V81" s="435">
        <f t="shared" si="33"/>
        <v>0</v>
      </c>
      <c r="W81" s="435">
        <f t="shared" si="33"/>
        <v>0</v>
      </c>
    </row>
    <row r="82" spans="3:23" x14ac:dyDescent="0.15">
      <c r="C82" t="s">
        <v>352</v>
      </c>
      <c r="D82" s="312" t="s">
        <v>150</v>
      </c>
      <c r="E82" s="70"/>
      <c r="G82" s="432">
        <f>G$65</f>
        <v>0</v>
      </c>
      <c r="H82" s="435">
        <f t="shared" ref="H82:W82" si="34">H$65</f>
        <v>0</v>
      </c>
      <c r="I82" s="435">
        <f t="shared" si="34"/>
        <v>0</v>
      </c>
      <c r="J82" s="435">
        <f t="shared" si="34"/>
        <v>0</v>
      </c>
      <c r="K82" s="435">
        <f t="shared" si="34"/>
        <v>0</v>
      </c>
      <c r="L82" s="435">
        <f t="shared" si="34"/>
        <v>0</v>
      </c>
      <c r="M82" s="435">
        <f t="shared" si="34"/>
        <v>0</v>
      </c>
      <c r="N82" s="435">
        <f t="shared" si="34"/>
        <v>0</v>
      </c>
      <c r="O82" s="435">
        <f t="shared" si="34"/>
        <v>0</v>
      </c>
      <c r="P82" s="435">
        <f t="shared" si="34"/>
        <v>0</v>
      </c>
      <c r="Q82" s="435">
        <f t="shared" si="34"/>
        <v>0</v>
      </c>
      <c r="R82" s="435">
        <f t="shared" si="34"/>
        <v>0</v>
      </c>
      <c r="S82" s="435">
        <f t="shared" si="34"/>
        <v>0</v>
      </c>
      <c r="T82" s="435">
        <f t="shared" si="34"/>
        <v>0</v>
      </c>
      <c r="U82" s="435">
        <f t="shared" si="34"/>
        <v>0</v>
      </c>
      <c r="V82" s="435">
        <f t="shared" si="34"/>
        <v>0</v>
      </c>
      <c r="W82" s="435">
        <f t="shared" si="34"/>
        <v>0</v>
      </c>
    </row>
    <row r="83" spans="3:23" x14ac:dyDescent="0.15">
      <c r="C83" t="s">
        <v>353</v>
      </c>
      <c r="D83" s="312" t="s">
        <v>150</v>
      </c>
      <c r="E83" s="70"/>
      <c r="G83" s="432">
        <f>G$70</f>
        <v>0</v>
      </c>
      <c r="H83" s="435">
        <f t="shared" ref="H83:W83" si="35">H$70</f>
        <v>0</v>
      </c>
      <c r="I83" s="435">
        <f t="shared" si="35"/>
        <v>0</v>
      </c>
      <c r="J83" s="435">
        <f t="shared" si="35"/>
        <v>0</v>
      </c>
      <c r="K83" s="435">
        <f t="shared" si="35"/>
        <v>0</v>
      </c>
      <c r="L83" s="435">
        <f t="shared" si="35"/>
        <v>0</v>
      </c>
      <c r="M83" s="435">
        <f t="shared" si="35"/>
        <v>0</v>
      </c>
      <c r="N83" s="435">
        <f t="shared" si="35"/>
        <v>0</v>
      </c>
      <c r="O83" s="435">
        <f t="shared" si="35"/>
        <v>0</v>
      </c>
      <c r="P83" s="435">
        <f t="shared" si="35"/>
        <v>0</v>
      </c>
      <c r="Q83" s="435">
        <f t="shared" si="35"/>
        <v>0</v>
      </c>
      <c r="R83" s="435">
        <f t="shared" si="35"/>
        <v>0</v>
      </c>
      <c r="S83" s="435">
        <f t="shared" si="35"/>
        <v>0</v>
      </c>
      <c r="T83" s="435">
        <f t="shared" si="35"/>
        <v>0</v>
      </c>
      <c r="U83" s="435">
        <f t="shared" si="35"/>
        <v>0</v>
      </c>
      <c r="V83" s="435">
        <f t="shared" si="35"/>
        <v>0</v>
      </c>
      <c r="W83" s="435">
        <f t="shared" si="35"/>
        <v>0</v>
      </c>
    </row>
    <row r="84" spans="3:23" x14ac:dyDescent="0.15">
      <c r="C84" s="3" t="s">
        <v>354</v>
      </c>
      <c r="D84" s="420" t="s">
        <v>150</v>
      </c>
      <c r="E84" s="3"/>
      <c r="F84" s="3"/>
      <c r="G84" s="421">
        <f>SUM(G80:G83)</f>
        <v>0</v>
      </c>
      <c r="H84" s="421">
        <f t="shared" ref="H84:W84" si="36">SUM(H80:H83)</f>
        <v>0</v>
      </c>
      <c r="I84" s="421">
        <f t="shared" si="36"/>
        <v>0</v>
      </c>
      <c r="J84" s="421">
        <f t="shared" si="36"/>
        <v>0</v>
      </c>
      <c r="K84" s="421">
        <f t="shared" si="36"/>
        <v>0</v>
      </c>
      <c r="L84" s="421">
        <f t="shared" si="36"/>
        <v>0</v>
      </c>
      <c r="M84" s="421">
        <f t="shared" si="36"/>
        <v>0</v>
      </c>
      <c r="N84" s="421">
        <f t="shared" si="36"/>
        <v>0</v>
      </c>
      <c r="O84" s="421">
        <f t="shared" si="36"/>
        <v>0</v>
      </c>
      <c r="P84" s="421">
        <f t="shared" si="36"/>
        <v>0</v>
      </c>
      <c r="Q84" s="421">
        <f t="shared" si="36"/>
        <v>0</v>
      </c>
      <c r="R84" s="421">
        <f t="shared" si="36"/>
        <v>0</v>
      </c>
      <c r="S84" s="421">
        <f t="shared" si="36"/>
        <v>0</v>
      </c>
      <c r="T84" s="421">
        <f t="shared" si="36"/>
        <v>0</v>
      </c>
      <c r="U84" s="421">
        <f t="shared" si="36"/>
        <v>0</v>
      </c>
      <c r="V84" s="421">
        <f t="shared" si="36"/>
        <v>0</v>
      </c>
      <c r="W84" s="421">
        <f t="shared" si="36"/>
        <v>0</v>
      </c>
    </row>
    <row r="85" spans="3:23" x14ac:dyDescent="0.15">
      <c r="D85" s="312"/>
      <c r="E85" s="70"/>
      <c r="H85" s="415"/>
      <c r="I85" s="415"/>
      <c r="J85" s="415"/>
      <c r="K85" s="415"/>
      <c r="L85" s="415"/>
      <c r="M85" s="415"/>
      <c r="N85" s="415"/>
      <c r="O85" s="415"/>
      <c r="P85" s="415"/>
      <c r="Q85" s="415"/>
      <c r="R85" s="415"/>
      <c r="S85" s="415"/>
      <c r="T85" s="415"/>
      <c r="U85" s="415"/>
      <c r="V85" s="415"/>
      <c r="W85" s="415"/>
    </row>
    <row r="86" spans="3:23" x14ac:dyDescent="0.15">
      <c r="C86" s="423" t="s">
        <v>355</v>
      </c>
      <c r="D86" s="312" t="s">
        <v>150</v>
      </c>
      <c r="E86" s="70"/>
      <c r="G86" s="434">
        <f>ROUND(G78+G84-MAX(0,G$32),2)</f>
        <v>0</v>
      </c>
      <c r="H86" s="415">
        <f t="shared" ref="H86:W86" si="37">ROUND(H78+H84-MAX(0,H$32),2)</f>
        <v>0</v>
      </c>
      <c r="I86" s="415">
        <f t="shared" si="37"/>
        <v>0</v>
      </c>
      <c r="J86" s="415">
        <f t="shared" si="37"/>
        <v>0</v>
      </c>
      <c r="K86" s="415">
        <f t="shared" si="37"/>
        <v>0</v>
      </c>
      <c r="L86" s="415">
        <f t="shared" si="37"/>
        <v>0</v>
      </c>
      <c r="M86" s="415">
        <f t="shared" si="37"/>
        <v>0</v>
      </c>
      <c r="N86" s="415">
        <f t="shared" si="37"/>
        <v>0</v>
      </c>
      <c r="O86" s="415">
        <f t="shared" si="37"/>
        <v>0</v>
      </c>
      <c r="P86" s="415">
        <f t="shared" si="37"/>
        <v>0</v>
      </c>
      <c r="Q86" s="415">
        <f t="shared" si="37"/>
        <v>0</v>
      </c>
      <c r="R86" s="415">
        <f t="shared" si="37"/>
        <v>0</v>
      </c>
      <c r="S86" s="415">
        <f t="shared" si="37"/>
        <v>0</v>
      </c>
      <c r="T86" s="415">
        <f t="shared" si="37"/>
        <v>0</v>
      </c>
      <c r="U86" s="415">
        <f t="shared" si="37"/>
        <v>0</v>
      </c>
      <c r="V86" s="415">
        <f t="shared" si="37"/>
        <v>0</v>
      </c>
      <c r="W86" s="415">
        <f t="shared" si="37"/>
        <v>0</v>
      </c>
    </row>
    <row r="87" spans="3:23" x14ac:dyDescent="0.15">
      <c r="D87" s="312"/>
      <c r="E87" s="70"/>
      <c r="H87" s="415"/>
      <c r="I87" s="415"/>
      <c r="J87" s="415"/>
      <c r="K87" s="415"/>
      <c r="L87" s="415"/>
      <c r="M87" s="415"/>
      <c r="N87" s="415"/>
      <c r="O87" s="415"/>
      <c r="P87" s="415"/>
      <c r="Q87" s="415"/>
      <c r="R87" s="415"/>
      <c r="S87" s="415"/>
      <c r="T87" s="415"/>
      <c r="U87" s="415"/>
      <c r="V87" s="415"/>
      <c r="W87" s="415"/>
    </row>
    <row r="88" spans="3:23" x14ac:dyDescent="0.15">
      <c r="C88" s="3" t="s">
        <v>356</v>
      </c>
    </row>
    <row r="89" spans="3:23" x14ac:dyDescent="0.15">
      <c r="D89" s="312"/>
      <c r="E89" s="70"/>
      <c r="H89" s="415"/>
      <c r="I89" s="415"/>
      <c r="J89" s="415"/>
      <c r="K89" s="415"/>
      <c r="L89" s="415"/>
      <c r="M89" s="415"/>
      <c r="N89" s="415"/>
      <c r="O89" s="415"/>
      <c r="P89" s="415"/>
      <c r="Q89" s="415"/>
      <c r="R89" s="415"/>
      <c r="S89" s="415"/>
      <c r="T89" s="415"/>
      <c r="U89" s="415"/>
      <c r="V89" s="415"/>
      <c r="W89" s="415"/>
    </row>
    <row r="90" spans="3:23" x14ac:dyDescent="0.15">
      <c r="C90" t="str">
        <f>IF($C$18="","Investor 1",$C$18&amp;IF(AND(0=0,$D$25="Yes")," (Investor + Promote)",""))</f>
        <v>Aaron (Manager) (Investor + Promote)</v>
      </c>
      <c r="D90" s="312" t="s">
        <v>150</v>
      </c>
      <c r="E90" s="70"/>
      <c r="G90" s="434">
        <f>$D$18*(G$78-G$37)+IF(AND(0=0,$D$25="Yes"),G$84,0)</f>
        <v>-802870.02012072434</v>
      </c>
      <c r="H90" s="415">
        <f t="shared" ref="H90:W90" si="38">$D$18*(H$78-H$37)+IF(AND(0=0,$D$25="Yes"),H$84,0)</f>
        <v>10843.81962047259</v>
      </c>
      <c r="I90" s="415">
        <f t="shared" si="38"/>
        <v>65644.296591577644</v>
      </c>
      <c r="J90" s="415">
        <f t="shared" si="38"/>
        <v>33634.26418258722</v>
      </c>
      <c r="K90" s="415">
        <f t="shared" si="38"/>
        <v>36413.39076259813</v>
      </c>
      <c r="L90" s="415">
        <f t="shared" si="38"/>
        <v>39263.690751775794</v>
      </c>
      <c r="M90" s="415">
        <f t="shared" si="38"/>
        <v>42186.977390242653</v>
      </c>
      <c r="N90" s="415">
        <f t="shared" si="38"/>
        <v>45185.1099272223</v>
      </c>
      <c r="O90" s="415">
        <f t="shared" si="38"/>
        <v>48259.99478482845</v>
      </c>
      <c r="P90" s="415">
        <f t="shared" si="38"/>
        <v>51413.58675122085</v>
      </c>
      <c r="Q90" s="415">
        <f t="shared" si="38"/>
        <v>1260217.0777386688</v>
      </c>
      <c r="R90" s="415">
        <f t="shared" si="38"/>
        <v>0</v>
      </c>
      <c r="S90" s="415">
        <f t="shared" si="38"/>
        <v>0</v>
      </c>
      <c r="T90" s="415">
        <f t="shared" si="38"/>
        <v>0</v>
      </c>
      <c r="U90" s="415">
        <f t="shared" si="38"/>
        <v>0</v>
      </c>
      <c r="V90" s="415">
        <f t="shared" si="38"/>
        <v>0</v>
      </c>
      <c r="W90" s="415">
        <f t="shared" si="38"/>
        <v>0</v>
      </c>
    </row>
    <row r="91" spans="3:23" x14ac:dyDescent="0.15">
      <c r="C91" t="str">
        <f>IF($C$19="","Investor 2",$C$19&amp;IF(AND(1=0,$D$25="Yes")," (Investor + Promote)",""))</f>
        <v>Brian</v>
      </c>
      <c r="D91" s="312" t="s">
        <v>150</v>
      </c>
      <c r="E91" s="70"/>
      <c r="G91" s="433">
        <f>$D$19*(G$78-G$37)+IF(AND(1=0,$D$25="Yes"),G$84,0)</f>
        <v>-802870.02012072422</v>
      </c>
      <c r="H91" s="433">
        <f t="shared" ref="H91:W91" si="39">$D$19*(H$78-H$37)+IF(AND(1=0,$D$25="Yes"),H$84,0)</f>
        <v>10843.819620472588</v>
      </c>
      <c r="I91" s="433">
        <f t="shared" si="39"/>
        <v>65644.296591577629</v>
      </c>
      <c r="J91" s="433">
        <f t="shared" si="39"/>
        <v>33634.26418258722</v>
      </c>
      <c r="K91" s="433">
        <f t="shared" si="39"/>
        <v>36413.390762598123</v>
      </c>
      <c r="L91" s="433">
        <f t="shared" si="39"/>
        <v>39263.690751775786</v>
      </c>
      <c r="M91" s="433">
        <f t="shared" si="39"/>
        <v>42186.977390242646</v>
      </c>
      <c r="N91" s="433">
        <f t="shared" si="39"/>
        <v>45185.109927222285</v>
      </c>
      <c r="O91" s="433">
        <f t="shared" si="39"/>
        <v>48259.994784828443</v>
      </c>
      <c r="P91" s="433">
        <f t="shared" si="39"/>
        <v>51413.586751220842</v>
      </c>
      <c r="Q91" s="433">
        <f t="shared" si="39"/>
        <v>1260217.0777386685</v>
      </c>
      <c r="R91" s="433">
        <f t="shared" si="39"/>
        <v>0</v>
      </c>
      <c r="S91" s="433">
        <f t="shared" si="39"/>
        <v>0</v>
      </c>
      <c r="T91" s="433">
        <f t="shared" si="39"/>
        <v>0</v>
      </c>
      <c r="U91" s="433">
        <f t="shared" si="39"/>
        <v>0</v>
      </c>
      <c r="V91" s="433">
        <f t="shared" si="39"/>
        <v>0</v>
      </c>
      <c r="W91" s="433">
        <f t="shared" si="39"/>
        <v>0</v>
      </c>
    </row>
    <row r="92" spans="3:23" x14ac:dyDescent="0.15">
      <c r="C92" t="str">
        <f>IF($C$20="","Investor 3",$C$20&amp;IF(AND(2=0,$D$25="Yes")," (Investor + Promote)",""))</f>
        <v>Chris</v>
      </c>
      <c r="D92" s="312" t="s">
        <v>150</v>
      </c>
      <c r="E92" s="70"/>
      <c r="G92" s="433">
        <f>$D$20*(G$78-G$37)+IF(AND(2=0,$D$25="Yes"),G$84,0)</f>
        <v>-1070493.3601609657</v>
      </c>
      <c r="H92" s="433">
        <f t="shared" ref="H92:W92" si="40">$D$20*(H$78-H$37)+IF(AND(2=0,$D$25="Yes"),H$84,0)</f>
        <v>14458.426160630119</v>
      </c>
      <c r="I92" s="433">
        <f t="shared" si="40"/>
        <v>87525.728788770182</v>
      </c>
      <c r="J92" s="433">
        <f t="shared" si="40"/>
        <v>44845.685576782962</v>
      </c>
      <c r="K92" s="433">
        <f t="shared" si="40"/>
        <v>48551.187683464173</v>
      </c>
      <c r="L92" s="433">
        <f t="shared" si="40"/>
        <v>52351.587669034387</v>
      </c>
      <c r="M92" s="433">
        <f t="shared" si="40"/>
        <v>56249.303186990197</v>
      </c>
      <c r="N92" s="433">
        <f t="shared" si="40"/>
        <v>60246.813236296388</v>
      </c>
      <c r="O92" s="433">
        <f t="shared" si="40"/>
        <v>64346.659713104593</v>
      </c>
      <c r="P92" s="433">
        <f t="shared" si="40"/>
        <v>68551.449001627785</v>
      </c>
      <c r="Q92" s="433">
        <f t="shared" si="40"/>
        <v>1680289.4369848915</v>
      </c>
      <c r="R92" s="433">
        <f t="shared" si="40"/>
        <v>0</v>
      </c>
      <c r="S92" s="433">
        <f t="shared" si="40"/>
        <v>0</v>
      </c>
      <c r="T92" s="433">
        <f t="shared" si="40"/>
        <v>0</v>
      </c>
      <c r="U92" s="433">
        <f t="shared" si="40"/>
        <v>0</v>
      </c>
      <c r="V92" s="433">
        <f t="shared" si="40"/>
        <v>0</v>
      </c>
      <c r="W92" s="433">
        <f t="shared" si="40"/>
        <v>0</v>
      </c>
    </row>
    <row r="93" spans="3:23" x14ac:dyDescent="0.15">
      <c r="C93" t="str">
        <f>IF($C$21="","Investor 4",$C$21&amp;IF(AND(3=0,$D$25="Yes")," (Investor + Promote)",""))</f>
        <v>Investor 4</v>
      </c>
      <c r="D93" s="312" t="s">
        <v>150</v>
      </c>
      <c r="E93" s="70"/>
      <c r="G93" s="433">
        <f>$D$21*(G$78-G$37)+IF(AND(3=0,$D$25="Yes"),G$84,0)</f>
        <v>0</v>
      </c>
      <c r="H93" s="433">
        <f t="shared" ref="H93:W93" si="41">$D$21*(H$78-H$37)+IF(AND(3=0,$D$25="Yes"),H$84,0)</f>
        <v>0</v>
      </c>
      <c r="I93" s="433">
        <f t="shared" si="41"/>
        <v>0</v>
      </c>
      <c r="J93" s="433">
        <f t="shared" si="41"/>
        <v>0</v>
      </c>
      <c r="K93" s="433">
        <f t="shared" si="41"/>
        <v>0</v>
      </c>
      <c r="L93" s="433">
        <f t="shared" si="41"/>
        <v>0</v>
      </c>
      <c r="M93" s="433">
        <f t="shared" si="41"/>
        <v>0</v>
      </c>
      <c r="N93" s="433">
        <f t="shared" si="41"/>
        <v>0</v>
      </c>
      <c r="O93" s="433">
        <f t="shared" si="41"/>
        <v>0</v>
      </c>
      <c r="P93" s="433">
        <f t="shared" si="41"/>
        <v>0</v>
      </c>
      <c r="Q93" s="433">
        <f t="shared" si="41"/>
        <v>0</v>
      </c>
      <c r="R93" s="433">
        <f t="shared" si="41"/>
        <v>0</v>
      </c>
      <c r="S93" s="433">
        <f t="shared" si="41"/>
        <v>0</v>
      </c>
      <c r="T93" s="433">
        <f t="shared" si="41"/>
        <v>0</v>
      </c>
      <c r="U93" s="433">
        <f t="shared" si="41"/>
        <v>0</v>
      </c>
      <c r="V93" s="433">
        <f t="shared" si="41"/>
        <v>0</v>
      </c>
      <c r="W93" s="433">
        <f t="shared" si="41"/>
        <v>0</v>
      </c>
    </row>
    <row r="94" spans="3:23" x14ac:dyDescent="0.15">
      <c r="C94" t="str">
        <f>IF($C$22="","Investor 5",$C$22&amp;IF(AND(4=0,$D$25="Yes")," (Investor + Promote)",""))</f>
        <v>Investor 5</v>
      </c>
      <c r="D94" s="312" t="s">
        <v>150</v>
      </c>
      <c r="E94" s="70"/>
      <c r="G94" s="433">
        <f>$D$22*(G$78-G$37)+IF(AND(4=0,$D$25="Yes"),G$84,0)</f>
        <v>0</v>
      </c>
      <c r="H94" s="433">
        <f t="shared" ref="H94:W94" si="42">$D$22*(H$78-H$37)+IF(AND(4=0,$D$25="Yes"),H$84,0)</f>
        <v>0</v>
      </c>
      <c r="I94" s="433">
        <f t="shared" si="42"/>
        <v>0</v>
      </c>
      <c r="J94" s="433">
        <f t="shared" si="42"/>
        <v>0</v>
      </c>
      <c r="K94" s="433">
        <f t="shared" si="42"/>
        <v>0</v>
      </c>
      <c r="L94" s="433">
        <f t="shared" si="42"/>
        <v>0</v>
      </c>
      <c r="M94" s="433">
        <f t="shared" si="42"/>
        <v>0</v>
      </c>
      <c r="N94" s="433">
        <f t="shared" si="42"/>
        <v>0</v>
      </c>
      <c r="O94" s="433">
        <f t="shared" si="42"/>
        <v>0</v>
      </c>
      <c r="P94" s="433">
        <f t="shared" si="42"/>
        <v>0</v>
      </c>
      <c r="Q94" s="433">
        <f t="shared" si="42"/>
        <v>0</v>
      </c>
      <c r="R94" s="433">
        <f t="shared" si="42"/>
        <v>0</v>
      </c>
      <c r="S94" s="433">
        <f t="shared" si="42"/>
        <v>0</v>
      </c>
      <c r="T94" s="433">
        <f t="shared" si="42"/>
        <v>0</v>
      </c>
      <c r="U94" s="433">
        <f t="shared" si="42"/>
        <v>0</v>
      </c>
      <c r="V94" s="433">
        <f t="shared" si="42"/>
        <v>0</v>
      </c>
      <c r="W94" s="433">
        <f t="shared" si="42"/>
        <v>0</v>
      </c>
    </row>
    <row r="95" spans="3:23" x14ac:dyDescent="0.15">
      <c r="C95" s="315" t="str">
        <f>"Manager Promote"&amp;IF($D$25="Yes"," (included in Investor 1)","")</f>
        <v>Manager Promote (included in Investor 1)</v>
      </c>
      <c r="D95" s="314" t="s">
        <v>150</v>
      </c>
      <c r="E95" s="429"/>
      <c r="F95" s="315"/>
      <c r="G95" s="436">
        <f>IF($D$25="Yes",0,G$84)</f>
        <v>0</v>
      </c>
      <c r="H95" s="436">
        <f t="shared" ref="H95:W95" si="43">IF($D$25="Yes",0,H$84)</f>
        <v>0</v>
      </c>
      <c r="I95" s="436">
        <f t="shared" si="43"/>
        <v>0</v>
      </c>
      <c r="J95" s="436">
        <f t="shared" si="43"/>
        <v>0</v>
      </c>
      <c r="K95" s="436">
        <f t="shared" si="43"/>
        <v>0</v>
      </c>
      <c r="L95" s="436">
        <f t="shared" si="43"/>
        <v>0</v>
      </c>
      <c r="M95" s="436">
        <f t="shared" si="43"/>
        <v>0</v>
      </c>
      <c r="N95" s="436">
        <f t="shared" si="43"/>
        <v>0</v>
      </c>
      <c r="O95" s="436">
        <f t="shared" si="43"/>
        <v>0</v>
      </c>
      <c r="P95" s="436">
        <f t="shared" si="43"/>
        <v>0</v>
      </c>
      <c r="Q95" s="436">
        <f t="shared" si="43"/>
        <v>0</v>
      </c>
      <c r="R95" s="436">
        <f t="shared" si="43"/>
        <v>0</v>
      </c>
      <c r="S95" s="436">
        <f t="shared" si="43"/>
        <v>0</v>
      </c>
      <c r="T95" s="436">
        <f t="shared" si="43"/>
        <v>0</v>
      </c>
      <c r="U95" s="436">
        <f t="shared" si="43"/>
        <v>0</v>
      </c>
      <c r="V95" s="436">
        <f t="shared" si="43"/>
        <v>0</v>
      </c>
      <c r="W95" s="436">
        <f t="shared" si="43"/>
        <v>0</v>
      </c>
    </row>
    <row r="96" spans="3:23" x14ac:dyDescent="0.15">
      <c r="C96" s="3" t="s">
        <v>357</v>
      </c>
      <c r="D96" s="420" t="s">
        <v>150</v>
      </c>
      <c r="E96" s="3"/>
      <c r="F96" s="3"/>
      <c r="G96" s="421">
        <f>SUM(G90:G95)</f>
        <v>-2676233.4004024146</v>
      </c>
      <c r="H96" s="421">
        <f t="shared" ref="H96:W96" si="44">SUM(H90:H95)</f>
        <v>36146.065401575295</v>
      </c>
      <c r="I96" s="421">
        <f t="shared" si="44"/>
        <v>218814.32197192547</v>
      </c>
      <c r="J96" s="421">
        <f t="shared" si="44"/>
        <v>112114.21394195739</v>
      </c>
      <c r="K96" s="421">
        <f t="shared" si="44"/>
        <v>121377.96920866042</v>
      </c>
      <c r="L96" s="421">
        <f t="shared" si="44"/>
        <v>130878.96917258597</v>
      </c>
      <c r="M96" s="421">
        <f t="shared" si="44"/>
        <v>140623.25796747551</v>
      </c>
      <c r="N96" s="421">
        <f t="shared" si="44"/>
        <v>150617.03309074097</v>
      </c>
      <c r="O96" s="421">
        <f t="shared" si="44"/>
        <v>160866.6492827615</v>
      </c>
      <c r="P96" s="421">
        <f t="shared" si="44"/>
        <v>171378.62250406947</v>
      </c>
      <c r="Q96" s="421">
        <f t="shared" si="44"/>
        <v>4200723.5924622286</v>
      </c>
      <c r="R96" s="421">
        <f t="shared" si="44"/>
        <v>0</v>
      </c>
      <c r="S96" s="421">
        <f t="shared" si="44"/>
        <v>0</v>
      </c>
      <c r="T96" s="421">
        <f t="shared" si="44"/>
        <v>0</v>
      </c>
      <c r="U96" s="421">
        <f t="shared" si="44"/>
        <v>0</v>
      </c>
      <c r="V96" s="421">
        <f t="shared" si="44"/>
        <v>0</v>
      </c>
      <c r="W96" s="421">
        <f t="shared" si="44"/>
        <v>0</v>
      </c>
    </row>
    <row r="97" spans="3:23" x14ac:dyDescent="0.15">
      <c r="C97" s="423" t="s">
        <v>358</v>
      </c>
      <c r="D97" s="312" t="s">
        <v>150</v>
      </c>
      <c r="E97" s="70"/>
      <c r="G97" s="433">
        <f>ROUND(G96-G$32,2)</f>
        <v>0</v>
      </c>
      <c r="H97" s="427">
        <f t="shared" ref="H97:W97" si="45">ROUND(H96-H$32,2)</f>
        <v>0</v>
      </c>
      <c r="I97" s="427">
        <f t="shared" si="45"/>
        <v>0</v>
      </c>
      <c r="J97" s="427">
        <f t="shared" si="45"/>
        <v>0</v>
      </c>
      <c r="K97" s="427">
        <f t="shared" si="45"/>
        <v>0</v>
      </c>
      <c r="L97" s="427">
        <f t="shared" si="45"/>
        <v>0</v>
      </c>
      <c r="M97" s="427">
        <f t="shared" si="45"/>
        <v>0</v>
      </c>
      <c r="N97" s="427">
        <f t="shared" si="45"/>
        <v>0</v>
      </c>
      <c r="O97" s="427">
        <f t="shared" si="45"/>
        <v>0</v>
      </c>
      <c r="P97" s="427">
        <f t="shared" si="45"/>
        <v>0</v>
      </c>
      <c r="Q97" s="427">
        <f t="shared" si="45"/>
        <v>0</v>
      </c>
      <c r="R97" s="427">
        <f t="shared" si="45"/>
        <v>0</v>
      </c>
      <c r="S97" s="427">
        <f t="shared" si="45"/>
        <v>0</v>
      </c>
      <c r="T97" s="427">
        <f t="shared" si="45"/>
        <v>0</v>
      </c>
      <c r="U97" s="427">
        <f t="shared" si="45"/>
        <v>0</v>
      </c>
      <c r="V97" s="427">
        <f t="shared" si="45"/>
        <v>0</v>
      </c>
      <c r="W97" s="427">
        <f t="shared" si="45"/>
        <v>0</v>
      </c>
    </row>
  </sheetData>
  <dataValidations count="1">
    <dataValidation type="list" allowBlank="1" showInputMessage="1" showErrorMessage="1" sqref="D25" xr:uid="{94A8E155-9F13-B846-A93F-0DE0A360BC57}">
      <formula1>"Yes,No"</formula1>
    </dataValidation>
  </dataValidations>
  <pageMargins left="0.7" right="0.7" top="0.75" bottom="0.75" header="0.3" footer="0.3"/>
  <pageSetup paperSize="9"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20</vt:i4>
      </vt:variant>
    </vt:vector>
  </HeadingPairs>
  <TitlesOfParts>
    <vt:vector size="28" baseType="lpstr">
      <vt:lpstr>Cover</vt:lpstr>
      <vt:lpstr>Deal_Summary</vt:lpstr>
      <vt:lpstr>Rent_Roll</vt:lpstr>
      <vt:lpstr>Brochure_Financials</vt:lpstr>
      <vt:lpstr>Monthly_P&amp;L</vt:lpstr>
      <vt:lpstr>Annual_P&amp;L</vt:lpstr>
      <vt:lpstr>Assumptions_&amp;_Inputs</vt:lpstr>
      <vt:lpstr>Equity_Waterfall</vt:lpstr>
      <vt:lpstr>closing_costs</vt:lpstr>
      <vt:lpstr>cost_sale</vt:lpstr>
      <vt:lpstr>debt</vt:lpstr>
      <vt:lpstr>discount_rate</vt:lpstr>
      <vt:lpstr>equity_invested</vt:lpstr>
      <vt:lpstr>exit_cap_rate</vt:lpstr>
      <vt:lpstr>hold_length</vt:lpstr>
      <vt:lpstr>inflation</vt:lpstr>
      <vt:lpstr>management_fee</vt:lpstr>
      <vt:lpstr>Cover!Print_Area</vt:lpstr>
      <vt:lpstr>Deal_Summary!Print_Area</vt:lpstr>
      <vt:lpstr>purchase_date</vt:lpstr>
      <vt:lpstr>purchase_price</vt:lpstr>
      <vt:lpstr>rentable_sf</vt:lpstr>
      <vt:lpstr>rental_growth_rate</vt:lpstr>
      <vt:lpstr>sale_price</vt:lpstr>
      <vt:lpstr>tax_growth_rate</vt:lpstr>
      <vt:lpstr>vacancy_allowance</vt:lpstr>
      <vt:lpstr>WA_Curr_Rent</vt:lpstr>
      <vt:lpstr>WA_Mar_Rent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Punnakorn Chaiphanichapun</dc:creator>
  <cp:lastModifiedBy>Punnakorn Chaiphanichapun</cp:lastModifiedBy>
  <dcterms:created xsi:type="dcterms:W3CDTF">2026-08-03T17:29:23Z</dcterms:created>
  <dcterms:modified xsi:type="dcterms:W3CDTF">2026-10-29T22:49:28Z</dcterms:modified>
</cp:coreProperties>
</file>